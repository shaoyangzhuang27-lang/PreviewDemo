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DE8D1756-EECF-4B43-88F2-013B0FA0D98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event_copy" sheetId="1" r:id="rId1"/>
    <sheet name="Sheet1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T35" i="1" l="1"/>
  <c r="T34" i="1"/>
  <c r="T33" i="1"/>
  <c r="T32" i="1"/>
  <c r="T27" i="1"/>
  <c r="T26" i="1"/>
  <c r="T25" i="1"/>
  <c r="T24" i="1"/>
  <c r="T19" i="1"/>
  <c r="T18" i="1"/>
  <c r="T17" i="1"/>
  <c r="T16" i="1"/>
  <c r="T11" i="1"/>
  <c r="T10" i="1"/>
  <c r="T9" i="1"/>
  <c r="T8" i="1"/>
  <c r="T31" i="1"/>
  <c r="T30" i="1"/>
  <c r="T23" i="1"/>
  <c r="T22" i="1"/>
  <c r="T15" i="1"/>
  <c r="T14" i="1"/>
  <c r="T7" i="1"/>
  <c r="T6" i="1"/>
  <c r="T28" i="1" l="1"/>
  <c r="E28" i="1" s="1"/>
  <c r="T29" i="1"/>
  <c r="E29" i="1" s="1"/>
  <c r="E34" i="1"/>
  <c r="E30" i="1"/>
  <c r="E31" i="1"/>
  <c r="E32" i="1"/>
  <c r="E33" i="1"/>
  <c r="E35" i="1"/>
  <c r="T5" i="1" l="1"/>
  <c r="T12" i="1"/>
  <c r="T13" i="1"/>
  <c r="T20" i="1"/>
  <c r="T21" i="1"/>
  <c r="T4" i="1"/>
  <c r="CB988" i="1" l="1"/>
  <c r="CA988" i="1"/>
  <c r="BZ988" i="1"/>
  <c r="BY988" i="1"/>
  <c r="BX988" i="1"/>
  <c r="BW988" i="1"/>
  <c r="BV988" i="1"/>
  <c r="BU988" i="1"/>
  <c r="CB987" i="1"/>
  <c r="CA987" i="1"/>
  <c r="BZ987" i="1"/>
  <c r="BY987" i="1"/>
  <c r="BX987" i="1"/>
  <c r="BW987" i="1"/>
  <c r="BV987" i="1"/>
  <c r="BU987" i="1"/>
  <c r="CB986" i="1"/>
  <c r="CA986" i="1"/>
  <c r="BZ986" i="1"/>
  <c r="BY986" i="1"/>
  <c r="BX986" i="1"/>
  <c r="BW986" i="1"/>
  <c r="BV986" i="1"/>
  <c r="BU986" i="1"/>
  <c r="CB985" i="1"/>
  <c r="CA985" i="1"/>
  <c r="BZ985" i="1"/>
  <c r="BY985" i="1"/>
  <c r="BX985" i="1"/>
  <c r="BW985" i="1"/>
  <c r="BV985" i="1"/>
  <c r="BU985" i="1"/>
  <c r="CB984" i="1"/>
  <c r="CA984" i="1"/>
  <c r="BZ984" i="1"/>
  <c r="BY984" i="1"/>
  <c r="BX984" i="1"/>
  <c r="BW984" i="1"/>
  <c r="BV984" i="1"/>
  <c r="BU984" i="1"/>
  <c r="CB983" i="1"/>
  <c r="CA983" i="1"/>
  <c r="BZ983" i="1"/>
  <c r="BY983" i="1"/>
  <c r="BX983" i="1"/>
  <c r="BW983" i="1"/>
  <c r="BV983" i="1"/>
  <c r="BU983" i="1"/>
  <c r="CB982" i="1"/>
  <c r="CA982" i="1"/>
  <c r="BZ982" i="1"/>
  <c r="BY982" i="1"/>
  <c r="BX982" i="1"/>
  <c r="BW982" i="1"/>
  <c r="BV982" i="1"/>
  <c r="BU982" i="1"/>
  <c r="CB981" i="1"/>
  <c r="CA981" i="1"/>
  <c r="BZ981" i="1"/>
  <c r="BY981" i="1"/>
  <c r="BX981" i="1"/>
  <c r="BW981" i="1"/>
  <c r="BV981" i="1"/>
  <c r="BU981" i="1"/>
  <c r="CB980" i="1"/>
  <c r="CA980" i="1"/>
  <c r="BZ980" i="1"/>
  <c r="BY980" i="1"/>
  <c r="BX980" i="1"/>
  <c r="BW980" i="1"/>
  <c r="BV980" i="1"/>
  <c r="BU980" i="1"/>
  <c r="CB979" i="1"/>
  <c r="CA979" i="1"/>
  <c r="BZ979" i="1"/>
  <c r="BY979" i="1"/>
  <c r="BX979" i="1"/>
  <c r="BW979" i="1"/>
  <c r="BV979" i="1"/>
  <c r="BU979" i="1"/>
  <c r="CB978" i="1"/>
  <c r="CA978" i="1"/>
  <c r="BZ978" i="1"/>
  <c r="BY978" i="1"/>
  <c r="BX978" i="1"/>
  <c r="BW978" i="1"/>
  <c r="BV978" i="1"/>
  <c r="BU978" i="1"/>
  <c r="CB977" i="1"/>
  <c r="CA977" i="1"/>
  <c r="BZ977" i="1"/>
  <c r="BY977" i="1"/>
  <c r="BX977" i="1"/>
  <c r="BW977" i="1"/>
  <c r="BV977" i="1"/>
  <c r="BU977" i="1"/>
  <c r="CB976" i="1"/>
  <c r="CA976" i="1"/>
  <c r="BZ976" i="1"/>
  <c r="BY976" i="1"/>
  <c r="BX976" i="1"/>
  <c r="BW976" i="1"/>
  <c r="BV976" i="1"/>
  <c r="BU976" i="1"/>
  <c r="CB975" i="1"/>
  <c r="CA975" i="1"/>
  <c r="BZ975" i="1"/>
  <c r="BY975" i="1"/>
  <c r="BX975" i="1"/>
  <c r="BW975" i="1"/>
  <c r="BV975" i="1"/>
  <c r="BU975" i="1"/>
  <c r="CB974" i="1"/>
  <c r="CA974" i="1"/>
  <c r="BZ974" i="1"/>
  <c r="BY974" i="1"/>
  <c r="BX974" i="1"/>
  <c r="BW974" i="1"/>
  <c r="BV974" i="1"/>
  <c r="BU974" i="1"/>
  <c r="CB973" i="1"/>
  <c r="CA973" i="1"/>
  <c r="BZ973" i="1"/>
  <c r="BY973" i="1"/>
  <c r="BX973" i="1"/>
  <c r="BW973" i="1"/>
  <c r="BV973" i="1"/>
  <c r="BU973" i="1"/>
  <c r="CB972" i="1"/>
  <c r="CA972" i="1"/>
  <c r="BZ972" i="1"/>
  <c r="BY972" i="1"/>
  <c r="BX972" i="1"/>
  <c r="BW972" i="1"/>
  <c r="BV972" i="1"/>
  <c r="BU972" i="1"/>
  <c r="CB971" i="1"/>
  <c r="CA971" i="1"/>
  <c r="BZ971" i="1"/>
  <c r="BY971" i="1"/>
  <c r="BX971" i="1"/>
  <c r="BW971" i="1"/>
  <c r="BV971" i="1"/>
  <c r="BU971" i="1"/>
  <c r="CB970" i="1"/>
  <c r="CA970" i="1"/>
  <c r="BZ970" i="1"/>
  <c r="BY970" i="1"/>
  <c r="BX970" i="1"/>
  <c r="BW970" i="1"/>
  <c r="BV970" i="1"/>
  <c r="BU970" i="1"/>
  <c r="CB969" i="1"/>
  <c r="CA969" i="1"/>
  <c r="BZ969" i="1"/>
  <c r="BY969" i="1"/>
  <c r="BX969" i="1"/>
  <c r="BW969" i="1"/>
  <c r="BV969" i="1"/>
  <c r="BU969" i="1"/>
  <c r="CB968" i="1"/>
  <c r="CA968" i="1"/>
  <c r="BZ968" i="1"/>
  <c r="BY968" i="1"/>
  <c r="BX968" i="1"/>
  <c r="BW968" i="1"/>
  <c r="BV968" i="1"/>
  <c r="BU968" i="1"/>
  <c r="CB967" i="1"/>
  <c r="CA967" i="1"/>
  <c r="BZ967" i="1"/>
  <c r="BY967" i="1"/>
  <c r="BX967" i="1"/>
  <c r="BW967" i="1"/>
  <c r="BV967" i="1"/>
  <c r="BU967" i="1"/>
  <c r="CB966" i="1"/>
  <c r="CA966" i="1"/>
  <c r="BZ966" i="1"/>
  <c r="BY966" i="1"/>
  <c r="BX966" i="1"/>
  <c r="BW966" i="1"/>
  <c r="BV966" i="1"/>
  <c r="BU966" i="1"/>
  <c r="CB965" i="1"/>
  <c r="CA965" i="1"/>
  <c r="BZ965" i="1"/>
  <c r="BY965" i="1"/>
  <c r="BX965" i="1"/>
  <c r="BW965" i="1"/>
  <c r="BV965" i="1"/>
  <c r="BU965" i="1"/>
  <c r="CB964" i="1"/>
  <c r="CA964" i="1"/>
  <c r="BZ964" i="1"/>
  <c r="BY964" i="1"/>
  <c r="BX964" i="1"/>
  <c r="BW964" i="1"/>
  <c r="BV964" i="1"/>
  <c r="BU964" i="1"/>
  <c r="CB963" i="1"/>
  <c r="CA963" i="1"/>
  <c r="BZ963" i="1"/>
  <c r="BY963" i="1"/>
  <c r="BX963" i="1"/>
  <c r="BW963" i="1"/>
  <c r="BV963" i="1"/>
  <c r="BU963" i="1"/>
  <c r="CB962" i="1"/>
  <c r="CA962" i="1"/>
  <c r="BZ962" i="1"/>
  <c r="BY962" i="1"/>
  <c r="BX962" i="1"/>
  <c r="BW962" i="1"/>
  <c r="BV962" i="1"/>
  <c r="BU962" i="1"/>
  <c r="CB961" i="1"/>
  <c r="CA961" i="1"/>
  <c r="BZ961" i="1"/>
  <c r="BY961" i="1"/>
  <c r="BX961" i="1"/>
  <c r="BW961" i="1"/>
  <c r="BV961" i="1"/>
  <c r="BU961" i="1"/>
  <c r="CB960" i="1"/>
  <c r="CA960" i="1"/>
  <c r="BZ960" i="1"/>
  <c r="BY960" i="1"/>
  <c r="BX960" i="1"/>
  <c r="BW960" i="1"/>
  <c r="BV960" i="1"/>
  <c r="BU960" i="1"/>
  <c r="CB959" i="1"/>
  <c r="CA959" i="1"/>
  <c r="BZ959" i="1"/>
  <c r="BY959" i="1"/>
  <c r="BX959" i="1"/>
  <c r="BW959" i="1"/>
  <c r="BV959" i="1"/>
  <c r="BU959" i="1"/>
  <c r="CB958" i="1"/>
  <c r="CA958" i="1"/>
  <c r="BZ958" i="1"/>
  <c r="BY958" i="1"/>
  <c r="BX958" i="1"/>
  <c r="BW958" i="1"/>
  <c r="BV958" i="1"/>
  <c r="BU958" i="1"/>
  <c r="CB957" i="1"/>
  <c r="CA957" i="1"/>
  <c r="BZ957" i="1"/>
  <c r="BY957" i="1"/>
  <c r="BX957" i="1"/>
  <c r="BW957" i="1"/>
  <c r="BV957" i="1"/>
  <c r="BU957" i="1"/>
  <c r="CB956" i="1"/>
  <c r="CA956" i="1"/>
  <c r="BZ956" i="1"/>
  <c r="BY956" i="1"/>
  <c r="BX956" i="1"/>
  <c r="BW956" i="1"/>
  <c r="BV956" i="1"/>
  <c r="BU956" i="1"/>
  <c r="CB955" i="1"/>
  <c r="CA955" i="1"/>
  <c r="BZ955" i="1"/>
  <c r="BY955" i="1"/>
  <c r="BX955" i="1"/>
  <c r="BW955" i="1"/>
  <c r="BV955" i="1"/>
  <c r="BU955" i="1"/>
  <c r="CB954" i="1"/>
  <c r="CA954" i="1"/>
  <c r="BZ954" i="1"/>
  <c r="BY954" i="1"/>
  <c r="BX954" i="1"/>
  <c r="BW954" i="1"/>
  <c r="BV954" i="1"/>
  <c r="BU954" i="1"/>
  <c r="CB953" i="1"/>
  <c r="CA953" i="1"/>
  <c r="BZ953" i="1"/>
  <c r="BY953" i="1"/>
  <c r="BX953" i="1"/>
  <c r="BW953" i="1"/>
  <c r="BV953" i="1"/>
  <c r="BU953" i="1"/>
  <c r="CB952" i="1"/>
  <c r="CA952" i="1"/>
  <c r="BZ952" i="1"/>
  <c r="BY952" i="1"/>
  <c r="BX952" i="1"/>
  <c r="BW952" i="1"/>
  <c r="BV952" i="1"/>
  <c r="BU952" i="1"/>
  <c r="CB951" i="1"/>
  <c r="CA951" i="1"/>
  <c r="BZ951" i="1"/>
  <c r="BY951" i="1"/>
  <c r="BX951" i="1"/>
  <c r="BW951" i="1"/>
  <c r="BV951" i="1"/>
  <c r="BU951" i="1"/>
  <c r="CB950" i="1"/>
  <c r="CA950" i="1"/>
  <c r="BZ950" i="1"/>
  <c r="BY950" i="1"/>
  <c r="BX950" i="1"/>
  <c r="BW950" i="1"/>
  <c r="BV950" i="1"/>
  <c r="BU950" i="1"/>
  <c r="CB949" i="1"/>
  <c r="CA949" i="1"/>
  <c r="BZ949" i="1"/>
  <c r="BY949" i="1"/>
  <c r="BX949" i="1"/>
  <c r="BW949" i="1"/>
  <c r="BV949" i="1"/>
  <c r="BU949" i="1"/>
  <c r="CB948" i="1"/>
  <c r="CA948" i="1"/>
  <c r="BZ948" i="1"/>
  <c r="BY948" i="1"/>
  <c r="BX948" i="1"/>
  <c r="BW948" i="1"/>
  <c r="BV948" i="1"/>
  <c r="BU948" i="1"/>
  <c r="CB947" i="1"/>
  <c r="CA947" i="1"/>
  <c r="BZ947" i="1"/>
  <c r="BY947" i="1"/>
  <c r="BX947" i="1"/>
  <c r="BW947" i="1"/>
  <c r="BV947" i="1"/>
  <c r="BU947" i="1"/>
  <c r="CB946" i="1"/>
  <c r="CA946" i="1"/>
  <c r="BZ946" i="1"/>
  <c r="BY946" i="1"/>
  <c r="BX946" i="1"/>
  <c r="BW946" i="1"/>
  <c r="BV946" i="1"/>
  <c r="BU946" i="1"/>
  <c r="CB945" i="1"/>
  <c r="CA945" i="1"/>
  <c r="BZ945" i="1"/>
  <c r="BY945" i="1"/>
  <c r="BX945" i="1"/>
  <c r="BW945" i="1"/>
  <c r="BV945" i="1"/>
  <c r="BU945" i="1"/>
  <c r="CB944" i="1"/>
  <c r="CA944" i="1"/>
  <c r="BZ944" i="1"/>
  <c r="BY944" i="1"/>
  <c r="BX944" i="1"/>
  <c r="BW944" i="1"/>
  <c r="BV944" i="1"/>
  <c r="BU944" i="1"/>
  <c r="CB943" i="1"/>
  <c r="CA943" i="1"/>
  <c r="BZ943" i="1"/>
  <c r="BY943" i="1"/>
  <c r="BX943" i="1"/>
  <c r="BW943" i="1"/>
  <c r="BV943" i="1"/>
  <c r="BU943" i="1"/>
  <c r="CB942" i="1"/>
  <c r="CA942" i="1"/>
  <c r="BZ942" i="1"/>
  <c r="BY942" i="1"/>
  <c r="BX942" i="1"/>
  <c r="BW942" i="1"/>
  <c r="BV942" i="1"/>
  <c r="BU942" i="1"/>
  <c r="CB941" i="1"/>
  <c r="CA941" i="1"/>
  <c r="BZ941" i="1"/>
  <c r="BY941" i="1"/>
  <c r="BX941" i="1"/>
  <c r="BW941" i="1"/>
  <c r="BV941" i="1"/>
  <c r="BU941" i="1"/>
  <c r="CB940" i="1"/>
  <c r="CA940" i="1"/>
  <c r="BZ940" i="1"/>
  <c r="BY940" i="1"/>
  <c r="BX940" i="1"/>
  <c r="BW940" i="1"/>
  <c r="BV940" i="1"/>
  <c r="BU940" i="1"/>
  <c r="CB939" i="1"/>
  <c r="CA939" i="1"/>
  <c r="BZ939" i="1"/>
  <c r="BY939" i="1"/>
  <c r="BX939" i="1"/>
  <c r="BW939" i="1"/>
  <c r="BV939" i="1"/>
  <c r="BU939" i="1"/>
  <c r="CB938" i="1"/>
  <c r="CA938" i="1"/>
  <c r="BZ938" i="1"/>
  <c r="BY938" i="1"/>
  <c r="BX938" i="1"/>
  <c r="BW938" i="1"/>
  <c r="BV938" i="1"/>
  <c r="BU938" i="1"/>
  <c r="CB937" i="1"/>
  <c r="CA937" i="1"/>
  <c r="BZ937" i="1"/>
  <c r="BY937" i="1"/>
  <c r="BX937" i="1"/>
  <c r="BW937" i="1"/>
  <c r="BV937" i="1"/>
  <c r="BU937" i="1"/>
  <c r="CB936" i="1"/>
  <c r="CA936" i="1"/>
  <c r="BZ936" i="1"/>
  <c r="BY936" i="1"/>
  <c r="BX936" i="1"/>
  <c r="BW936" i="1"/>
  <c r="BV936" i="1"/>
  <c r="BU936" i="1"/>
  <c r="CB935" i="1"/>
  <c r="CA935" i="1"/>
  <c r="BZ935" i="1"/>
  <c r="BY935" i="1"/>
  <c r="BX935" i="1"/>
  <c r="BW935" i="1"/>
  <c r="BV935" i="1"/>
  <c r="BU935" i="1"/>
  <c r="CB934" i="1"/>
  <c r="CA934" i="1"/>
  <c r="BZ934" i="1"/>
  <c r="BY934" i="1"/>
  <c r="BX934" i="1"/>
  <c r="BW934" i="1"/>
  <c r="BV934" i="1"/>
  <c r="BU934" i="1"/>
  <c r="CB933" i="1"/>
  <c r="CA933" i="1"/>
  <c r="BZ933" i="1"/>
  <c r="BY933" i="1"/>
  <c r="BX933" i="1"/>
  <c r="BW933" i="1"/>
  <c r="BV933" i="1"/>
  <c r="BU933" i="1"/>
  <c r="CB932" i="1"/>
  <c r="CA932" i="1"/>
  <c r="BZ932" i="1"/>
  <c r="BY932" i="1"/>
  <c r="BX932" i="1"/>
  <c r="BW932" i="1"/>
  <c r="BV932" i="1"/>
  <c r="BU932" i="1"/>
  <c r="CB931" i="1"/>
  <c r="CA931" i="1"/>
  <c r="BZ931" i="1"/>
  <c r="BY931" i="1"/>
  <c r="BX931" i="1"/>
  <c r="BW931" i="1"/>
  <c r="BV931" i="1"/>
  <c r="BU931" i="1"/>
  <c r="CB930" i="1"/>
  <c r="CA930" i="1"/>
  <c r="BZ930" i="1"/>
  <c r="BY930" i="1"/>
  <c r="BX930" i="1"/>
  <c r="BW930" i="1"/>
  <c r="BV930" i="1"/>
  <c r="BU930" i="1"/>
  <c r="CB929" i="1"/>
  <c r="CA929" i="1"/>
  <c r="BZ929" i="1"/>
  <c r="BY929" i="1"/>
  <c r="BX929" i="1"/>
  <c r="BW929" i="1"/>
  <c r="BV929" i="1"/>
  <c r="BU929" i="1"/>
  <c r="CB928" i="1"/>
  <c r="CA928" i="1"/>
  <c r="BZ928" i="1"/>
  <c r="BY928" i="1"/>
  <c r="BX928" i="1"/>
  <c r="BW928" i="1"/>
  <c r="BV928" i="1"/>
  <c r="BU928" i="1"/>
  <c r="CB927" i="1"/>
  <c r="CA927" i="1"/>
  <c r="BZ927" i="1"/>
  <c r="BY927" i="1"/>
  <c r="BX927" i="1"/>
  <c r="BW927" i="1"/>
  <c r="BV927" i="1"/>
  <c r="BU927" i="1"/>
  <c r="CB926" i="1"/>
  <c r="CA926" i="1"/>
  <c r="BZ926" i="1"/>
  <c r="BY926" i="1"/>
  <c r="BX926" i="1"/>
  <c r="BW926" i="1"/>
  <c r="BV926" i="1"/>
  <c r="BU926" i="1"/>
  <c r="CB925" i="1"/>
  <c r="CA925" i="1"/>
  <c r="BZ925" i="1"/>
  <c r="BY925" i="1"/>
  <c r="BX925" i="1"/>
  <c r="BW925" i="1"/>
  <c r="BV925" i="1"/>
  <c r="BU925" i="1"/>
  <c r="CB924" i="1"/>
  <c r="CA924" i="1"/>
  <c r="BZ924" i="1"/>
  <c r="BY924" i="1"/>
  <c r="BX924" i="1"/>
  <c r="BW924" i="1"/>
  <c r="BV924" i="1"/>
  <c r="BU924" i="1"/>
  <c r="CB923" i="1"/>
  <c r="CA923" i="1"/>
  <c r="BZ923" i="1"/>
  <c r="BY923" i="1"/>
  <c r="BX923" i="1"/>
  <c r="BW923" i="1"/>
  <c r="BV923" i="1"/>
  <c r="BU923" i="1"/>
  <c r="CB922" i="1"/>
  <c r="CA922" i="1"/>
  <c r="BZ922" i="1"/>
  <c r="BY922" i="1"/>
  <c r="BX922" i="1"/>
  <c r="BW922" i="1"/>
  <c r="BV922" i="1"/>
  <c r="BU922" i="1"/>
  <c r="CB921" i="1"/>
  <c r="CA921" i="1"/>
  <c r="BZ921" i="1"/>
  <c r="BY921" i="1"/>
  <c r="BX921" i="1"/>
  <c r="BW921" i="1"/>
  <c r="BV921" i="1"/>
  <c r="BU921" i="1"/>
  <c r="CB920" i="1"/>
  <c r="CA920" i="1"/>
  <c r="BZ920" i="1"/>
  <c r="BY920" i="1"/>
  <c r="BX920" i="1"/>
  <c r="BW920" i="1"/>
  <c r="BV920" i="1"/>
  <c r="BU920" i="1"/>
  <c r="CB919" i="1"/>
  <c r="CA919" i="1"/>
  <c r="BZ919" i="1"/>
  <c r="BY919" i="1"/>
  <c r="BX919" i="1"/>
  <c r="BW919" i="1"/>
  <c r="BV919" i="1"/>
  <c r="BU919" i="1"/>
  <c r="CB918" i="1"/>
  <c r="CA918" i="1"/>
  <c r="BZ918" i="1"/>
  <c r="BY918" i="1"/>
  <c r="BX918" i="1"/>
  <c r="BW918" i="1"/>
  <c r="BV918" i="1"/>
  <c r="BU918" i="1"/>
  <c r="CB917" i="1"/>
  <c r="CA917" i="1"/>
  <c r="BZ917" i="1"/>
  <c r="BY917" i="1"/>
  <c r="BX917" i="1"/>
  <c r="BW917" i="1"/>
  <c r="BV917" i="1"/>
  <c r="BU917" i="1"/>
  <c r="CB916" i="1"/>
  <c r="CA916" i="1"/>
  <c r="BZ916" i="1"/>
  <c r="BY916" i="1"/>
  <c r="BX916" i="1"/>
  <c r="BW916" i="1"/>
  <c r="BV916" i="1"/>
  <c r="BU916" i="1"/>
  <c r="CB915" i="1"/>
  <c r="CA915" i="1"/>
  <c r="BZ915" i="1"/>
  <c r="BY915" i="1"/>
  <c r="BX915" i="1"/>
  <c r="BW915" i="1"/>
  <c r="BV915" i="1"/>
  <c r="BU915" i="1"/>
  <c r="CB914" i="1"/>
  <c r="CA914" i="1"/>
  <c r="BZ914" i="1"/>
  <c r="BY914" i="1"/>
  <c r="BX914" i="1"/>
  <c r="BW914" i="1"/>
  <c r="BV914" i="1"/>
  <c r="BU914" i="1"/>
  <c r="CB913" i="1"/>
  <c r="CA913" i="1"/>
  <c r="BZ913" i="1"/>
  <c r="BY913" i="1"/>
  <c r="BX913" i="1"/>
  <c r="BW913" i="1"/>
  <c r="BV913" i="1"/>
  <c r="BU913" i="1"/>
  <c r="CB912" i="1"/>
  <c r="CA912" i="1"/>
  <c r="BZ912" i="1"/>
  <c r="BY912" i="1"/>
  <c r="BX912" i="1"/>
  <c r="BW912" i="1"/>
  <c r="BV912" i="1"/>
  <c r="BU912" i="1"/>
  <c r="CB911" i="1"/>
  <c r="CA911" i="1"/>
  <c r="BZ911" i="1"/>
  <c r="BY911" i="1"/>
  <c r="BX911" i="1"/>
  <c r="BW911" i="1"/>
  <c r="BV911" i="1"/>
  <c r="BU911" i="1"/>
  <c r="CB910" i="1"/>
  <c r="CA910" i="1"/>
  <c r="BZ910" i="1"/>
  <c r="BY910" i="1"/>
  <c r="BX910" i="1"/>
  <c r="BW910" i="1"/>
  <c r="BV910" i="1"/>
  <c r="BU910" i="1"/>
  <c r="CB909" i="1"/>
  <c r="CA909" i="1"/>
  <c r="BZ909" i="1"/>
  <c r="BY909" i="1"/>
  <c r="BX909" i="1"/>
  <c r="BW909" i="1"/>
  <c r="BV909" i="1"/>
  <c r="BU909" i="1"/>
  <c r="CB908" i="1"/>
  <c r="CA908" i="1"/>
  <c r="BZ908" i="1"/>
  <c r="BY908" i="1"/>
  <c r="BX908" i="1"/>
  <c r="BW908" i="1"/>
  <c r="BV908" i="1"/>
  <c r="BU908" i="1"/>
  <c r="CB907" i="1"/>
  <c r="CA907" i="1"/>
  <c r="BZ907" i="1"/>
  <c r="BY907" i="1"/>
  <c r="BX907" i="1"/>
  <c r="BW907" i="1"/>
  <c r="BV907" i="1"/>
  <c r="BU907" i="1"/>
  <c r="CB906" i="1"/>
  <c r="CA906" i="1"/>
  <c r="BZ906" i="1"/>
  <c r="BY906" i="1"/>
  <c r="BX906" i="1"/>
  <c r="BW906" i="1"/>
  <c r="BV906" i="1"/>
  <c r="BU906" i="1"/>
  <c r="CB905" i="1"/>
  <c r="CA905" i="1"/>
  <c r="BZ905" i="1"/>
  <c r="BY905" i="1"/>
  <c r="BX905" i="1"/>
  <c r="BW905" i="1"/>
  <c r="BV905" i="1"/>
  <c r="BU905" i="1"/>
  <c r="CB904" i="1"/>
  <c r="CA904" i="1"/>
  <c r="BZ904" i="1"/>
  <c r="BY904" i="1"/>
  <c r="BX904" i="1"/>
  <c r="BW904" i="1"/>
  <c r="BV904" i="1"/>
  <c r="BU904" i="1"/>
  <c r="CB903" i="1"/>
  <c r="CA903" i="1"/>
  <c r="BZ903" i="1"/>
  <c r="BY903" i="1"/>
  <c r="BX903" i="1"/>
  <c r="BW903" i="1"/>
  <c r="BV903" i="1"/>
  <c r="BU903" i="1"/>
  <c r="CB902" i="1"/>
  <c r="CA902" i="1"/>
  <c r="BZ902" i="1"/>
  <c r="BY902" i="1"/>
  <c r="BX902" i="1"/>
  <c r="BW902" i="1"/>
  <c r="BV902" i="1"/>
  <c r="BU902" i="1"/>
  <c r="CB901" i="1"/>
  <c r="CA901" i="1"/>
  <c r="BZ901" i="1"/>
  <c r="BY901" i="1"/>
  <c r="BX901" i="1"/>
  <c r="BW901" i="1"/>
  <c r="BV901" i="1"/>
  <c r="BU901" i="1"/>
  <c r="CB900" i="1"/>
  <c r="CA900" i="1"/>
  <c r="BZ900" i="1"/>
  <c r="BY900" i="1"/>
  <c r="BX900" i="1"/>
  <c r="BW900" i="1"/>
  <c r="BV900" i="1"/>
  <c r="BU900" i="1"/>
  <c r="CB899" i="1"/>
  <c r="CA899" i="1"/>
  <c r="BZ899" i="1"/>
  <c r="BY899" i="1"/>
  <c r="BX899" i="1"/>
  <c r="BW899" i="1"/>
  <c r="BV899" i="1"/>
  <c r="BU899" i="1"/>
  <c r="CB898" i="1"/>
  <c r="CA898" i="1"/>
  <c r="BZ898" i="1"/>
  <c r="BY898" i="1"/>
  <c r="BX898" i="1"/>
  <c r="BW898" i="1"/>
  <c r="BV898" i="1"/>
  <c r="BU898" i="1"/>
  <c r="CB897" i="1"/>
  <c r="CA897" i="1"/>
  <c r="BZ897" i="1"/>
  <c r="BY897" i="1"/>
  <c r="BX897" i="1"/>
  <c r="BW897" i="1"/>
  <c r="BV897" i="1"/>
  <c r="BU897" i="1"/>
  <c r="CB896" i="1"/>
  <c r="CA896" i="1"/>
  <c r="BZ896" i="1"/>
  <c r="BY896" i="1"/>
  <c r="BX896" i="1"/>
  <c r="BW896" i="1"/>
  <c r="BV896" i="1"/>
  <c r="BU896" i="1"/>
  <c r="CB895" i="1"/>
  <c r="CA895" i="1"/>
  <c r="BZ895" i="1"/>
  <c r="BY895" i="1"/>
  <c r="BX895" i="1"/>
  <c r="BW895" i="1"/>
  <c r="BV895" i="1"/>
  <c r="BU895" i="1"/>
  <c r="CB894" i="1"/>
  <c r="CA894" i="1"/>
  <c r="BZ894" i="1"/>
  <c r="BY894" i="1"/>
  <c r="BX894" i="1"/>
  <c r="BW894" i="1"/>
  <c r="BV894" i="1"/>
  <c r="BU894" i="1"/>
  <c r="CB893" i="1"/>
  <c r="CA893" i="1"/>
  <c r="BZ893" i="1"/>
  <c r="BY893" i="1"/>
  <c r="BX893" i="1"/>
  <c r="BW893" i="1"/>
  <c r="BV893" i="1"/>
  <c r="BU893" i="1"/>
  <c r="CB892" i="1"/>
  <c r="CA892" i="1"/>
  <c r="BZ892" i="1"/>
  <c r="BY892" i="1"/>
  <c r="BX892" i="1"/>
  <c r="BW892" i="1"/>
  <c r="BV892" i="1"/>
  <c r="BU892" i="1"/>
  <c r="CB891" i="1"/>
  <c r="CA891" i="1"/>
  <c r="BZ891" i="1"/>
  <c r="BY891" i="1"/>
  <c r="BX891" i="1"/>
  <c r="BW891" i="1"/>
  <c r="BV891" i="1"/>
  <c r="BU891" i="1"/>
  <c r="CB890" i="1"/>
  <c r="CA890" i="1"/>
  <c r="BZ890" i="1"/>
  <c r="BY890" i="1"/>
  <c r="BX890" i="1"/>
  <c r="BW890" i="1"/>
  <c r="BV890" i="1"/>
  <c r="BU890" i="1"/>
  <c r="CB889" i="1"/>
  <c r="CA889" i="1"/>
  <c r="BZ889" i="1"/>
  <c r="BY889" i="1"/>
  <c r="BX889" i="1"/>
  <c r="BW889" i="1"/>
  <c r="BV889" i="1"/>
  <c r="BU889" i="1"/>
  <c r="CB888" i="1"/>
  <c r="CA888" i="1"/>
  <c r="BZ888" i="1"/>
  <c r="BY888" i="1"/>
  <c r="BX888" i="1"/>
  <c r="BW888" i="1"/>
  <c r="BV888" i="1"/>
  <c r="BU888" i="1"/>
  <c r="CB887" i="1"/>
  <c r="CA887" i="1"/>
  <c r="BZ887" i="1"/>
  <c r="BY887" i="1"/>
  <c r="BX887" i="1"/>
  <c r="BW887" i="1"/>
  <c r="BV887" i="1"/>
  <c r="BU887" i="1"/>
  <c r="CB886" i="1"/>
  <c r="CA886" i="1"/>
  <c r="BZ886" i="1"/>
  <c r="BY886" i="1"/>
  <c r="BX886" i="1"/>
  <c r="BW886" i="1"/>
  <c r="BV886" i="1"/>
  <c r="BU886" i="1"/>
  <c r="CB885" i="1"/>
  <c r="CA885" i="1"/>
  <c r="BZ885" i="1"/>
  <c r="BY885" i="1"/>
  <c r="BX885" i="1"/>
  <c r="BW885" i="1"/>
  <c r="BV885" i="1"/>
  <c r="BU885" i="1"/>
  <c r="CB884" i="1"/>
  <c r="CA884" i="1"/>
  <c r="BZ884" i="1"/>
  <c r="BY884" i="1"/>
  <c r="BX884" i="1"/>
  <c r="BW884" i="1"/>
  <c r="BV884" i="1"/>
  <c r="BU884" i="1"/>
  <c r="CB883" i="1"/>
  <c r="CA883" i="1"/>
  <c r="BZ883" i="1"/>
  <c r="BY883" i="1"/>
  <c r="BX883" i="1"/>
  <c r="BW883" i="1"/>
  <c r="BV883" i="1"/>
  <c r="BU883" i="1"/>
  <c r="CB882" i="1"/>
  <c r="CA882" i="1"/>
  <c r="BZ882" i="1"/>
  <c r="BY882" i="1"/>
  <c r="BX882" i="1"/>
  <c r="BW882" i="1"/>
  <c r="BV882" i="1"/>
  <c r="BU882" i="1"/>
  <c r="CB881" i="1"/>
  <c r="CA881" i="1"/>
  <c r="BZ881" i="1"/>
  <c r="BY881" i="1"/>
  <c r="BX881" i="1"/>
  <c r="BW881" i="1"/>
  <c r="BV881" i="1"/>
  <c r="BU881" i="1"/>
  <c r="CB880" i="1"/>
  <c r="CA880" i="1"/>
  <c r="BZ880" i="1"/>
  <c r="BY880" i="1"/>
  <c r="BX880" i="1"/>
  <c r="BW880" i="1"/>
  <c r="BV880" i="1"/>
  <c r="BU880" i="1"/>
  <c r="CB879" i="1"/>
  <c r="CA879" i="1"/>
  <c r="BZ879" i="1"/>
  <c r="BY879" i="1"/>
  <c r="BX879" i="1"/>
  <c r="BW879" i="1"/>
  <c r="BV879" i="1"/>
  <c r="BU879" i="1"/>
  <c r="CB878" i="1"/>
  <c r="CA878" i="1"/>
  <c r="BZ878" i="1"/>
  <c r="BY878" i="1"/>
  <c r="BX878" i="1"/>
  <c r="BW878" i="1"/>
  <c r="BV878" i="1"/>
  <c r="BU878" i="1"/>
  <c r="CB877" i="1"/>
  <c r="CA877" i="1"/>
  <c r="BZ877" i="1"/>
  <c r="BY877" i="1"/>
  <c r="BX877" i="1"/>
  <c r="BW877" i="1"/>
  <c r="BV877" i="1"/>
  <c r="BU877" i="1"/>
  <c r="CB876" i="1"/>
  <c r="CA876" i="1"/>
  <c r="BZ876" i="1"/>
  <c r="BY876" i="1"/>
  <c r="BX876" i="1"/>
  <c r="BW876" i="1"/>
  <c r="BV876" i="1"/>
  <c r="BU876" i="1"/>
  <c r="CB875" i="1"/>
  <c r="CA875" i="1"/>
  <c r="BZ875" i="1"/>
  <c r="BY875" i="1"/>
  <c r="BX875" i="1"/>
  <c r="BW875" i="1"/>
  <c r="BV875" i="1"/>
  <c r="BU875" i="1"/>
  <c r="CB874" i="1"/>
  <c r="CA874" i="1"/>
  <c r="BZ874" i="1"/>
  <c r="BY874" i="1"/>
  <c r="BX874" i="1"/>
  <c r="BW874" i="1"/>
  <c r="BV874" i="1"/>
  <c r="BU874" i="1"/>
  <c r="CB873" i="1"/>
  <c r="CA873" i="1"/>
  <c r="BZ873" i="1"/>
  <c r="BY873" i="1"/>
  <c r="BX873" i="1"/>
  <c r="BW873" i="1"/>
  <c r="BV873" i="1"/>
  <c r="BU873" i="1"/>
  <c r="CB872" i="1"/>
  <c r="CA872" i="1"/>
  <c r="BZ872" i="1"/>
  <c r="BY872" i="1"/>
  <c r="BX872" i="1"/>
  <c r="BW872" i="1"/>
  <c r="BV872" i="1"/>
  <c r="BU872" i="1"/>
  <c r="CB871" i="1"/>
  <c r="CA871" i="1"/>
  <c r="BZ871" i="1"/>
  <c r="BY871" i="1"/>
  <c r="BX871" i="1"/>
  <c r="BW871" i="1"/>
  <c r="BV871" i="1"/>
  <c r="BU871" i="1"/>
  <c r="CB870" i="1"/>
  <c r="CA870" i="1"/>
  <c r="BZ870" i="1"/>
  <c r="BY870" i="1"/>
  <c r="BX870" i="1"/>
  <c r="BW870" i="1"/>
  <c r="BV870" i="1"/>
  <c r="BU870" i="1"/>
  <c r="CB869" i="1"/>
  <c r="CA869" i="1"/>
  <c r="BZ869" i="1"/>
  <c r="BY869" i="1"/>
  <c r="BX869" i="1"/>
  <c r="BW869" i="1"/>
  <c r="BV869" i="1"/>
  <c r="BU869" i="1"/>
  <c r="CB868" i="1"/>
  <c r="CA868" i="1"/>
  <c r="BZ868" i="1"/>
  <c r="BY868" i="1"/>
  <c r="BX868" i="1"/>
  <c r="BW868" i="1"/>
  <c r="BV868" i="1"/>
  <c r="BU868" i="1"/>
  <c r="CB867" i="1"/>
  <c r="CA867" i="1"/>
  <c r="BZ867" i="1"/>
  <c r="BY867" i="1"/>
  <c r="BX867" i="1"/>
  <c r="BW867" i="1"/>
  <c r="BV867" i="1"/>
  <c r="BU867" i="1"/>
  <c r="CB866" i="1"/>
  <c r="CA866" i="1"/>
  <c r="BZ866" i="1"/>
  <c r="BY866" i="1"/>
  <c r="BX866" i="1"/>
  <c r="BW866" i="1"/>
  <c r="BV866" i="1"/>
  <c r="BU866" i="1"/>
  <c r="CB865" i="1"/>
  <c r="CA865" i="1"/>
  <c r="BZ865" i="1"/>
  <c r="BY865" i="1"/>
  <c r="BX865" i="1"/>
  <c r="BW865" i="1"/>
  <c r="BV865" i="1"/>
  <c r="BU865" i="1"/>
  <c r="CB864" i="1"/>
  <c r="CA864" i="1"/>
  <c r="BZ864" i="1"/>
  <c r="BY864" i="1"/>
  <c r="BX864" i="1"/>
  <c r="BW864" i="1"/>
  <c r="BV864" i="1"/>
  <c r="BU864" i="1"/>
  <c r="CB863" i="1"/>
  <c r="CA863" i="1"/>
  <c r="BZ863" i="1"/>
  <c r="BY863" i="1"/>
  <c r="BX863" i="1"/>
  <c r="BW863" i="1"/>
  <c r="BV863" i="1"/>
  <c r="BU863" i="1"/>
  <c r="CB862" i="1"/>
  <c r="CA862" i="1"/>
  <c r="BZ862" i="1"/>
  <c r="BY862" i="1"/>
  <c r="BX862" i="1"/>
  <c r="BW862" i="1"/>
  <c r="BV862" i="1"/>
  <c r="BU862" i="1"/>
  <c r="CB861" i="1"/>
  <c r="CA861" i="1"/>
  <c r="BZ861" i="1"/>
  <c r="BY861" i="1"/>
  <c r="BX861" i="1"/>
  <c r="BW861" i="1"/>
  <c r="BV861" i="1"/>
  <c r="BU861" i="1"/>
  <c r="CB860" i="1"/>
  <c r="CA860" i="1"/>
  <c r="BZ860" i="1"/>
  <c r="BY860" i="1"/>
  <c r="BX860" i="1"/>
  <c r="BW860" i="1"/>
  <c r="BV860" i="1"/>
  <c r="BU860" i="1"/>
  <c r="CB859" i="1"/>
  <c r="CA859" i="1"/>
  <c r="BZ859" i="1"/>
  <c r="BY859" i="1"/>
  <c r="BX859" i="1"/>
  <c r="BW859" i="1"/>
  <c r="BV859" i="1"/>
  <c r="BU859" i="1"/>
  <c r="CB858" i="1"/>
  <c r="CA858" i="1"/>
  <c r="BZ858" i="1"/>
  <c r="BY858" i="1"/>
  <c r="BX858" i="1"/>
  <c r="BW858" i="1"/>
  <c r="BV858" i="1"/>
  <c r="BU858" i="1"/>
  <c r="CB857" i="1"/>
  <c r="CA857" i="1"/>
  <c r="BZ857" i="1"/>
  <c r="BY857" i="1"/>
  <c r="BX857" i="1"/>
  <c r="BW857" i="1"/>
  <c r="BV857" i="1"/>
  <c r="BU857" i="1"/>
  <c r="CB856" i="1"/>
  <c r="CA856" i="1"/>
  <c r="BZ856" i="1"/>
  <c r="BY856" i="1"/>
  <c r="BX856" i="1"/>
  <c r="BW856" i="1"/>
  <c r="BV856" i="1"/>
  <c r="BU856" i="1"/>
  <c r="CB855" i="1"/>
  <c r="CA855" i="1"/>
  <c r="BZ855" i="1"/>
  <c r="BY855" i="1"/>
  <c r="BX855" i="1"/>
  <c r="BW855" i="1"/>
  <c r="BV855" i="1"/>
  <c r="BU855" i="1"/>
  <c r="CB854" i="1"/>
  <c r="CA854" i="1"/>
  <c r="BZ854" i="1"/>
  <c r="BY854" i="1"/>
  <c r="BX854" i="1"/>
  <c r="BW854" i="1"/>
  <c r="BV854" i="1"/>
  <c r="BU854" i="1"/>
  <c r="CB853" i="1"/>
  <c r="CA853" i="1"/>
  <c r="BZ853" i="1"/>
  <c r="BY853" i="1"/>
  <c r="BX853" i="1"/>
  <c r="BW853" i="1"/>
  <c r="BV853" i="1"/>
  <c r="BU853" i="1"/>
  <c r="CB852" i="1"/>
  <c r="CA852" i="1"/>
  <c r="BZ852" i="1"/>
  <c r="BY852" i="1"/>
  <c r="BX852" i="1"/>
  <c r="BW852" i="1"/>
  <c r="BV852" i="1"/>
  <c r="BU852" i="1"/>
  <c r="CB851" i="1"/>
  <c r="CA851" i="1"/>
  <c r="BZ851" i="1"/>
  <c r="BY851" i="1"/>
  <c r="BX851" i="1"/>
  <c r="BW851" i="1"/>
  <c r="BV851" i="1"/>
  <c r="BU851" i="1"/>
  <c r="CB850" i="1"/>
  <c r="CA850" i="1"/>
  <c r="BZ850" i="1"/>
  <c r="BY850" i="1"/>
  <c r="BX850" i="1"/>
  <c r="BW850" i="1"/>
  <c r="BV850" i="1"/>
  <c r="BU850" i="1"/>
  <c r="CB849" i="1"/>
  <c r="CA849" i="1"/>
  <c r="BZ849" i="1"/>
  <c r="BY849" i="1"/>
  <c r="BX849" i="1"/>
  <c r="BW849" i="1"/>
  <c r="BV849" i="1"/>
  <c r="BU849" i="1"/>
  <c r="CB848" i="1"/>
  <c r="CA848" i="1"/>
  <c r="BZ848" i="1"/>
  <c r="BY848" i="1"/>
  <c r="BX848" i="1"/>
  <c r="BW848" i="1"/>
  <c r="BV848" i="1"/>
  <c r="BU848" i="1"/>
  <c r="CB847" i="1"/>
  <c r="CA847" i="1"/>
  <c r="BZ847" i="1"/>
  <c r="BY847" i="1"/>
  <c r="BX847" i="1"/>
  <c r="BW847" i="1"/>
  <c r="BV847" i="1"/>
  <c r="BU847" i="1"/>
  <c r="CB846" i="1"/>
  <c r="CA846" i="1"/>
  <c r="BZ846" i="1"/>
  <c r="BY846" i="1"/>
  <c r="BX846" i="1"/>
  <c r="BW846" i="1"/>
  <c r="BV846" i="1"/>
  <c r="BU846" i="1"/>
  <c r="CB845" i="1"/>
  <c r="CA845" i="1"/>
  <c r="BZ845" i="1"/>
  <c r="BY845" i="1"/>
  <c r="BX845" i="1"/>
  <c r="BW845" i="1"/>
  <c r="BV845" i="1"/>
  <c r="BU845" i="1"/>
  <c r="CB844" i="1"/>
  <c r="CA844" i="1"/>
  <c r="BZ844" i="1"/>
  <c r="BY844" i="1"/>
  <c r="BX844" i="1"/>
  <c r="BW844" i="1"/>
  <c r="BV844" i="1"/>
  <c r="BU844" i="1"/>
  <c r="CB843" i="1"/>
  <c r="CA843" i="1"/>
  <c r="BZ843" i="1"/>
  <c r="BY843" i="1"/>
  <c r="BX843" i="1"/>
  <c r="BW843" i="1"/>
  <c r="BV843" i="1"/>
  <c r="BU843" i="1"/>
  <c r="CB842" i="1"/>
  <c r="CA842" i="1"/>
  <c r="BZ842" i="1"/>
  <c r="BY842" i="1"/>
  <c r="BX842" i="1"/>
  <c r="BW842" i="1"/>
  <c r="BV842" i="1"/>
  <c r="BU842" i="1"/>
  <c r="CB841" i="1"/>
  <c r="CA841" i="1"/>
  <c r="BZ841" i="1"/>
  <c r="BY841" i="1"/>
  <c r="BX841" i="1"/>
  <c r="BW841" i="1"/>
  <c r="BV841" i="1"/>
  <c r="BU841" i="1"/>
  <c r="CB840" i="1"/>
  <c r="CA840" i="1"/>
  <c r="BZ840" i="1"/>
  <c r="BY840" i="1"/>
  <c r="BX840" i="1"/>
  <c r="BW840" i="1"/>
  <c r="BV840" i="1"/>
  <c r="BU840" i="1"/>
  <c r="CB839" i="1"/>
  <c r="CA839" i="1"/>
  <c r="BZ839" i="1"/>
  <c r="BY839" i="1"/>
  <c r="BX839" i="1"/>
  <c r="BW839" i="1"/>
  <c r="BV839" i="1"/>
  <c r="BU839" i="1"/>
  <c r="CB838" i="1"/>
  <c r="CA838" i="1"/>
  <c r="BZ838" i="1"/>
  <c r="BY838" i="1"/>
  <c r="BX838" i="1"/>
  <c r="BW838" i="1"/>
  <c r="BV838" i="1"/>
  <c r="BU838" i="1"/>
  <c r="CB837" i="1"/>
  <c r="CA837" i="1"/>
  <c r="BZ837" i="1"/>
  <c r="BY837" i="1"/>
  <c r="BX837" i="1"/>
  <c r="BW837" i="1"/>
  <c r="BV837" i="1"/>
  <c r="BU837" i="1"/>
  <c r="CB836" i="1"/>
  <c r="CA836" i="1"/>
  <c r="BZ836" i="1"/>
  <c r="BY836" i="1"/>
  <c r="BX836" i="1"/>
  <c r="BW836" i="1"/>
  <c r="BV836" i="1"/>
  <c r="BU836" i="1"/>
  <c r="CB835" i="1"/>
  <c r="CA835" i="1"/>
  <c r="BZ835" i="1"/>
  <c r="BY835" i="1"/>
  <c r="BX835" i="1"/>
  <c r="BW835" i="1"/>
  <c r="BV835" i="1"/>
  <c r="BU835" i="1"/>
  <c r="CB834" i="1"/>
  <c r="CA834" i="1"/>
  <c r="BZ834" i="1"/>
  <c r="BY834" i="1"/>
  <c r="BX834" i="1"/>
  <c r="BW834" i="1"/>
  <c r="BV834" i="1"/>
  <c r="BU834" i="1"/>
  <c r="CB833" i="1"/>
  <c r="CA833" i="1"/>
  <c r="BZ833" i="1"/>
  <c r="BY833" i="1"/>
  <c r="BX833" i="1"/>
  <c r="BW833" i="1"/>
  <c r="BV833" i="1"/>
  <c r="BU833" i="1"/>
  <c r="CB832" i="1"/>
  <c r="CA832" i="1"/>
  <c r="BZ832" i="1"/>
  <c r="BY832" i="1"/>
  <c r="BX832" i="1"/>
  <c r="BW832" i="1"/>
  <c r="BV832" i="1"/>
  <c r="BU832" i="1"/>
  <c r="CB831" i="1"/>
  <c r="CA831" i="1"/>
  <c r="BZ831" i="1"/>
  <c r="BY831" i="1"/>
  <c r="BX831" i="1"/>
  <c r="BW831" i="1"/>
  <c r="BV831" i="1"/>
  <c r="BU831" i="1"/>
  <c r="CB830" i="1"/>
  <c r="CA830" i="1"/>
  <c r="BZ830" i="1"/>
  <c r="BY830" i="1"/>
  <c r="BX830" i="1"/>
  <c r="BW830" i="1"/>
  <c r="BV830" i="1"/>
  <c r="BU830" i="1"/>
  <c r="CB829" i="1"/>
  <c r="CA829" i="1"/>
  <c r="BZ829" i="1"/>
  <c r="BY829" i="1"/>
  <c r="BX829" i="1"/>
  <c r="BW829" i="1"/>
  <c r="BV829" i="1"/>
  <c r="BU829" i="1"/>
  <c r="CB828" i="1"/>
  <c r="CA828" i="1"/>
  <c r="BZ828" i="1"/>
  <c r="BY828" i="1"/>
  <c r="BX828" i="1"/>
  <c r="BW828" i="1"/>
  <c r="BV828" i="1"/>
  <c r="BU828" i="1"/>
  <c r="CB827" i="1"/>
  <c r="CA827" i="1"/>
  <c r="BZ827" i="1"/>
  <c r="BY827" i="1"/>
  <c r="BX827" i="1"/>
  <c r="BW827" i="1"/>
  <c r="BV827" i="1"/>
  <c r="BU827" i="1"/>
  <c r="CB826" i="1"/>
  <c r="CA826" i="1"/>
  <c r="BZ826" i="1"/>
  <c r="BY826" i="1"/>
  <c r="BX826" i="1"/>
  <c r="BW826" i="1"/>
  <c r="BV826" i="1"/>
  <c r="BU826" i="1"/>
  <c r="CB825" i="1"/>
  <c r="CA825" i="1"/>
  <c r="BZ825" i="1"/>
  <c r="BY825" i="1"/>
  <c r="BX825" i="1"/>
  <c r="BW825" i="1"/>
  <c r="BV825" i="1"/>
  <c r="BU825" i="1"/>
  <c r="CB824" i="1"/>
  <c r="CA824" i="1"/>
  <c r="BZ824" i="1"/>
  <c r="BY824" i="1"/>
  <c r="BX824" i="1"/>
  <c r="BW824" i="1"/>
  <c r="BV824" i="1"/>
  <c r="BU824" i="1"/>
  <c r="CB823" i="1"/>
  <c r="CA823" i="1"/>
  <c r="BZ823" i="1"/>
  <c r="BY823" i="1"/>
  <c r="BX823" i="1"/>
  <c r="BW823" i="1"/>
  <c r="BV823" i="1"/>
  <c r="BU823" i="1"/>
  <c r="CB822" i="1"/>
  <c r="CA822" i="1"/>
  <c r="BZ822" i="1"/>
  <c r="BY822" i="1"/>
  <c r="BX822" i="1"/>
  <c r="BW822" i="1"/>
  <c r="BV822" i="1"/>
  <c r="BU822" i="1"/>
  <c r="CB821" i="1"/>
  <c r="CA821" i="1"/>
  <c r="BZ821" i="1"/>
  <c r="BY821" i="1"/>
  <c r="BX821" i="1"/>
  <c r="BW821" i="1"/>
  <c r="BV821" i="1"/>
  <c r="BU821" i="1"/>
  <c r="CB820" i="1"/>
  <c r="CA820" i="1"/>
  <c r="BZ820" i="1"/>
  <c r="BY820" i="1"/>
  <c r="BX820" i="1"/>
  <c r="BW820" i="1"/>
  <c r="BV820" i="1"/>
  <c r="BU820" i="1"/>
  <c r="CB819" i="1"/>
  <c r="CA819" i="1"/>
  <c r="BZ819" i="1"/>
  <c r="BY819" i="1"/>
  <c r="BX819" i="1"/>
  <c r="BW819" i="1"/>
  <c r="BV819" i="1"/>
  <c r="BU819" i="1"/>
  <c r="CB818" i="1"/>
  <c r="CA818" i="1"/>
  <c r="BZ818" i="1"/>
  <c r="BY818" i="1"/>
  <c r="BX818" i="1"/>
  <c r="BW818" i="1"/>
  <c r="BV818" i="1"/>
  <c r="BU818" i="1"/>
  <c r="CB817" i="1"/>
  <c r="CA817" i="1"/>
  <c r="BZ817" i="1"/>
  <c r="BY817" i="1"/>
  <c r="BX817" i="1"/>
  <c r="BW817" i="1"/>
  <c r="BV817" i="1"/>
  <c r="BU817" i="1"/>
  <c r="CB816" i="1"/>
  <c r="CA816" i="1"/>
  <c r="BZ816" i="1"/>
  <c r="BY816" i="1"/>
  <c r="BX816" i="1"/>
  <c r="BW816" i="1"/>
  <c r="BV816" i="1"/>
  <c r="BU816" i="1"/>
  <c r="CB815" i="1"/>
  <c r="CA815" i="1"/>
  <c r="BZ815" i="1"/>
  <c r="BY815" i="1"/>
  <c r="BX815" i="1"/>
  <c r="BW815" i="1"/>
  <c r="BV815" i="1"/>
  <c r="BU815" i="1"/>
  <c r="CB814" i="1"/>
  <c r="CA814" i="1"/>
  <c r="BZ814" i="1"/>
  <c r="BY814" i="1"/>
  <c r="BX814" i="1"/>
  <c r="BW814" i="1"/>
  <c r="BV814" i="1"/>
  <c r="BU814" i="1"/>
  <c r="CB813" i="1"/>
  <c r="CA813" i="1"/>
  <c r="BZ813" i="1"/>
  <c r="BY813" i="1"/>
  <c r="BX813" i="1"/>
  <c r="BW813" i="1"/>
  <c r="BV813" i="1"/>
  <c r="BU813" i="1"/>
  <c r="CB812" i="1"/>
  <c r="CA812" i="1"/>
  <c r="BZ812" i="1"/>
  <c r="BY812" i="1"/>
  <c r="BX812" i="1"/>
  <c r="BW812" i="1"/>
  <c r="BV812" i="1"/>
  <c r="BU812" i="1"/>
  <c r="CB811" i="1"/>
  <c r="CA811" i="1"/>
  <c r="BZ811" i="1"/>
  <c r="BY811" i="1"/>
  <c r="BX811" i="1"/>
  <c r="BW811" i="1"/>
  <c r="BV811" i="1"/>
  <c r="BU811" i="1"/>
  <c r="CB810" i="1"/>
  <c r="CA810" i="1"/>
  <c r="BZ810" i="1"/>
  <c r="BY810" i="1"/>
  <c r="BX810" i="1"/>
  <c r="BW810" i="1"/>
  <c r="BV810" i="1"/>
  <c r="BU810" i="1"/>
  <c r="CB809" i="1"/>
  <c r="CA809" i="1"/>
  <c r="BZ809" i="1"/>
  <c r="BY809" i="1"/>
  <c r="BX809" i="1"/>
  <c r="BW809" i="1"/>
  <c r="BV809" i="1"/>
  <c r="BU809" i="1"/>
  <c r="CB808" i="1"/>
  <c r="CA808" i="1"/>
  <c r="BZ808" i="1"/>
  <c r="BY808" i="1"/>
  <c r="BX808" i="1"/>
  <c r="BW808" i="1"/>
  <c r="BV808" i="1"/>
  <c r="BU808" i="1"/>
  <c r="CB807" i="1"/>
  <c r="CA807" i="1"/>
  <c r="BZ807" i="1"/>
  <c r="BY807" i="1"/>
  <c r="BX807" i="1"/>
  <c r="BW807" i="1"/>
  <c r="BV807" i="1"/>
  <c r="BU807" i="1"/>
  <c r="CB806" i="1"/>
  <c r="CA806" i="1"/>
  <c r="BZ806" i="1"/>
  <c r="BY806" i="1"/>
  <c r="BX806" i="1"/>
  <c r="BW806" i="1"/>
  <c r="BV806" i="1"/>
  <c r="BU806" i="1"/>
  <c r="CB805" i="1"/>
  <c r="CA805" i="1"/>
  <c r="BZ805" i="1"/>
  <c r="BY805" i="1"/>
  <c r="BX805" i="1"/>
  <c r="BW805" i="1"/>
  <c r="BV805" i="1"/>
  <c r="BU805" i="1"/>
  <c r="CB804" i="1"/>
  <c r="CA804" i="1"/>
  <c r="BZ804" i="1"/>
  <c r="BY804" i="1"/>
  <c r="BX804" i="1"/>
  <c r="BW804" i="1"/>
  <c r="BV804" i="1"/>
  <c r="BU804" i="1"/>
  <c r="CB803" i="1"/>
  <c r="CA803" i="1"/>
  <c r="BZ803" i="1"/>
  <c r="BY803" i="1"/>
  <c r="BX803" i="1"/>
  <c r="BW803" i="1"/>
  <c r="BV803" i="1"/>
  <c r="BU803" i="1"/>
  <c r="CB802" i="1"/>
  <c r="CA802" i="1"/>
  <c r="BZ802" i="1"/>
  <c r="BY802" i="1"/>
  <c r="BX802" i="1"/>
  <c r="BW802" i="1"/>
  <c r="BV802" i="1"/>
  <c r="BU802" i="1"/>
  <c r="CB801" i="1"/>
  <c r="CA801" i="1"/>
  <c r="BZ801" i="1"/>
  <c r="BY801" i="1"/>
  <c r="BX801" i="1"/>
  <c r="BW801" i="1"/>
  <c r="BV801" i="1"/>
  <c r="BU801" i="1"/>
  <c r="CB800" i="1"/>
  <c r="CA800" i="1"/>
  <c r="BZ800" i="1"/>
  <c r="BY800" i="1"/>
  <c r="BX800" i="1"/>
  <c r="BW800" i="1"/>
  <c r="BV800" i="1"/>
  <c r="BU800" i="1"/>
  <c r="CB799" i="1"/>
  <c r="CA799" i="1"/>
  <c r="BZ799" i="1"/>
  <c r="BY799" i="1"/>
  <c r="BX799" i="1"/>
  <c r="BW799" i="1"/>
  <c r="BV799" i="1"/>
  <c r="BU799" i="1"/>
  <c r="CB798" i="1"/>
  <c r="CA798" i="1"/>
  <c r="BZ798" i="1"/>
  <c r="BY798" i="1"/>
  <c r="BX798" i="1"/>
  <c r="BW798" i="1"/>
  <c r="BV798" i="1"/>
  <c r="BU798" i="1"/>
  <c r="CB797" i="1"/>
  <c r="CA797" i="1"/>
  <c r="BZ797" i="1"/>
  <c r="BY797" i="1"/>
  <c r="BX797" i="1"/>
  <c r="BW797" i="1"/>
  <c r="BV797" i="1"/>
  <c r="BU797" i="1"/>
  <c r="CB796" i="1"/>
  <c r="CA796" i="1"/>
  <c r="BZ796" i="1"/>
  <c r="BY796" i="1"/>
  <c r="BX796" i="1"/>
  <c r="BW796" i="1"/>
  <c r="BV796" i="1"/>
  <c r="BU796" i="1"/>
  <c r="CB795" i="1"/>
  <c r="CA795" i="1"/>
  <c r="BZ795" i="1"/>
  <c r="BY795" i="1"/>
  <c r="BX795" i="1"/>
  <c r="BW795" i="1"/>
  <c r="BV795" i="1"/>
  <c r="BU795" i="1"/>
  <c r="CB794" i="1"/>
  <c r="CA794" i="1"/>
  <c r="BZ794" i="1"/>
  <c r="BY794" i="1"/>
  <c r="BX794" i="1"/>
  <c r="BW794" i="1"/>
  <c r="BV794" i="1"/>
  <c r="BU794" i="1"/>
  <c r="CB793" i="1"/>
  <c r="CA793" i="1"/>
  <c r="BZ793" i="1"/>
  <c r="BY793" i="1"/>
  <c r="BX793" i="1"/>
  <c r="BW793" i="1"/>
  <c r="BV793" i="1"/>
  <c r="BU793" i="1"/>
  <c r="CB792" i="1"/>
  <c r="CA792" i="1"/>
  <c r="BZ792" i="1"/>
  <c r="BY792" i="1"/>
  <c r="BX792" i="1"/>
  <c r="BW792" i="1"/>
  <c r="BV792" i="1"/>
  <c r="BU792" i="1"/>
  <c r="CB791" i="1"/>
  <c r="CA791" i="1"/>
  <c r="BZ791" i="1"/>
  <c r="BY791" i="1"/>
  <c r="BX791" i="1"/>
  <c r="BW791" i="1"/>
  <c r="BV791" i="1"/>
  <c r="BU791" i="1"/>
  <c r="CB790" i="1"/>
  <c r="CA790" i="1"/>
  <c r="BZ790" i="1"/>
  <c r="BY790" i="1"/>
  <c r="BX790" i="1"/>
  <c r="BW790" i="1"/>
  <c r="BV790" i="1"/>
  <c r="BU790" i="1"/>
  <c r="CB789" i="1"/>
  <c r="CA789" i="1"/>
  <c r="BZ789" i="1"/>
  <c r="BY789" i="1"/>
  <c r="BX789" i="1"/>
  <c r="BW789" i="1"/>
  <c r="BV789" i="1"/>
  <c r="BU789" i="1"/>
  <c r="CB788" i="1"/>
  <c r="CA788" i="1"/>
  <c r="BZ788" i="1"/>
  <c r="BY788" i="1"/>
  <c r="BX788" i="1"/>
  <c r="BW788" i="1"/>
  <c r="BV788" i="1"/>
  <c r="BU788" i="1"/>
  <c r="CB787" i="1"/>
  <c r="CA787" i="1"/>
  <c r="BZ787" i="1"/>
  <c r="BY787" i="1"/>
  <c r="BX787" i="1"/>
  <c r="BW787" i="1"/>
  <c r="BV787" i="1"/>
  <c r="BU787" i="1"/>
  <c r="CB786" i="1"/>
  <c r="CA786" i="1"/>
  <c r="BZ786" i="1"/>
  <c r="BY786" i="1"/>
  <c r="BX786" i="1"/>
  <c r="BW786" i="1"/>
  <c r="BV786" i="1"/>
  <c r="BU786" i="1"/>
  <c r="CB785" i="1"/>
  <c r="CA785" i="1"/>
  <c r="BZ785" i="1"/>
  <c r="BY785" i="1"/>
  <c r="BX785" i="1"/>
  <c r="BW785" i="1"/>
  <c r="BV785" i="1"/>
  <c r="BU785" i="1"/>
  <c r="CB784" i="1"/>
  <c r="CA784" i="1"/>
  <c r="BZ784" i="1"/>
  <c r="BY784" i="1"/>
  <c r="BX784" i="1"/>
  <c r="BW784" i="1"/>
  <c r="BV784" i="1"/>
  <c r="BU784" i="1"/>
  <c r="CB783" i="1"/>
  <c r="CA783" i="1"/>
  <c r="BZ783" i="1"/>
  <c r="BY783" i="1"/>
  <c r="BX783" i="1"/>
  <c r="BW783" i="1"/>
  <c r="BV783" i="1"/>
  <c r="BU783" i="1"/>
  <c r="CB782" i="1"/>
  <c r="CA782" i="1"/>
  <c r="BZ782" i="1"/>
  <c r="BY782" i="1"/>
  <c r="BX782" i="1"/>
  <c r="BW782" i="1"/>
  <c r="BV782" i="1"/>
  <c r="BU782" i="1"/>
  <c r="CB781" i="1"/>
  <c r="CA781" i="1"/>
  <c r="BZ781" i="1"/>
  <c r="BY781" i="1"/>
  <c r="BX781" i="1"/>
  <c r="BW781" i="1"/>
  <c r="BV781" i="1"/>
  <c r="BU781" i="1"/>
  <c r="CB780" i="1"/>
  <c r="CA780" i="1"/>
  <c r="BZ780" i="1"/>
  <c r="BY780" i="1"/>
  <c r="BX780" i="1"/>
  <c r="BW780" i="1"/>
  <c r="BV780" i="1"/>
  <c r="BU780" i="1"/>
  <c r="CB779" i="1"/>
  <c r="CA779" i="1"/>
  <c r="BZ779" i="1"/>
  <c r="BY779" i="1"/>
  <c r="BX779" i="1"/>
  <c r="BW779" i="1"/>
  <c r="BV779" i="1"/>
  <c r="BU779" i="1"/>
  <c r="CB778" i="1"/>
  <c r="CA778" i="1"/>
  <c r="BZ778" i="1"/>
  <c r="BY778" i="1"/>
  <c r="BX778" i="1"/>
  <c r="BW778" i="1"/>
  <c r="BV778" i="1"/>
  <c r="BU778" i="1"/>
  <c r="CB777" i="1"/>
  <c r="CA777" i="1"/>
  <c r="BZ777" i="1"/>
  <c r="BY777" i="1"/>
  <c r="BX777" i="1"/>
  <c r="BW777" i="1"/>
  <c r="BV777" i="1"/>
  <c r="BU777" i="1"/>
  <c r="CB776" i="1"/>
  <c r="CA776" i="1"/>
  <c r="BZ776" i="1"/>
  <c r="BY776" i="1"/>
  <c r="BX776" i="1"/>
  <c r="BW776" i="1"/>
  <c r="BV776" i="1"/>
  <c r="BU776" i="1"/>
  <c r="CB775" i="1"/>
  <c r="CA775" i="1"/>
  <c r="BZ775" i="1"/>
  <c r="BY775" i="1"/>
  <c r="BX775" i="1"/>
  <c r="BW775" i="1"/>
  <c r="BV775" i="1"/>
  <c r="BU775" i="1"/>
  <c r="CB774" i="1"/>
  <c r="CA774" i="1"/>
  <c r="BZ774" i="1"/>
  <c r="BY774" i="1"/>
  <c r="BX774" i="1"/>
  <c r="BW774" i="1"/>
  <c r="BV774" i="1"/>
  <c r="BU774" i="1"/>
  <c r="CB773" i="1"/>
  <c r="CA773" i="1"/>
  <c r="BZ773" i="1"/>
  <c r="BY773" i="1"/>
  <c r="BX773" i="1"/>
  <c r="BW773" i="1"/>
  <c r="BV773" i="1"/>
  <c r="BU773" i="1"/>
  <c r="CB772" i="1"/>
  <c r="CA772" i="1"/>
  <c r="BZ772" i="1"/>
  <c r="BY772" i="1"/>
  <c r="BX772" i="1"/>
  <c r="BW772" i="1"/>
  <c r="BV772" i="1"/>
  <c r="BU772" i="1"/>
  <c r="CB771" i="1"/>
  <c r="CA771" i="1"/>
  <c r="BZ771" i="1"/>
  <c r="BY771" i="1"/>
  <c r="BX771" i="1"/>
  <c r="BW771" i="1"/>
  <c r="BV771" i="1"/>
  <c r="BU771" i="1"/>
  <c r="CB770" i="1"/>
  <c r="CA770" i="1"/>
  <c r="BZ770" i="1"/>
  <c r="BY770" i="1"/>
  <c r="BX770" i="1"/>
  <c r="BW770" i="1"/>
  <c r="BV770" i="1"/>
  <c r="BU770" i="1"/>
  <c r="CB769" i="1"/>
  <c r="CA769" i="1"/>
  <c r="BZ769" i="1"/>
  <c r="BY769" i="1"/>
  <c r="BX769" i="1"/>
  <c r="BW769" i="1"/>
  <c r="BV769" i="1"/>
  <c r="BU769" i="1"/>
  <c r="CB768" i="1"/>
  <c r="CA768" i="1"/>
  <c r="BZ768" i="1"/>
  <c r="BY768" i="1"/>
  <c r="BX768" i="1"/>
  <c r="BW768" i="1"/>
  <c r="BV768" i="1"/>
  <c r="BU768" i="1"/>
  <c r="CB767" i="1"/>
  <c r="CA767" i="1"/>
  <c r="BZ767" i="1"/>
  <c r="BY767" i="1"/>
  <c r="BX767" i="1"/>
  <c r="BW767" i="1"/>
  <c r="BV767" i="1"/>
  <c r="BU767" i="1"/>
  <c r="CB766" i="1"/>
  <c r="CA766" i="1"/>
  <c r="BZ766" i="1"/>
  <c r="BY766" i="1"/>
  <c r="BX766" i="1"/>
  <c r="BW766" i="1"/>
  <c r="BV766" i="1"/>
  <c r="BU766" i="1"/>
  <c r="CB765" i="1"/>
  <c r="CA765" i="1"/>
  <c r="BZ765" i="1"/>
  <c r="BY765" i="1"/>
  <c r="BX765" i="1"/>
  <c r="BW765" i="1"/>
  <c r="BV765" i="1"/>
  <c r="BU765" i="1"/>
  <c r="CB764" i="1"/>
  <c r="CA764" i="1"/>
  <c r="BZ764" i="1"/>
  <c r="BY764" i="1"/>
  <c r="BX764" i="1"/>
  <c r="BW764" i="1"/>
  <c r="BV764" i="1"/>
  <c r="BU764" i="1"/>
  <c r="CB763" i="1"/>
  <c r="CA763" i="1"/>
  <c r="BZ763" i="1"/>
  <c r="BY763" i="1"/>
  <c r="BX763" i="1"/>
  <c r="BW763" i="1"/>
  <c r="BV763" i="1"/>
  <c r="BU763" i="1"/>
  <c r="CB762" i="1"/>
  <c r="CA762" i="1"/>
  <c r="BZ762" i="1"/>
  <c r="BY762" i="1"/>
  <c r="BX762" i="1"/>
  <c r="BW762" i="1"/>
  <c r="BV762" i="1"/>
  <c r="BU762" i="1"/>
  <c r="CB761" i="1"/>
  <c r="CA761" i="1"/>
  <c r="BZ761" i="1"/>
  <c r="BY761" i="1"/>
  <c r="BX761" i="1"/>
  <c r="BW761" i="1"/>
  <c r="BV761" i="1"/>
  <c r="BU761" i="1"/>
  <c r="CB760" i="1"/>
  <c r="CA760" i="1"/>
  <c r="BZ760" i="1"/>
  <c r="BY760" i="1"/>
  <c r="BX760" i="1"/>
  <c r="BW760" i="1"/>
  <c r="BV760" i="1"/>
  <c r="BU760" i="1"/>
  <c r="CB759" i="1"/>
  <c r="CA759" i="1"/>
  <c r="BZ759" i="1"/>
  <c r="BY759" i="1"/>
  <c r="BX759" i="1"/>
  <c r="BW759" i="1"/>
  <c r="BV759" i="1"/>
  <c r="BU759" i="1"/>
  <c r="CB758" i="1"/>
  <c r="CA758" i="1"/>
  <c r="BZ758" i="1"/>
  <c r="BY758" i="1"/>
  <c r="BX758" i="1"/>
  <c r="BW758" i="1"/>
  <c r="BV758" i="1"/>
  <c r="BU758" i="1"/>
  <c r="CB757" i="1"/>
  <c r="CA757" i="1"/>
  <c r="BZ757" i="1"/>
  <c r="BY757" i="1"/>
  <c r="BX757" i="1"/>
  <c r="BW757" i="1"/>
  <c r="BV757" i="1"/>
  <c r="BU757" i="1"/>
  <c r="CB756" i="1"/>
  <c r="CA756" i="1"/>
  <c r="BZ756" i="1"/>
  <c r="BY756" i="1"/>
  <c r="BX756" i="1"/>
  <c r="BW756" i="1"/>
  <c r="BV756" i="1"/>
  <c r="BU756" i="1"/>
  <c r="CB755" i="1"/>
  <c r="CA755" i="1"/>
  <c r="BZ755" i="1"/>
  <c r="BY755" i="1"/>
  <c r="BX755" i="1"/>
  <c r="BW755" i="1"/>
  <c r="BV755" i="1"/>
  <c r="BU755" i="1"/>
  <c r="CB754" i="1"/>
  <c r="CA754" i="1"/>
  <c r="BZ754" i="1"/>
  <c r="BY754" i="1"/>
  <c r="BX754" i="1"/>
  <c r="BW754" i="1"/>
  <c r="BV754" i="1"/>
  <c r="BU754" i="1"/>
  <c r="CB753" i="1"/>
  <c r="CA753" i="1"/>
  <c r="BZ753" i="1"/>
  <c r="BY753" i="1"/>
  <c r="BX753" i="1"/>
  <c r="BW753" i="1"/>
  <c r="BV753" i="1"/>
  <c r="BU753" i="1"/>
  <c r="CB752" i="1"/>
  <c r="CA752" i="1"/>
  <c r="BZ752" i="1"/>
  <c r="BY752" i="1"/>
  <c r="BX752" i="1"/>
  <c r="BW752" i="1"/>
  <c r="BV752" i="1"/>
  <c r="BU752" i="1"/>
  <c r="CB751" i="1"/>
  <c r="CA751" i="1"/>
  <c r="BZ751" i="1"/>
  <c r="BY751" i="1"/>
  <c r="BX751" i="1"/>
  <c r="BW751" i="1"/>
  <c r="BV751" i="1"/>
  <c r="BU751" i="1"/>
  <c r="CB750" i="1"/>
  <c r="CA750" i="1"/>
  <c r="BZ750" i="1"/>
  <c r="BY750" i="1"/>
  <c r="BX750" i="1"/>
  <c r="BW750" i="1"/>
  <c r="BV750" i="1"/>
  <c r="BU750" i="1"/>
  <c r="CB749" i="1"/>
  <c r="CA749" i="1"/>
  <c r="BZ749" i="1"/>
  <c r="BY749" i="1"/>
  <c r="BX749" i="1"/>
  <c r="BW749" i="1"/>
  <c r="BV749" i="1"/>
  <c r="BU749" i="1"/>
  <c r="CB748" i="1"/>
  <c r="CA748" i="1"/>
  <c r="BZ748" i="1"/>
  <c r="BY748" i="1"/>
  <c r="BX748" i="1"/>
  <c r="BW748" i="1"/>
  <c r="BV748" i="1"/>
  <c r="BU748" i="1"/>
  <c r="CB747" i="1"/>
  <c r="CA747" i="1"/>
  <c r="BZ747" i="1"/>
  <c r="BY747" i="1"/>
  <c r="BX747" i="1"/>
  <c r="BW747" i="1"/>
  <c r="BV747" i="1"/>
  <c r="BU747" i="1"/>
  <c r="CB746" i="1"/>
  <c r="CA746" i="1"/>
  <c r="BZ746" i="1"/>
  <c r="BY746" i="1"/>
  <c r="BX746" i="1"/>
  <c r="BW746" i="1"/>
  <c r="BV746" i="1"/>
  <c r="BU746" i="1"/>
  <c r="CB745" i="1"/>
  <c r="CA745" i="1"/>
  <c r="BZ745" i="1"/>
  <c r="BY745" i="1"/>
  <c r="BX745" i="1"/>
  <c r="BW745" i="1"/>
  <c r="BV745" i="1"/>
  <c r="BU745" i="1"/>
  <c r="CB744" i="1"/>
  <c r="CA744" i="1"/>
  <c r="BZ744" i="1"/>
  <c r="BY744" i="1"/>
  <c r="BX744" i="1"/>
  <c r="BW744" i="1"/>
  <c r="BV744" i="1"/>
  <c r="BU744" i="1"/>
  <c r="CB743" i="1"/>
  <c r="CA743" i="1"/>
  <c r="BZ743" i="1"/>
  <c r="BY743" i="1"/>
  <c r="BX743" i="1"/>
  <c r="BW743" i="1"/>
  <c r="BV743" i="1"/>
  <c r="BU743" i="1"/>
  <c r="CB742" i="1"/>
  <c r="CA742" i="1"/>
  <c r="BZ742" i="1"/>
  <c r="BY742" i="1"/>
  <c r="BX742" i="1"/>
  <c r="BW742" i="1"/>
  <c r="BV742" i="1"/>
  <c r="BU742" i="1"/>
  <c r="CB741" i="1"/>
  <c r="CA741" i="1"/>
  <c r="BZ741" i="1"/>
  <c r="BY741" i="1"/>
  <c r="BX741" i="1"/>
  <c r="BW741" i="1"/>
  <c r="BV741" i="1"/>
  <c r="BU741" i="1"/>
  <c r="CB740" i="1"/>
  <c r="CA740" i="1"/>
  <c r="BZ740" i="1"/>
  <c r="BY740" i="1"/>
  <c r="BX740" i="1"/>
  <c r="BW740" i="1"/>
  <c r="BV740" i="1"/>
  <c r="BU740" i="1"/>
  <c r="CB739" i="1"/>
  <c r="CA739" i="1"/>
  <c r="BZ739" i="1"/>
  <c r="BY739" i="1"/>
  <c r="BX739" i="1"/>
  <c r="BW739" i="1"/>
  <c r="BV739" i="1"/>
  <c r="BU739" i="1"/>
  <c r="CB738" i="1"/>
  <c r="CA738" i="1"/>
  <c r="BZ738" i="1"/>
  <c r="BY738" i="1"/>
  <c r="BX738" i="1"/>
  <c r="BW738" i="1"/>
  <c r="BV738" i="1"/>
  <c r="BU738" i="1"/>
  <c r="CB737" i="1"/>
  <c r="CA737" i="1"/>
  <c r="BZ737" i="1"/>
  <c r="BY737" i="1"/>
  <c r="BX737" i="1"/>
  <c r="BW737" i="1"/>
  <c r="BV737" i="1"/>
  <c r="BU737" i="1"/>
  <c r="CB736" i="1"/>
  <c r="CA736" i="1"/>
  <c r="BZ736" i="1"/>
  <c r="BY736" i="1"/>
  <c r="BX736" i="1"/>
  <c r="BW736" i="1"/>
  <c r="BV736" i="1"/>
  <c r="BU736" i="1"/>
  <c r="CB735" i="1"/>
  <c r="CA735" i="1"/>
  <c r="BZ735" i="1"/>
  <c r="BY735" i="1"/>
  <c r="BX735" i="1"/>
  <c r="BW735" i="1"/>
  <c r="BV735" i="1"/>
  <c r="BU735" i="1"/>
  <c r="CB734" i="1"/>
  <c r="CA734" i="1"/>
  <c r="BZ734" i="1"/>
  <c r="BY734" i="1"/>
  <c r="BX734" i="1"/>
  <c r="BW734" i="1"/>
  <c r="BV734" i="1"/>
  <c r="BU734" i="1"/>
  <c r="CB733" i="1"/>
  <c r="CA733" i="1"/>
  <c r="BZ733" i="1"/>
  <c r="BY733" i="1"/>
  <c r="BX733" i="1"/>
  <c r="BW733" i="1"/>
  <c r="BV733" i="1"/>
  <c r="BU733" i="1"/>
  <c r="CB732" i="1"/>
  <c r="CA732" i="1"/>
  <c r="BZ732" i="1"/>
  <c r="BY732" i="1"/>
  <c r="BX732" i="1"/>
  <c r="BW732" i="1"/>
  <c r="BV732" i="1"/>
  <c r="BU732" i="1"/>
  <c r="CB731" i="1"/>
  <c r="CA731" i="1"/>
  <c r="BZ731" i="1"/>
  <c r="BY731" i="1"/>
  <c r="BX731" i="1"/>
  <c r="BW731" i="1"/>
  <c r="BV731" i="1"/>
  <c r="BU731" i="1"/>
  <c r="CB730" i="1"/>
  <c r="CA730" i="1"/>
  <c r="BZ730" i="1"/>
  <c r="BY730" i="1"/>
  <c r="BX730" i="1"/>
  <c r="BW730" i="1"/>
  <c r="BV730" i="1"/>
  <c r="BU730" i="1"/>
  <c r="CB729" i="1"/>
  <c r="CA729" i="1"/>
  <c r="BZ729" i="1"/>
  <c r="BY729" i="1"/>
  <c r="BX729" i="1"/>
  <c r="BW729" i="1"/>
  <c r="BV729" i="1"/>
  <c r="BU729" i="1"/>
  <c r="CB728" i="1"/>
  <c r="CA728" i="1"/>
  <c r="BZ728" i="1"/>
  <c r="BY728" i="1"/>
  <c r="BX728" i="1"/>
  <c r="BW728" i="1"/>
  <c r="BV728" i="1"/>
  <c r="BU728" i="1"/>
  <c r="CB727" i="1"/>
  <c r="CA727" i="1"/>
  <c r="BZ727" i="1"/>
  <c r="BY727" i="1"/>
  <c r="BX727" i="1"/>
  <c r="BW727" i="1"/>
  <c r="BV727" i="1"/>
  <c r="BU727" i="1"/>
  <c r="CB726" i="1"/>
  <c r="CA726" i="1"/>
  <c r="BZ726" i="1"/>
  <c r="BY726" i="1"/>
  <c r="BX726" i="1"/>
  <c r="BW726" i="1"/>
  <c r="BV726" i="1"/>
  <c r="BU726" i="1"/>
  <c r="CB725" i="1"/>
  <c r="CA725" i="1"/>
  <c r="BZ725" i="1"/>
  <c r="BY725" i="1"/>
  <c r="BX725" i="1"/>
  <c r="BW725" i="1"/>
  <c r="BV725" i="1"/>
  <c r="BU725" i="1"/>
  <c r="CB724" i="1"/>
  <c r="CA724" i="1"/>
  <c r="BZ724" i="1"/>
  <c r="BY724" i="1"/>
  <c r="BX724" i="1"/>
  <c r="BW724" i="1"/>
  <c r="BV724" i="1"/>
  <c r="BU724" i="1"/>
  <c r="CB723" i="1"/>
  <c r="CA723" i="1"/>
  <c r="BZ723" i="1"/>
  <c r="BY723" i="1"/>
  <c r="BX723" i="1"/>
  <c r="BW723" i="1"/>
  <c r="BV723" i="1"/>
  <c r="BU723" i="1"/>
  <c r="CB722" i="1"/>
  <c r="CA722" i="1"/>
  <c r="BZ722" i="1"/>
  <c r="BY722" i="1"/>
  <c r="BX722" i="1"/>
  <c r="BW722" i="1"/>
  <c r="BV722" i="1"/>
  <c r="BU722" i="1"/>
  <c r="CB721" i="1"/>
  <c r="CA721" i="1"/>
  <c r="BZ721" i="1"/>
  <c r="BY721" i="1"/>
  <c r="BX721" i="1"/>
  <c r="BW721" i="1"/>
  <c r="BV721" i="1"/>
  <c r="BU721" i="1"/>
  <c r="CB720" i="1"/>
  <c r="CA720" i="1"/>
  <c r="BZ720" i="1"/>
  <c r="BY720" i="1"/>
  <c r="BX720" i="1"/>
  <c r="BW720" i="1"/>
  <c r="BV720" i="1"/>
  <c r="BU720" i="1"/>
  <c r="CB719" i="1"/>
  <c r="CA719" i="1"/>
  <c r="BZ719" i="1"/>
  <c r="BY719" i="1"/>
  <c r="BX719" i="1"/>
  <c r="BW719" i="1"/>
  <c r="BV719" i="1"/>
  <c r="BU719" i="1"/>
  <c r="CB718" i="1"/>
  <c r="CA718" i="1"/>
  <c r="BZ718" i="1"/>
  <c r="BY718" i="1"/>
  <c r="BX718" i="1"/>
  <c r="BW718" i="1"/>
  <c r="BV718" i="1"/>
  <c r="BU718" i="1"/>
  <c r="CB717" i="1"/>
  <c r="CA717" i="1"/>
  <c r="BZ717" i="1"/>
  <c r="BY717" i="1"/>
  <c r="BX717" i="1"/>
  <c r="BW717" i="1"/>
  <c r="BV717" i="1"/>
  <c r="BU717" i="1"/>
  <c r="CB716" i="1"/>
  <c r="CA716" i="1"/>
  <c r="BZ716" i="1"/>
  <c r="BY716" i="1"/>
  <c r="BX716" i="1"/>
  <c r="BW716" i="1"/>
  <c r="BV716" i="1"/>
  <c r="BU716" i="1"/>
  <c r="CB715" i="1"/>
  <c r="CA715" i="1"/>
  <c r="BZ715" i="1"/>
  <c r="BY715" i="1"/>
  <c r="BX715" i="1"/>
  <c r="BW715" i="1"/>
  <c r="BV715" i="1"/>
  <c r="BU715" i="1"/>
  <c r="CB714" i="1"/>
  <c r="CA714" i="1"/>
  <c r="BZ714" i="1"/>
  <c r="BY714" i="1"/>
  <c r="BX714" i="1"/>
  <c r="BW714" i="1"/>
  <c r="BV714" i="1"/>
  <c r="BU714" i="1"/>
  <c r="CB713" i="1"/>
  <c r="CA713" i="1"/>
  <c r="BZ713" i="1"/>
  <c r="BY713" i="1"/>
  <c r="BX713" i="1"/>
  <c r="BW713" i="1"/>
  <c r="BV713" i="1"/>
  <c r="BU713" i="1"/>
  <c r="CB712" i="1"/>
  <c r="CA712" i="1"/>
  <c r="BZ712" i="1"/>
  <c r="BY712" i="1"/>
  <c r="BX712" i="1"/>
  <c r="BW712" i="1"/>
  <c r="BV712" i="1"/>
  <c r="BU712" i="1"/>
  <c r="CB711" i="1"/>
  <c r="CA711" i="1"/>
  <c r="BZ711" i="1"/>
  <c r="BY711" i="1"/>
  <c r="BX711" i="1"/>
  <c r="BW711" i="1"/>
  <c r="BV711" i="1"/>
  <c r="BU711" i="1"/>
  <c r="CB710" i="1"/>
  <c r="CA710" i="1"/>
  <c r="BZ710" i="1"/>
  <c r="BY710" i="1"/>
  <c r="BX710" i="1"/>
  <c r="BW710" i="1"/>
  <c r="BV710" i="1"/>
  <c r="BU710" i="1"/>
  <c r="CB709" i="1"/>
  <c r="CA709" i="1"/>
  <c r="BZ709" i="1"/>
  <c r="BY709" i="1"/>
  <c r="BX709" i="1"/>
  <c r="BW709" i="1"/>
  <c r="BV709" i="1"/>
  <c r="BU709" i="1"/>
  <c r="CB708" i="1"/>
  <c r="CA708" i="1"/>
  <c r="BZ708" i="1"/>
  <c r="BY708" i="1"/>
  <c r="BX708" i="1"/>
  <c r="BW708" i="1"/>
  <c r="BV708" i="1"/>
  <c r="BU708" i="1"/>
  <c r="CB707" i="1"/>
  <c r="CA707" i="1"/>
  <c r="BZ707" i="1"/>
  <c r="BY707" i="1"/>
  <c r="BX707" i="1"/>
  <c r="BW707" i="1"/>
  <c r="BV707" i="1"/>
  <c r="BU707" i="1"/>
  <c r="CB706" i="1"/>
  <c r="CA706" i="1"/>
  <c r="BZ706" i="1"/>
  <c r="BY706" i="1"/>
  <c r="BX706" i="1"/>
  <c r="BW706" i="1"/>
  <c r="BV706" i="1"/>
  <c r="BU706" i="1"/>
  <c r="CB705" i="1"/>
  <c r="CA705" i="1"/>
  <c r="BZ705" i="1"/>
  <c r="BY705" i="1"/>
  <c r="BX705" i="1"/>
  <c r="BW705" i="1"/>
  <c r="BV705" i="1"/>
  <c r="BU705" i="1"/>
  <c r="CB704" i="1"/>
  <c r="CA704" i="1"/>
  <c r="BZ704" i="1"/>
  <c r="BY704" i="1"/>
  <c r="BX704" i="1"/>
  <c r="BW704" i="1"/>
  <c r="BV704" i="1"/>
  <c r="BU704" i="1"/>
  <c r="CB703" i="1"/>
  <c r="CA703" i="1"/>
  <c r="BZ703" i="1"/>
  <c r="BY703" i="1"/>
  <c r="BX703" i="1"/>
  <c r="BW703" i="1"/>
  <c r="BV703" i="1"/>
  <c r="BU703" i="1"/>
  <c r="CB702" i="1"/>
  <c r="CA702" i="1"/>
  <c r="BZ702" i="1"/>
  <c r="BY702" i="1"/>
  <c r="BX702" i="1"/>
  <c r="BW702" i="1"/>
  <c r="BV702" i="1"/>
  <c r="BU702" i="1"/>
  <c r="CB701" i="1"/>
  <c r="CA701" i="1"/>
  <c r="BZ701" i="1"/>
  <c r="BY701" i="1"/>
  <c r="BX701" i="1"/>
  <c r="BW701" i="1"/>
  <c r="BV701" i="1"/>
  <c r="BU701" i="1"/>
  <c r="CB700" i="1"/>
  <c r="CA700" i="1"/>
  <c r="BZ700" i="1"/>
  <c r="BY700" i="1"/>
  <c r="BX700" i="1"/>
  <c r="BW700" i="1"/>
  <c r="BV700" i="1"/>
  <c r="BU700" i="1"/>
  <c r="CB699" i="1"/>
  <c r="CA699" i="1"/>
  <c r="BZ699" i="1"/>
  <c r="BY699" i="1"/>
  <c r="BX699" i="1"/>
  <c r="BW699" i="1"/>
  <c r="BV699" i="1"/>
  <c r="BU699" i="1"/>
  <c r="CB698" i="1"/>
  <c r="CA698" i="1"/>
  <c r="BZ698" i="1"/>
  <c r="BY698" i="1"/>
  <c r="BX698" i="1"/>
  <c r="BW698" i="1"/>
  <c r="BV698" i="1"/>
  <c r="BU698" i="1"/>
  <c r="CB697" i="1"/>
  <c r="CA697" i="1"/>
  <c r="BZ697" i="1"/>
  <c r="BY697" i="1"/>
  <c r="BX697" i="1"/>
  <c r="BW697" i="1"/>
  <c r="BV697" i="1"/>
  <c r="BU697" i="1"/>
  <c r="CB696" i="1"/>
  <c r="CA696" i="1"/>
  <c r="BZ696" i="1"/>
  <c r="BY696" i="1"/>
  <c r="BX696" i="1"/>
  <c r="BW696" i="1"/>
  <c r="BV696" i="1"/>
  <c r="BU696" i="1"/>
  <c r="CB695" i="1"/>
  <c r="CA695" i="1"/>
  <c r="BZ695" i="1"/>
  <c r="BY695" i="1"/>
  <c r="BX695" i="1"/>
  <c r="BW695" i="1"/>
  <c r="BV695" i="1"/>
  <c r="BU695" i="1"/>
  <c r="CB694" i="1"/>
  <c r="CA694" i="1"/>
  <c r="BZ694" i="1"/>
  <c r="BY694" i="1"/>
  <c r="BX694" i="1"/>
  <c r="BW694" i="1"/>
  <c r="BV694" i="1"/>
  <c r="BU694" i="1"/>
  <c r="CB693" i="1"/>
  <c r="CA693" i="1"/>
  <c r="BZ693" i="1"/>
  <c r="BY693" i="1"/>
  <c r="BX693" i="1"/>
  <c r="BW693" i="1"/>
  <c r="BV693" i="1"/>
  <c r="BU693" i="1"/>
  <c r="CB692" i="1"/>
  <c r="CA692" i="1"/>
  <c r="BZ692" i="1"/>
  <c r="BY692" i="1"/>
  <c r="BX692" i="1"/>
  <c r="BW692" i="1"/>
  <c r="BV692" i="1"/>
  <c r="BU692" i="1"/>
  <c r="CB691" i="1"/>
  <c r="CA691" i="1"/>
  <c r="BZ691" i="1"/>
  <c r="BY691" i="1"/>
  <c r="BX691" i="1"/>
  <c r="BW691" i="1"/>
  <c r="BV691" i="1"/>
  <c r="BU691" i="1"/>
  <c r="CB690" i="1"/>
  <c r="CA690" i="1"/>
  <c r="BZ690" i="1"/>
  <c r="BY690" i="1"/>
  <c r="BX690" i="1"/>
  <c r="BW690" i="1"/>
  <c r="BV690" i="1"/>
  <c r="BU690" i="1"/>
  <c r="CB689" i="1"/>
  <c r="CA689" i="1"/>
  <c r="BZ689" i="1"/>
  <c r="BY689" i="1"/>
  <c r="BX689" i="1"/>
  <c r="BW689" i="1"/>
  <c r="BV689" i="1"/>
  <c r="BU689" i="1"/>
  <c r="CB688" i="1"/>
  <c r="CA688" i="1"/>
  <c r="BZ688" i="1"/>
  <c r="BY688" i="1"/>
  <c r="BX688" i="1"/>
  <c r="BW688" i="1"/>
  <c r="BV688" i="1"/>
  <c r="BU688" i="1"/>
  <c r="CB687" i="1"/>
  <c r="CA687" i="1"/>
  <c r="BZ687" i="1"/>
  <c r="BY687" i="1"/>
  <c r="BX687" i="1"/>
  <c r="BW687" i="1"/>
  <c r="BV687" i="1"/>
  <c r="BU687" i="1"/>
  <c r="CB686" i="1"/>
  <c r="CA686" i="1"/>
  <c r="BZ686" i="1"/>
  <c r="BY686" i="1"/>
  <c r="BX686" i="1"/>
  <c r="BW686" i="1"/>
  <c r="BV686" i="1"/>
  <c r="BU686" i="1"/>
  <c r="CB685" i="1"/>
  <c r="CA685" i="1"/>
  <c r="BZ685" i="1"/>
  <c r="BY685" i="1"/>
  <c r="BX685" i="1"/>
  <c r="BW685" i="1"/>
  <c r="BV685" i="1"/>
  <c r="BU685" i="1"/>
  <c r="CB684" i="1"/>
  <c r="CA684" i="1"/>
  <c r="BZ684" i="1"/>
  <c r="BY684" i="1"/>
  <c r="BX684" i="1"/>
  <c r="BW684" i="1"/>
  <c r="BV684" i="1"/>
  <c r="BU684" i="1"/>
  <c r="CB683" i="1"/>
  <c r="CA683" i="1"/>
  <c r="BZ683" i="1"/>
  <c r="BY683" i="1"/>
  <c r="BX683" i="1"/>
  <c r="BW683" i="1"/>
  <c r="BV683" i="1"/>
  <c r="BU683" i="1"/>
  <c r="CB682" i="1"/>
  <c r="CA682" i="1"/>
  <c r="BZ682" i="1"/>
  <c r="BY682" i="1"/>
  <c r="BX682" i="1"/>
  <c r="BW682" i="1"/>
  <c r="BV682" i="1"/>
  <c r="BU682" i="1"/>
  <c r="CB681" i="1"/>
  <c r="CA681" i="1"/>
  <c r="BZ681" i="1"/>
  <c r="BY681" i="1"/>
  <c r="BX681" i="1"/>
  <c r="BW681" i="1"/>
  <c r="BV681" i="1"/>
  <c r="BU681" i="1"/>
  <c r="CB680" i="1"/>
  <c r="CA680" i="1"/>
  <c r="BZ680" i="1"/>
  <c r="BY680" i="1"/>
  <c r="BX680" i="1"/>
  <c r="BW680" i="1"/>
  <c r="BV680" i="1"/>
  <c r="BU680" i="1"/>
  <c r="CB679" i="1"/>
  <c r="CA679" i="1"/>
  <c r="BZ679" i="1"/>
  <c r="BY679" i="1"/>
  <c r="BX679" i="1"/>
  <c r="BW679" i="1"/>
  <c r="BV679" i="1"/>
  <c r="BU679" i="1"/>
  <c r="CB678" i="1"/>
  <c r="CA678" i="1"/>
  <c r="BZ678" i="1"/>
  <c r="BY678" i="1"/>
  <c r="BX678" i="1"/>
  <c r="BW678" i="1"/>
  <c r="BV678" i="1"/>
  <c r="BU678" i="1"/>
  <c r="CB677" i="1"/>
  <c r="CA677" i="1"/>
  <c r="BZ677" i="1"/>
  <c r="BY677" i="1"/>
  <c r="BX677" i="1"/>
  <c r="BW677" i="1"/>
  <c r="BV677" i="1"/>
  <c r="BU677" i="1"/>
  <c r="CB676" i="1"/>
  <c r="CA676" i="1"/>
  <c r="BZ676" i="1"/>
  <c r="BY676" i="1"/>
  <c r="BX676" i="1"/>
  <c r="BW676" i="1"/>
  <c r="BV676" i="1"/>
  <c r="BU676" i="1"/>
  <c r="CB675" i="1"/>
  <c r="CA675" i="1"/>
  <c r="BZ675" i="1"/>
  <c r="BY675" i="1"/>
  <c r="BX675" i="1"/>
  <c r="BW675" i="1"/>
  <c r="BV675" i="1"/>
  <c r="BU675" i="1"/>
  <c r="CB674" i="1"/>
  <c r="CA674" i="1"/>
  <c r="BZ674" i="1"/>
  <c r="BY674" i="1"/>
  <c r="BX674" i="1"/>
  <c r="BW674" i="1"/>
  <c r="BV674" i="1"/>
  <c r="BU674" i="1"/>
  <c r="CB673" i="1"/>
  <c r="CA673" i="1"/>
  <c r="BZ673" i="1"/>
  <c r="BY673" i="1"/>
  <c r="BX673" i="1"/>
  <c r="BW673" i="1"/>
  <c r="BV673" i="1"/>
  <c r="BU673" i="1"/>
  <c r="CB672" i="1"/>
  <c r="CA672" i="1"/>
  <c r="BZ672" i="1"/>
  <c r="BY672" i="1"/>
  <c r="BX672" i="1"/>
  <c r="BW672" i="1"/>
  <c r="BV672" i="1"/>
  <c r="BU672" i="1"/>
  <c r="CB671" i="1"/>
  <c r="CA671" i="1"/>
  <c r="BZ671" i="1"/>
  <c r="BY671" i="1"/>
  <c r="BX671" i="1"/>
  <c r="BW671" i="1"/>
  <c r="BV671" i="1"/>
  <c r="BU671" i="1"/>
  <c r="CB670" i="1"/>
  <c r="CA670" i="1"/>
  <c r="BZ670" i="1"/>
  <c r="BY670" i="1"/>
  <c r="BX670" i="1"/>
  <c r="BW670" i="1"/>
  <c r="BV670" i="1"/>
  <c r="BU670" i="1"/>
  <c r="CB669" i="1"/>
  <c r="CA669" i="1"/>
  <c r="BZ669" i="1"/>
  <c r="BY669" i="1"/>
  <c r="BX669" i="1"/>
  <c r="BW669" i="1"/>
  <c r="BV669" i="1"/>
  <c r="BU669" i="1"/>
  <c r="CB668" i="1"/>
  <c r="CA668" i="1"/>
  <c r="BZ668" i="1"/>
  <c r="BY668" i="1"/>
  <c r="BX668" i="1"/>
  <c r="BW668" i="1"/>
  <c r="BV668" i="1"/>
  <c r="BU668" i="1"/>
  <c r="CB667" i="1"/>
  <c r="CA667" i="1"/>
  <c r="BZ667" i="1"/>
  <c r="BY667" i="1"/>
  <c r="BX667" i="1"/>
  <c r="BW667" i="1"/>
  <c r="BV667" i="1"/>
  <c r="BU667" i="1"/>
  <c r="CB666" i="1"/>
  <c r="CA666" i="1"/>
  <c r="BZ666" i="1"/>
  <c r="BY666" i="1"/>
  <c r="BX666" i="1"/>
  <c r="BW666" i="1"/>
  <c r="BV666" i="1"/>
  <c r="BU666" i="1"/>
  <c r="CB665" i="1"/>
  <c r="CA665" i="1"/>
  <c r="BZ665" i="1"/>
  <c r="BY665" i="1"/>
  <c r="BX665" i="1"/>
  <c r="BW665" i="1"/>
  <c r="BV665" i="1"/>
  <c r="BU665" i="1"/>
  <c r="CB664" i="1"/>
  <c r="CA664" i="1"/>
  <c r="BZ664" i="1"/>
  <c r="BY664" i="1"/>
  <c r="BX664" i="1"/>
  <c r="BW664" i="1"/>
  <c r="BV664" i="1"/>
  <c r="BU664" i="1"/>
  <c r="CB663" i="1"/>
  <c r="CA663" i="1"/>
  <c r="BZ663" i="1"/>
  <c r="BY663" i="1"/>
  <c r="BX663" i="1"/>
  <c r="BW663" i="1"/>
  <c r="BV663" i="1"/>
  <c r="BU663" i="1"/>
  <c r="CB662" i="1"/>
  <c r="CA662" i="1"/>
  <c r="BZ662" i="1"/>
  <c r="BY662" i="1"/>
  <c r="BX662" i="1"/>
  <c r="BW662" i="1"/>
  <c r="BV662" i="1"/>
  <c r="BU662" i="1"/>
  <c r="CB661" i="1"/>
  <c r="CA661" i="1"/>
  <c r="BZ661" i="1"/>
  <c r="BY661" i="1"/>
  <c r="BX661" i="1"/>
  <c r="BW661" i="1"/>
  <c r="BV661" i="1"/>
  <c r="BU661" i="1"/>
  <c r="CB660" i="1"/>
  <c r="CA660" i="1"/>
  <c r="BZ660" i="1"/>
  <c r="BY660" i="1"/>
  <c r="BX660" i="1"/>
  <c r="BW660" i="1"/>
  <c r="BV660" i="1"/>
  <c r="BU660" i="1"/>
  <c r="CB659" i="1"/>
  <c r="CA659" i="1"/>
  <c r="BZ659" i="1"/>
  <c r="BY659" i="1"/>
  <c r="BX659" i="1"/>
  <c r="BW659" i="1"/>
  <c r="BV659" i="1"/>
  <c r="BU659" i="1"/>
  <c r="CB658" i="1"/>
  <c r="CA658" i="1"/>
  <c r="BZ658" i="1"/>
  <c r="BY658" i="1"/>
  <c r="BX658" i="1"/>
  <c r="BW658" i="1"/>
  <c r="BV658" i="1"/>
  <c r="BU658" i="1"/>
  <c r="CB657" i="1"/>
  <c r="CA657" i="1"/>
  <c r="BZ657" i="1"/>
  <c r="BY657" i="1"/>
  <c r="BX657" i="1"/>
  <c r="BW657" i="1"/>
  <c r="BV657" i="1"/>
  <c r="BU657" i="1"/>
  <c r="CB656" i="1"/>
  <c r="CA656" i="1"/>
  <c r="BZ656" i="1"/>
  <c r="BY656" i="1"/>
  <c r="BX656" i="1"/>
  <c r="BW656" i="1"/>
  <c r="BV656" i="1"/>
  <c r="BU656" i="1"/>
  <c r="CB655" i="1"/>
  <c r="CA655" i="1"/>
  <c r="BZ655" i="1"/>
  <c r="BY655" i="1"/>
  <c r="BX655" i="1"/>
  <c r="BW655" i="1"/>
  <c r="BV655" i="1"/>
  <c r="BU655" i="1"/>
  <c r="CB654" i="1"/>
  <c r="CA654" i="1"/>
  <c r="BZ654" i="1"/>
  <c r="BY654" i="1"/>
  <c r="BX654" i="1"/>
  <c r="BW654" i="1"/>
  <c r="BV654" i="1"/>
  <c r="BU654" i="1"/>
  <c r="CB653" i="1"/>
  <c r="CA653" i="1"/>
  <c r="BZ653" i="1"/>
  <c r="BY653" i="1"/>
  <c r="BX653" i="1"/>
  <c r="BW653" i="1"/>
  <c r="BV653" i="1"/>
  <c r="BU653" i="1"/>
  <c r="CB652" i="1"/>
  <c r="CA652" i="1"/>
  <c r="BZ652" i="1"/>
  <c r="BY652" i="1"/>
  <c r="BX652" i="1"/>
  <c r="BW652" i="1"/>
  <c r="BV652" i="1"/>
  <c r="BU652" i="1"/>
  <c r="CB651" i="1"/>
  <c r="CA651" i="1"/>
  <c r="BZ651" i="1"/>
  <c r="BY651" i="1"/>
  <c r="BX651" i="1"/>
  <c r="BW651" i="1"/>
  <c r="BV651" i="1"/>
  <c r="BU651" i="1"/>
  <c r="CB650" i="1"/>
  <c r="CA650" i="1"/>
  <c r="BZ650" i="1"/>
  <c r="BY650" i="1"/>
  <c r="BX650" i="1"/>
  <c r="BW650" i="1"/>
  <c r="BV650" i="1"/>
  <c r="BU650" i="1"/>
  <c r="CB649" i="1"/>
  <c r="CA649" i="1"/>
  <c r="BZ649" i="1"/>
  <c r="BY649" i="1"/>
  <c r="BX649" i="1"/>
  <c r="BW649" i="1"/>
  <c r="BV649" i="1"/>
  <c r="BU649" i="1"/>
  <c r="CB648" i="1"/>
  <c r="CA648" i="1"/>
  <c r="BZ648" i="1"/>
  <c r="BY648" i="1"/>
  <c r="BX648" i="1"/>
  <c r="BW648" i="1"/>
  <c r="BV648" i="1"/>
  <c r="BU648" i="1"/>
  <c r="CB647" i="1"/>
  <c r="CA647" i="1"/>
  <c r="BZ647" i="1"/>
  <c r="BY647" i="1"/>
  <c r="BX647" i="1"/>
  <c r="BW647" i="1"/>
  <c r="BV647" i="1"/>
  <c r="BU647" i="1"/>
  <c r="CB646" i="1"/>
  <c r="CA646" i="1"/>
  <c r="BZ646" i="1"/>
  <c r="BY646" i="1"/>
  <c r="BX646" i="1"/>
  <c r="BW646" i="1"/>
  <c r="BV646" i="1"/>
  <c r="BU646" i="1"/>
  <c r="CB645" i="1"/>
  <c r="CA645" i="1"/>
  <c r="BZ645" i="1"/>
  <c r="BY645" i="1"/>
  <c r="BX645" i="1"/>
  <c r="BW645" i="1"/>
  <c r="BV645" i="1"/>
  <c r="BU645" i="1"/>
  <c r="CB644" i="1"/>
  <c r="CA644" i="1"/>
  <c r="BZ644" i="1"/>
  <c r="BY644" i="1"/>
  <c r="BX644" i="1"/>
  <c r="BW644" i="1"/>
  <c r="BV644" i="1"/>
  <c r="BU644" i="1"/>
  <c r="CB643" i="1"/>
  <c r="CA643" i="1"/>
  <c r="BZ643" i="1"/>
  <c r="BY643" i="1"/>
  <c r="BX643" i="1"/>
  <c r="BW643" i="1"/>
  <c r="BV643" i="1"/>
  <c r="BU643" i="1"/>
  <c r="CB642" i="1"/>
  <c r="CA642" i="1"/>
  <c r="BZ642" i="1"/>
  <c r="BY642" i="1"/>
  <c r="BX642" i="1"/>
  <c r="BW642" i="1"/>
  <c r="BV642" i="1"/>
  <c r="BU642" i="1"/>
  <c r="CB641" i="1"/>
  <c r="CA641" i="1"/>
  <c r="BZ641" i="1"/>
  <c r="BY641" i="1"/>
  <c r="BX641" i="1"/>
  <c r="BW641" i="1"/>
  <c r="BV641" i="1"/>
  <c r="BU641" i="1"/>
  <c r="CB640" i="1"/>
  <c r="CA640" i="1"/>
  <c r="BZ640" i="1"/>
  <c r="BY640" i="1"/>
  <c r="BX640" i="1"/>
  <c r="BW640" i="1"/>
  <c r="BV640" i="1"/>
  <c r="BU640" i="1"/>
  <c r="CB639" i="1"/>
  <c r="CA639" i="1"/>
  <c r="BZ639" i="1"/>
  <c r="BY639" i="1"/>
  <c r="BX639" i="1"/>
  <c r="BW639" i="1"/>
  <c r="BV639" i="1"/>
  <c r="BU639" i="1"/>
  <c r="CB638" i="1"/>
  <c r="CA638" i="1"/>
  <c r="BZ638" i="1"/>
  <c r="BY638" i="1"/>
  <c r="BX638" i="1"/>
  <c r="BW638" i="1"/>
  <c r="BV638" i="1"/>
  <c r="BU638" i="1"/>
  <c r="CB637" i="1"/>
  <c r="CA637" i="1"/>
  <c r="BZ637" i="1"/>
  <c r="BY637" i="1"/>
  <c r="BX637" i="1"/>
  <c r="BW637" i="1"/>
  <c r="BV637" i="1"/>
  <c r="BU637" i="1"/>
  <c r="CB636" i="1"/>
  <c r="CA636" i="1"/>
  <c r="BZ636" i="1"/>
  <c r="BY636" i="1"/>
  <c r="BX636" i="1"/>
  <c r="BW636" i="1"/>
  <c r="BV636" i="1"/>
  <c r="BU636" i="1"/>
  <c r="CB635" i="1"/>
  <c r="CA635" i="1"/>
  <c r="BZ635" i="1"/>
  <c r="BY635" i="1"/>
  <c r="BX635" i="1"/>
  <c r="BW635" i="1"/>
  <c r="BV635" i="1"/>
  <c r="BU635" i="1"/>
  <c r="CB634" i="1"/>
  <c r="CA634" i="1"/>
  <c r="BZ634" i="1"/>
  <c r="BY634" i="1"/>
  <c r="BX634" i="1"/>
  <c r="BW634" i="1"/>
  <c r="BV634" i="1"/>
  <c r="BU634" i="1"/>
  <c r="CB633" i="1"/>
  <c r="CA633" i="1"/>
  <c r="BZ633" i="1"/>
  <c r="BY633" i="1"/>
  <c r="BX633" i="1"/>
  <c r="BW633" i="1"/>
  <c r="BV633" i="1"/>
  <c r="BU633" i="1"/>
  <c r="CB632" i="1"/>
  <c r="CA632" i="1"/>
  <c r="BZ632" i="1"/>
  <c r="BY632" i="1"/>
  <c r="BX632" i="1"/>
  <c r="BW632" i="1"/>
  <c r="BV632" i="1"/>
  <c r="BU632" i="1"/>
  <c r="CB631" i="1"/>
  <c r="CA631" i="1"/>
  <c r="BZ631" i="1"/>
  <c r="BY631" i="1"/>
  <c r="BX631" i="1"/>
  <c r="BW631" i="1"/>
  <c r="BV631" i="1"/>
  <c r="BU631" i="1"/>
  <c r="CB630" i="1"/>
  <c r="CA630" i="1"/>
  <c r="BZ630" i="1"/>
  <c r="BY630" i="1"/>
  <c r="BX630" i="1"/>
  <c r="BW630" i="1"/>
  <c r="BV630" i="1"/>
  <c r="BU630" i="1"/>
  <c r="CB629" i="1"/>
  <c r="CA629" i="1"/>
  <c r="BZ629" i="1"/>
  <c r="BY629" i="1"/>
  <c r="BX629" i="1"/>
  <c r="BW629" i="1"/>
  <c r="BV629" i="1"/>
  <c r="BU629" i="1"/>
  <c r="CB628" i="1"/>
  <c r="CA628" i="1"/>
  <c r="BZ628" i="1"/>
  <c r="BY628" i="1"/>
  <c r="BX628" i="1"/>
  <c r="BW628" i="1"/>
  <c r="BV628" i="1"/>
  <c r="BU628" i="1"/>
  <c r="CB627" i="1"/>
  <c r="CA627" i="1"/>
  <c r="BZ627" i="1"/>
  <c r="BY627" i="1"/>
  <c r="BX627" i="1"/>
  <c r="BW627" i="1"/>
  <c r="BV627" i="1"/>
  <c r="BU627" i="1"/>
  <c r="CB626" i="1"/>
  <c r="CA626" i="1"/>
  <c r="BZ626" i="1"/>
  <c r="BY626" i="1"/>
  <c r="BX626" i="1"/>
  <c r="BW626" i="1"/>
  <c r="BV626" i="1"/>
  <c r="BU626" i="1"/>
  <c r="CB625" i="1"/>
  <c r="CA625" i="1"/>
  <c r="BZ625" i="1"/>
  <c r="BY625" i="1"/>
  <c r="BX625" i="1"/>
  <c r="BW625" i="1"/>
  <c r="BV625" i="1"/>
  <c r="BU625" i="1"/>
  <c r="CB624" i="1"/>
  <c r="CA624" i="1"/>
  <c r="BZ624" i="1"/>
  <c r="BY624" i="1"/>
  <c r="BX624" i="1"/>
  <c r="BW624" i="1"/>
  <c r="BV624" i="1"/>
  <c r="BU624" i="1"/>
  <c r="CB623" i="1"/>
  <c r="CA623" i="1"/>
  <c r="BZ623" i="1"/>
  <c r="BY623" i="1"/>
  <c r="BX623" i="1"/>
  <c r="BW623" i="1"/>
  <c r="BV623" i="1"/>
  <c r="BU623" i="1"/>
  <c r="CB622" i="1"/>
  <c r="CA622" i="1"/>
  <c r="BZ622" i="1"/>
  <c r="BY622" i="1"/>
  <c r="BX622" i="1"/>
  <c r="BW622" i="1"/>
  <c r="BV622" i="1"/>
  <c r="BU622" i="1"/>
  <c r="CB621" i="1"/>
  <c r="CA621" i="1"/>
  <c r="BZ621" i="1"/>
  <c r="BY621" i="1"/>
  <c r="BX621" i="1"/>
  <c r="BW621" i="1"/>
  <c r="BV621" i="1"/>
  <c r="BU621" i="1"/>
  <c r="CB620" i="1"/>
  <c r="CA620" i="1"/>
  <c r="BZ620" i="1"/>
  <c r="BY620" i="1"/>
  <c r="BX620" i="1"/>
  <c r="BW620" i="1"/>
  <c r="BV620" i="1"/>
  <c r="BU620" i="1"/>
  <c r="CB619" i="1"/>
  <c r="CA619" i="1"/>
  <c r="BZ619" i="1"/>
  <c r="BY619" i="1"/>
  <c r="BX619" i="1"/>
  <c r="BW619" i="1"/>
  <c r="BV619" i="1"/>
  <c r="BU619" i="1"/>
  <c r="CB618" i="1"/>
  <c r="CA618" i="1"/>
  <c r="BZ618" i="1"/>
  <c r="BY618" i="1"/>
  <c r="BX618" i="1"/>
  <c r="BW618" i="1"/>
  <c r="BV618" i="1"/>
  <c r="BU618" i="1"/>
  <c r="CB617" i="1"/>
  <c r="CA617" i="1"/>
  <c r="BZ617" i="1"/>
  <c r="BY617" i="1"/>
  <c r="BX617" i="1"/>
  <c r="BW617" i="1"/>
  <c r="BV617" i="1"/>
  <c r="BU617" i="1"/>
  <c r="CB616" i="1"/>
  <c r="CA616" i="1"/>
  <c r="BZ616" i="1"/>
  <c r="BY616" i="1"/>
  <c r="BX616" i="1"/>
  <c r="BW616" i="1"/>
  <c r="BV616" i="1"/>
  <c r="BU616" i="1"/>
  <c r="CB615" i="1"/>
  <c r="CA615" i="1"/>
  <c r="BZ615" i="1"/>
  <c r="BY615" i="1"/>
  <c r="BX615" i="1"/>
  <c r="BW615" i="1"/>
  <c r="BV615" i="1"/>
  <c r="BU615" i="1"/>
  <c r="CB614" i="1"/>
  <c r="CA614" i="1"/>
  <c r="BZ614" i="1"/>
  <c r="BY614" i="1"/>
  <c r="BX614" i="1"/>
  <c r="BW614" i="1"/>
  <c r="BV614" i="1"/>
  <c r="BU614" i="1"/>
  <c r="CB613" i="1"/>
  <c r="CA613" i="1"/>
  <c r="BZ613" i="1"/>
  <c r="BY613" i="1"/>
  <c r="BX613" i="1"/>
  <c r="BW613" i="1"/>
  <c r="BV613" i="1"/>
  <c r="BU613" i="1"/>
  <c r="CB612" i="1"/>
  <c r="CA612" i="1"/>
  <c r="BZ612" i="1"/>
  <c r="BY612" i="1"/>
  <c r="BX612" i="1"/>
  <c r="BW612" i="1"/>
  <c r="BV612" i="1"/>
  <c r="BU612" i="1"/>
  <c r="CB611" i="1"/>
  <c r="CA611" i="1"/>
  <c r="BZ611" i="1"/>
  <c r="BY611" i="1"/>
  <c r="BX611" i="1"/>
  <c r="BW611" i="1"/>
  <c r="BV611" i="1"/>
  <c r="BU611" i="1"/>
  <c r="CB610" i="1"/>
  <c r="CA610" i="1"/>
  <c r="BZ610" i="1"/>
  <c r="BY610" i="1"/>
  <c r="BX610" i="1"/>
  <c r="BW610" i="1"/>
  <c r="BV610" i="1"/>
  <c r="BU610" i="1"/>
  <c r="CB609" i="1"/>
  <c r="CA609" i="1"/>
  <c r="BZ609" i="1"/>
  <c r="BY609" i="1"/>
  <c r="BX609" i="1"/>
  <c r="BW609" i="1"/>
  <c r="BV609" i="1"/>
  <c r="BU609" i="1"/>
  <c r="CB608" i="1"/>
  <c r="CA608" i="1"/>
  <c r="BZ608" i="1"/>
  <c r="BY608" i="1"/>
  <c r="BX608" i="1"/>
  <c r="BW608" i="1"/>
  <c r="BV608" i="1"/>
  <c r="BU608" i="1"/>
  <c r="CB607" i="1"/>
  <c r="CA607" i="1"/>
  <c r="BZ607" i="1"/>
  <c r="BY607" i="1"/>
  <c r="BX607" i="1"/>
  <c r="BW607" i="1"/>
  <c r="BV607" i="1"/>
  <c r="BU607" i="1"/>
  <c r="CB606" i="1"/>
  <c r="CA606" i="1"/>
  <c r="BZ606" i="1"/>
  <c r="BY606" i="1"/>
  <c r="BX606" i="1"/>
  <c r="BW606" i="1"/>
  <c r="BV606" i="1"/>
  <c r="BU606" i="1"/>
  <c r="CB605" i="1"/>
  <c r="CA605" i="1"/>
  <c r="BZ605" i="1"/>
  <c r="BY605" i="1"/>
  <c r="BX605" i="1"/>
  <c r="BW605" i="1"/>
  <c r="BV605" i="1"/>
  <c r="BU605" i="1"/>
  <c r="CB604" i="1"/>
  <c r="CA604" i="1"/>
  <c r="BZ604" i="1"/>
  <c r="BY604" i="1"/>
  <c r="BX604" i="1"/>
  <c r="BW604" i="1"/>
  <c r="BV604" i="1"/>
  <c r="BU604" i="1"/>
  <c r="CB603" i="1"/>
  <c r="CA603" i="1"/>
  <c r="BZ603" i="1"/>
  <c r="BY603" i="1"/>
  <c r="BX603" i="1"/>
  <c r="BW603" i="1"/>
  <c r="BV603" i="1"/>
  <c r="BU603" i="1"/>
  <c r="CB602" i="1"/>
  <c r="CA602" i="1"/>
  <c r="BZ602" i="1"/>
  <c r="BY602" i="1"/>
  <c r="BX602" i="1"/>
  <c r="BW602" i="1"/>
  <c r="BV602" i="1"/>
  <c r="BU602" i="1"/>
  <c r="CB601" i="1"/>
  <c r="CA601" i="1"/>
  <c r="BZ601" i="1"/>
  <c r="BY601" i="1"/>
  <c r="BX601" i="1"/>
  <c r="BW601" i="1"/>
  <c r="BV601" i="1"/>
  <c r="BU601" i="1"/>
  <c r="CB600" i="1"/>
  <c r="CA600" i="1"/>
  <c r="BZ600" i="1"/>
  <c r="BY600" i="1"/>
  <c r="BX600" i="1"/>
  <c r="BW600" i="1"/>
  <c r="BV600" i="1"/>
  <c r="BU600" i="1"/>
  <c r="CB599" i="1"/>
  <c r="CA599" i="1"/>
  <c r="BZ599" i="1"/>
  <c r="BY599" i="1"/>
  <c r="BX599" i="1"/>
  <c r="BW599" i="1"/>
  <c r="BV599" i="1"/>
  <c r="BU599" i="1"/>
  <c r="CB598" i="1"/>
  <c r="CA598" i="1"/>
  <c r="BZ598" i="1"/>
  <c r="BY598" i="1"/>
  <c r="BX598" i="1"/>
  <c r="BW598" i="1"/>
  <c r="BV598" i="1"/>
  <c r="BU598" i="1"/>
  <c r="CB597" i="1"/>
  <c r="CA597" i="1"/>
  <c r="BZ597" i="1"/>
  <c r="BY597" i="1"/>
  <c r="BX597" i="1"/>
  <c r="BW597" i="1"/>
  <c r="BV597" i="1"/>
  <c r="BU597" i="1"/>
  <c r="CB596" i="1"/>
  <c r="CA596" i="1"/>
  <c r="BZ596" i="1"/>
  <c r="BY596" i="1"/>
  <c r="BX596" i="1"/>
  <c r="BW596" i="1"/>
  <c r="BV596" i="1"/>
  <c r="BU596" i="1"/>
  <c r="CB595" i="1"/>
  <c r="CA595" i="1"/>
  <c r="BZ595" i="1"/>
  <c r="BY595" i="1"/>
  <c r="BX595" i="1"/>
  <c r="BW595" i="1"/>
  <c r="BV595" i="1"/>
  <c r="BU595" i="1"/>
  <c r="CB594" i="1"/>
  <c r="CA594" i="1"/>
  <c r="BZ594" i="1"/>
  <c r="BY594" i="1"/>
  <c r="BX594" i="1"/>
  <c r="BW594" i="1"/>
  <c r="BV594" i="1"/>
  <c r="BU594" i="1"/>
  <c r="CB593" i="1"/>
  <c r="CA593" i="1"/>
  <c r="BZ593" i="1"/>
  <c r="BY593" i="1"/>
  <c r="BX593" i="1"/>
  <c r="BW593" i="1"/>
  <c r="BV593" i="1"/>
  <c r="BU593" i="1"/>
  <c r="CB592" i="1"/>
  <c r="CA592" i="1"/>
  <c r="BZ592" i="1"/>
  <c r="BY592" i="1"/>
  <c r="BX592" i="1"/>
  <c r="BW592" i="1"/>
  <c r="BV592" i="1"/>
  <c r="BU592" i="1"/>
  <c r="CB591" i="1"/>
  <c r="CA591" i="1"/>
  <c r="BZ591" i="1"/>
  <c r="BY591" i="1"/>
  <c r="BX591" i="1"/>
  <c r="BW591" i="1"/>
  <c r="BV591" i="1"/>
  <c r="BU591" i="1"/>
  <c r="CB590" i="1"/>
  <c r="CA590" i="1"/>
  <c r="BZ590" i="1"/>
  <c r="BY590" i="1"/>
  <c r="BX590" i="1"/>
  <c r="BW590" i="1"/>
  <c r="BV590" i="1"/>
  <c r="BU590" i="1"/>
  <c r="CB589" i="1"/>
  <c r="CA589" i="1"/>
  <c r="BZ589" i="1"/>
  <c r="BY589" i="1"/>
  <c r="BX589" i="1"/>
  <c r="BW589" i="1"/>
  <c r="BV589" i="1"/>
  <c r="BU589" i="1"/>
  <c r="CB588" i="1"/>
  <c r="CA588" i="1"/>
  <c r="BZ588" i="1"/>
  <c r="BY588" i="1"/>
  <c r="BX588" i="1"/>
  <c r="BW588" i="1"/>
  <c r="BV588" i="1"/>
  <c r="BU588" i="1"/>
  <c r="CB587" i="1"/>
  <c r="CA587" i="1"/>
  <c r="BZ587" i="1"/>
  <c r="BY587" i="1"/>
  <c r="BX587" i="1"/>
  <c r="BW587" i="1"/>
  <c r="BV587" i="1"/>
  <c r="BU587" i="1"/>
  <c r="CB586" i="1"/>
  <c r="CA586" i="1"/>
  <c r="BZ586" i="1"/>
  <c r="BY586" i="1"/>
  <c r="BX586" i="1"/>
  <c r="BW586" i="1"/>
  <c r="BV586" i="1"/>
  <c r="BU586" i="1"/>
  <c r="CB585" i="1"/>
  <c r="CA585" i="1"/>
  <c r="BZ585" i="1"/>
  <c r="BY585" i="1"/>
  <c r="BX585" i="1"/>
  <c r="BW585" i="1"/>
  <c r="BV585" i="1"/>
  <c r="BU585" i="1"/>
  <c r="CB584" i="1"/>
  <c r="CA584" i="1"/>
  <c r="BZ584" i="1"/>
  <c r="BY584" i="1"/>
  <c r="BX584" i="1"/>
  <c r="BW584" i="1"/>
  <c r="BV584" i="1"/>
  <c r="BU584" i="1"/>
  <c r="CB583" i="1"/>
  <c r="CA583" i="1"/>
  <c r="BZ583" i="1"/>
  <c r="BY583" i="1"/>
  <c r="BX583" i="1"/>
  <c r="BW583" i="1"/>
  <c r="BV583" i="1"/>
  <c r="BU583" i="1"/>
  <c r="CB582" i="1"/>
  <c r="CA582" i="1"/>
  <c r="BZ582" i="1"/>
  <c r="BY582" i="1"/>
  <c r="BX582" i="1"/>
  <c r="BW582" i="1"/>
  <c r="BV582" i="1"/>
  <c r="BU582" i="1"/>
  <c r="CB581" i="1"/>
  <c r="CA581" i="1"/>
  <c r="BZ581" i="1"/>
  <c r="BY581" i="1"/>
  <c r="BX581" i="1"/>
  <c r="BW581" i="1"/>
  <c r="BV581" i="1"/>
  <c r="BU581" i="1"/>
  <c r="CB580" i="1"/>
  <c r="CA580" i="1"/>
  <c r="BZ580" i="1"/>
  <c r="BY580" i="1"/>
  <c r="BX580" i="1"/>
  <c r="BW580" i="1"/>
  <c r="BV580" i="1"/>
  <c r="BU580" i="1"/>
  <c r="CB579" i="1"/>
  <c r="CA579" i="1"/>
  <c r="BZ579" i="1"/>
  <c r="BY579" i="1"/>
  <c r="BX579" i="1"/>
  <c r="BW579" i="1"/>
  <c r="BV579" i="1"/>
  <c r="BU579" i="1"/>
  <c r="CB578" i="1"/>
  <c r="CA578" i="1"/>
  <c r="BZ578" i="1"/>
  <c r="BY578" i="1"/>
  <c r="BX578" i="1"/>
  <c r="BW578" i="1"/>
  <c r="BV578" i="1"/>
  <c r="BU578" i="1"/>
  <c r="CB577" i="1"/>
  <c r="CA577" i="1"/>
  <c r="BZ577" i="1"/>
  <c r="BY577" i="1"/>
  <c r="BX577" i="1"/>
  <c r="BW577" i="1"/>
  <c r="BV577" i="1"/>
  <c r="BU577" i="1"/>
  <c r="CB576" i="1"/>
  <c r="CA576" i="1"/>
  <c r="BZ576" i="1"/>
  <c r="BY576" i="1"/>
  <c r="BX576" i="1"/>
  <c r="BW576" i="1"/>
  <c r="BV576" i="1"/>
  <c r="BU576" i="1"/>
  <c r="CB575" i="1"/>
  <c r="CA575" i="1"/>
  <c r="BZ575" i="1"/>
  <c r="BY575" i="1"/>
  <c r="BX575" i="1"/>
  <c r="BW575" i="1"/>
  <c r="BV575" i="1"/>
  <c r="BU575" i="1"/>
  <c r="CB574" i="1"/>
  <c r="CA574" i="1"/>
  <c r="BZ574" i="1"/>
  <c r="BY574" i="1"/>
  <c r="BX574" i="1"/>
  <c r="BW574" i="1"/>
  <c r="BV574" i="1"/>
  <c r="BU574" i="1"/>
  <c r="CB573" i="1"/>
  <c r="CA573" i="1"/>
  <c r="BZ573" i="1"/>
  <c r="BY573" i="1"/>
  <c r="BX573" i="1"/>
  <c r="BW573" i="1"/>
  <c r="BV573" i="1"/>
  <c r="BU573" i="1"/>
  <c r="CB572" i="1"/>
  <c r="CA572" i="1"/>
  <c r="BZ572" i="1"/>
  <c r="BY572" i="1"/>
  <c r="BX572" i="1"/>
  <c r="BW572" i="1"/>
  <c r="BV572" i="1"/>
  <c r="BU572" i="1"/>
  <c r="CB571" i="1"/>
  <c r="CA571" i="1"/>
  <c r="BZ571" i="1"/>
  <c r="BY571" i="1"/>
  <c r="BX571" i="1"/>
  <c r="BW571" i="1"/>
  <c r="BV571" i="1"/>
  <c r="BU571" i="1"/>
  <c r="CB570" i="1"/>
  <c r="CA570" i="1"/>
  <c r="BZ570" i="1"/>
  <c r="BY570" i="1"/>
  <c r="BX570" i="1"/>
  <c r="BW570" i="1"/>
  <c r="BV570" i="1"/>
  <c r="BU570" i="1"/>
  <c r="CB569" i="1"/>
  <c r="CA569" i="1"/>
  <c r="BZ569" i="1"/>
  <c r="BY569" i="1"/>
  <c r="BX569" i="1"/>
  <c r="BW569" i="1"/>
  <c r="BV569" i="1"/>
  <c r="BU569" i="1"/>
  <c r="CB568" i="1"/>
  <c r="CA568" i="1"/>
  <c r="BZ568" i="1"/>
  <c r="BY568" i="1"/>
  <c r="BX568" i="1"/>
  <c r="BW568" i="1"/>
  <c r="BV568" i="1"/>
  <c r="BU568" i="1"/>
  <c r="CB567" i="1"/>
  <c r="CA567" i="1"/>
  <c r="BZ567" i="1"/>
  <c r="BY567" i="1"/>
  <c r="BX567" i="1"/>
  <c r="BW567" i="1"/>
  <c r="BV567" i="1"/>
  <c r="BU567" i="1"/>
  <c r="CB566" i="1"/>
  <c r="CA566" i="1"/>
  <c r="BZ566" i="1"/>
  <c r="BY566" i="1"/>
  <c r="BX566" i="1"/>
  <c r="BW566" i="1"/>
  <c r="BV566" i="1"/>
  <c r="BU566" i="1"/>
  <c r="CB565" i="1"/>
  <c r="CA565" i="1"/>
  <c r="BZ565" i="1"/>
  <c r="BY565" i="1"/>
  <c r="BX565" i="1"/>
  <c r="BW565" i="1"/>
  <c r="BV565" i="1"/>
  <c r="BU565" i="1"/>
  <c r="CB564" i="1"/>
  <c r="CA564" i="1"/>
  <c r="BZ564" i="1"/>
  <c r="BY564" i="1"/>
  <c r="BX564" i="1"/>
  <c r="BW564" i="1"/>
  <c r="BV564" i="1"/>
  <c r="BU564" i="1"/>
  <c r="CB563" i="1"/>
  <c r="CA563" i="1"/>
  <c r="BZ563" i="1"/>
  <c r="BY563" i="1"/>
  <c r="BX563" i="1"/>
  <c r="BW563" i="1"/>
  <c r="BV563" i="1"/>
  <c r="BU563" i="1"/>
  <c r="CB562" i="1"/>
  <c r="CA562" i="1"/>
  <c r="BZ562" i="1"/>
  <c r="BY562" i="1"/>
  <c r="BX562" i="1"/>
  <c r="BW562" i="1"/>
  <c r="BV562" i="1"/>
  <c r="BU562" i="1"/>
  <c r="CB561" i="1"/>
  <c r="CA561" i="1"/>
  <c r="BZ561" i="1"/>
  <c r="BY561" i="1"/>
  <c r="BX561" i="1"/>
  <c r="BW561" i="1"/>
  <c r="BV561" i="1"/>
  <c r="BU561" i="1"/>
  <c r="CB560" i="1"/>
  <c r="CA560" i="1"/>
  <c r="BZ560" i="1"/>
  <c r="BY560" i="1"/>
  <c r="BX560" i="1"/>
  <c r="BW560" i="1"/>
  <c r="BV560" i="1"/>
  <c r="BU560" i="1"/>
  <c r="CB559" i="1"/>
  <c r="CA559" i="1"/>
  <c r="BZ559" i="1"/>
  <c r="BY559" i="1"/>
  <c r="BX559" i="1"/>
  <c r="BW559" i="1"/>
  <c r="BV559" i="1"/>
  <c r="BU559" i="1"/>
  <c r="CB558" i="1"/>
  <c r="CA558" i="1"/>
  <c r="BZ558" i="1"/>
  <c r="BY558" i="1"/>
  <c r="BX558" i="1"/>
  <c r="BW558" i="1"/>
  <c r="BV558" i="1"/>
  <c r="BU558" i="1"/>
  <c r="CB557" i="1"/>
  <c r="CA557" i="1"/>
  <c r="BZ557" i="1"/>
  <c r="BY557" i="1"/>
  <c r="BX557" i="1"/>
  <c r="BW557" i="1"/>
  <c r="BV557" i="1"/>
  <c r="BU557" i="1"/>
  <c r="CB556" i="1"/>
  <c r="CA556" i="1"/>
  <c r="BZ556" i="1"/>
  <c r="BY556" i="1"/>
  <c r="BX556" i="1"/>
  <c r="BW556" i="1"/>
  <c r="BV556" i="1"/>
  <c r="BU556" i="1"/>
  <c r="CB555" i="1"/>
  <c r="CA555" i="1"/>
  <c r="BZ555" i="1"/>
  <c r="BY555" i="1"/>
  <c r="BX555" i="1"/>
  <c r="BW555" i="1"/>
  <c r="BV555" i="1"/>
  <c r="BU555" i="1"/>
  <c r="CB554" i="1"/>
  <c r="CA554" i="1"/>
  <c r="BZ554" i="1"/>
  <c r="BY554" i="1"/>
  <c r="BX554" i="1"/>
  <c r="BW554" i="1"/>
  <c r="BV554" i="1"/>
  <c r="BU554" i="1"/>
  <c r="CB553" i="1"/>
  <c r="CA553" i="1"/>
  <c r="BZ553" i="1"/>
  <c r="BY553" i="1"/>
  <c r="BX553" i="1"/>
  <c r="BW553" i="1"/>
  <c r="BV553" i="1"/>
  <c r="BU553" i="1"/>
  <c r="CB552" i="1"/>
  <c r="CA552" i="1"/>
  <c r="BZ552" i="1"/>
  <c r="BY552" i="1"/>
  <c r="BX552" i="1"/>
  <c r="BW552" i="1"/>
  <c r="BV552" i="1"/>
  <c r="BU552" i="1"/>
  <c r="CB551" i="1"/>
  <c r="CA551" i="1"/>
  <c r="BZ551" i="1"/>
  <c r="BY551" i="1"/>
  <c r="BX551" i="1"/>
  <c r="BW551" i="1"/>
  <c r="BV551" i="1"/>
  <c r="BU551" i="1"/>
  <c r="CB550" i="1"/>
  <c r="CA550" i="1"/>
  <c r="BZ550" i="1"/>
  <c r="BY550" i="1"/>
  <c r="BX550" i="1"/>
  <c r="BW550" i="1"/>
  <c r="BV550" i="1"/>
  <c r="BU550" i="1"/>
  <c r="CB549" i="1"/>
  <c r="CA549" i="1"/>
  <c r="BZ549" i="1"/>
  <c r="BY549" i="1"/>
  <c r="BX549" i="1"/>
  <c r="BW549" i="1"/>
  <c r="BV549" i="1"/>
  <c r="BU549" i="1"/>
  <c r="CB548" i="1"/>
  <c r="CA548" i="1"/>
  <c r="BZ548" i="1"/>
  <c r="BY548" i="1"/>
  <c r="BX548" i="1"/>
  <c r="BW548" i="1"/>
  <c r="BV548" i="1"/>
  <c r="BU548" i="1"/>
  <c r="CB547" i="1"/>
  <c r="CA547" i="1"/>
  <c r="BZ547" i="1"/>
  <c r="BY547" i="1"/>
  <c r="BX547" i="1"/>
  <c r="BW547" i="1"/>
  <c r="BV547" i="1"/>
  <c r="BU547" i="1"/>
  <c r="CB546" i="1"/>
  <c r="CA546" i="1"/>
  <c r="BZ546" i="1"/>
  <c r="BY546" i="1"/>
  <c r="BX546" i="1"/>
  <c r="BW546" i="1"/>
  <c r="BV546" i="1"/>
  <c r="BU546" i="1"/>
  <c r="CB545" i="1"/>
  <c r="CA545" i="1"/>
  <c r="BZ545" i="1"/>
  <c r="BY545" i="1"/>
  <c r="BX545" i="1"/>
  <c r="BW545" i="1"/>
  <c r="BV545" i="1"/>
  <c r="BU545" i="1"/>
  <c r="CB544" i="1"/>
  <c r="CA544" i="1"/>
  <c r="BZ544" i="1"/>
  <c r="BY544" i="1"/>
  <c r="BX544" i="1"/>
  <c r="BW544" i="1"/>
  <c r="BV544" i="1"/>
  <c r="BU544" i="1"/>
  <c r="CB543" i="1"/>
  <c r="CA543" i="1"/>
  <c r="BZ543" i="1"/>
  <c r="BY543" i="1"/>
  <c r="BX543" i="1"/>
  <c r="BW543" i="1"/>
  <c r="BV543" i="1"/>
  <c r="BU543" i="1"/>
  <c r="CB542" i="1"/>
  <c r="CA542" i="1"/>
  <c r="BZ542" i="1"/>
  <c r="BY542" i="1"/>
  <c r="BX542" i="1"/>
  <c r="BW542" i="1"/>
  <c r="BV542" i="1"/>
  <c r="BU542" i="1"/>
  <c r="CB541" i="1"/>
  <c r="CA541" i="1"/>
  <c r="BZ541" i="1"/>
  <c r="BY541" i="1"/>
  <c r="BX541" i="1"/>
  <c r="BW541" i="1"/>
  <c r="BV541" i="1"/>
  <c r="BU541" i="1"/>
  <c r="CB540" i="1"/>
  <c r="CA540" i="1"/>
  <c r="BZ540" i="1"/>
  <c r="BY540" i="1"/>
  <c r="BX540" i="1"/>
  <c r="BW540" i="1"/>
  <c r="BV540" i="1"/>
  <c r="BU540" i="1"/>
  <c r="CB539" i="1"/>
  <c r="CA539" i="1"/>
  <c r="BZ539" i="1"/>
  <c r="BY539" i="1"/>
  <c r="BX539" i="1"/>
  <c r="BW539" i="1"/>
  <c r="BV539" i="1"/>
  <c r="BU539" i="1"/>
  <c r="CB538" i="1"/>
  <c r="CA538" i="1"/>
  <c r="BZ538" i="1"/>
  <c r="BY538" i="1"/>
  <c r="BX538" i="1"/>
  <c r="BW538" i="1"/>
  <c r="BV538" i="1"/>
  <c r="BU538" i="1"/>
  <c r="CB537" i="1"/>
  <c r="CA537" i="1"/>
  <c r="BZ537" i="1"/>
  <c r="BY537" i="1"/>
  <c r="BX537" i="1"/>
  <c r="BW537" i="1"/>
  <c r="BV537" i="1"/>
  <c r="BU537" i="1"/>
  <c r="CB536" i="1"/>
  <c r="CA536" i="1"/>
  <c r="BZ536" i="1"/>
  <c r="BY536" i="1"/>
  <c r="BX536" i="1"/>
  <c r="BW536" i="1"/>
  <c r="BV536" i="1"/>
  <c r="BU536" i="1"/>
  <c r="CB535" i="1"/>
  <c r="CA535" i="1"/>
  <c r="BZ535" i="1"/>
  <c r="BY535" i="1"/>
  <c r="BX535" i="1"/>
  <c r="BW535" i="1"/>
  <c r="BV535" i="1"/>
  <c r="BU535" i="1"/>
  <c r="CB534" i="1"/>
  <c r="CA534" i="1"/>
  <c r="BZ534" i="1"/>
  <c r="BY534" i="1"/>
  <c r="BX534" i="1"/>
  <c r="BW534" i="1"/>
  <c r="BV534" i="1"/>
  <c r="BU534" i="1"/>
  <c r="CB533" i="1"/>
  <c r="CA533" i="1"/>
  <c r="BZ533" i="1"/>
  <c r="BY533" i="1"/>
  <c r="BX533" i="1"/>
  <c r="BW533" i="1"/>
  <c r="BV533" i="1"/>
  <c r="BU533" i="1"/>
  <c r="CB532" i="1"/>
  <c r="CA532" i="1"/>
  <c r="BZ532" i="1"/>
  <c r="BY532" i="1"/>
  <c r="BX532" i="1"/>
  <c r="BW532" i="1"/>
  <c r="BV532" i="1"/>
  <c r="BU532" i="1"/>
  <c r="CB531" i="1"/>
  <c r="CA531" i="1"/>
  <c r="BZ531" i="1"/>
  <c r="BY531" i="1"/>
  <c r="BX531" i="1"/>
  <c r="BW531" i="1"/>
  <c r="BV531" i="1"/>
  <c r="BU531" i="1"/>
  <c r="CB530" i="1"/>
  <c r="CA530" i="1"/>
  <c r="BZ530" i="1"/>
  <c r="BY530" i="1"/>
  <c r="BX530" i="1"/>
  <c r="BW530" i="1"/>
  <c r="BV530" i="1"/>
  <c r="BU530" i="1"/>
  <c r="CB529" i="1"/>
  <c r="CA529" i="1"/>
  <c r="BZ529" i="1"/>
  <c r="BY529" i="1"/>
  <c r="BX529" i="1"/>
  <c r="BW529" i="1"/>
  <c r="BV529" i="1"/>
  <c r="BU529" i="1"/>
  <c r="CB528" i="1"/>
  <c r="CA528" i="1"/>
  <c r="BZ528" i="1"/>
  <c r="BY528" i="1"/>
  <c r="BX528" i="1"/>
  <c r="BW528" i="1"/>
  <c r="BV528" i="1"/>
  <c r="BU528" i="1"/>
  <c r="CB527" i="1"/>
  <c r="CA527" i="1"/>
  <c r="BZ527" i="1"/>
  <c r="BY527" i="1"/>
  <c r="BX527" i="1"/>
  <c r="BW527" i="1"/>
  <c r="BV527" i="1"/>
  <c r="BU527" i="1"/>
  <c r="CB526" i="1"/>
  <c r="CA526" i="1"/>
  <c r="BZ526" i="1"/>
  <c r="BY526" i="1"/>
  <c r="BX526" i="1"/>
  <c r="BW526" i="1"/>
  <c r="BV526" i="1"/>
  <c r="BU526" i="1"/>
  <c r="CB525" i="1"/>
  <c r="CA525" i="1"/>
  <c r="BZ525" i="1"/>
  <c r="BY525" i="1"/>
  <c r="BX525" i="1"/>
  <c r="BW525" i="1"/>
  <c r="BV525" i="1"/>
  <c r="BU525" i="1"/>
  <c r="CB524" i="1"/>
  <c r="CA524" i="1"/>
  <c r="BZ524" i="1"/>
  <c r="BY524" i="1"/>
  <c r="BX524" i="1"/>
  <c r="BW524" i="1"/>
  <c r="BV524" i="1"/>
  <c r="BU524" i="1"/>
  <c r="CB523" i="1"/>
  <c r="CA523" i="1"/>
  <c r="BZ523" i="1"/>
  <c r="BY523" i="1"/>
  <c r="BX523" i="1"/>
  <c r="BW523" i="1"/>
  <c r="BV523" i="1"/>
  <c r="BU523" i="1"/>
  <c r="CB522" i="1"/>
  <c r="CA522" i="1"/>
  <c r="BZ522" i="1"/>
  <c r="BY522" i="1"/>
  <c r="BX522" i="1"/>
  <c r="BW522" i="1"/>
  <c r="BV522" i="1"/>
  <c r="BU522" i="1"/>
  <c r="CB521" i="1"/>
  <c r="CA521" i="1"/>
  <c r="BZ521" i="1"/>
  <c r="BY521" i="1"/>
  <c r="BX521" i="1"/>
  <c r="BW521" i="1"/>
  <c r="BV521" i="1"/>
  <c r="BU521" i="1"/>
  <c r="CB520" i="1"/>
  <c r="CA520" i="1"/>
  <c r="BZ520" i="1"/>
  <c r="BY520" i="1"/>
  <c r="BX520" i="1"/>
  <c r="BW520" i="1"/>
  <c r="BV520" i="1"/>
  <c r="BU520" i="1"/>
  <c r="CB519" i="1"/>
  <c r="CA519" i="1"/>
  <c r="BZ519" i="1"/>
  <c r="BY519" i="1"/>
  <c r="BX519" i="1"/>
  <c r="BW519" i="1"/>
  <c r="BV519" i="1"/>
  <c r="BU519" i="1"/>
  <c r="CB518" i="1"/>
  <c r="CA518" i="1"/>
  <c r="BZ518" i="1"/>
  <c r="BY518" i="1"/>
  <c r="BX518" i="1"/>
  <c r="BW518" i="1"/>
  <c r="BV518" i="1"/>
  <c r="BU518" i="1"/>
  <c r="CB517" i="1"/>
  <c r="CA517" i="1"/>
  <c r="BZ517" i="1"/>
  <c r="BY517" i="1"/>
  <c r="BX517" i="1"/>
  <c r="BW517" i="1"/>
  <c r="BV517" i="1"/>
  <c r="BU517" i="1"/>
  <c r="CB516" i="1"/>
  <c r="CA516" i="1"/>
  <c r="BZ516" i="1"/>
  <c r="BY516" i="1"/>
  <c r="BX516" i="1"/>
  <c r="BW516" i="1"/>
  <c r="BV516" i="1"/>
  <c r="BU516" i="1"/>
  <c r="CB515" i="1"/>
  <c r="CA515" i="1"/>
  <c r="BZ515" i="1"/>
  <c r="BY515" i="1"/>
  <c r="BX515" i="1"/>
  <c r="BW515" i="1"/>
  <c r="BV515" i="1"/>
  <c r="BU515" i="1"/>
  <c r="CB514" i="1"/>
  <c r="CA514" i="1"/>
  <c r="BZ514" i="1"/>
  <c r="BY514" i="1"/>
  <c r="BX514" i="1"/>
  <c r="BW514" i="1"/>
  <c r="BV514" i="1"/>
  <c r="BU514" i="1"/>
  <c r="CB513" i="1"/>
  <c r="CA513" i="1"/>
  <c r="BZ513" i="1"/>
  <c r="BY513" i="1"/>
  <c r="BX513" i="1"/>
  <c r="BW513" i="1"/>
  <c r="BV513" i="1"/>
  <c r="BU513" i="1"/>
  <c r="CB512" i="1"/>
  <c r="CA512" i="1"/>
  <c r="BZ512" i="1"/>
  <c r="BY512" i="1"/>
  <c r="BX512" i="1"/>
  <c r="BW512" i="1"/>
  <c r="BV512" i="1"/>
  <c r="BU512" i="1"/>
  <c r="CB511" i="1"/>
  <c r="CA511" i="1"/>
  <c r="BZ511" i="1"/>
  <c r="BY511" i="1"/>
  <c r="BX511" i="1"/>
  <c r="BW511" i="1"/>
  <c r="BV511" i="1"/>
  <c r="BU511" i="1"/>
  <c r="CB510" i="1"/>
  <c r="CA510" i="1"/>
  <c r="BZ510" i="1"/>
  <c r="BY510" i="1"/>
  <c r="BX510" i="1"/>
  <c r="BW510" i="1"/>
  <c r="BV510" i="1"/>
  <c r="BU510" i="1"/>
  <c r="CB509" i="1"/>
  <c r="CA509" i="1"/>
  <c r="BZ509" i="1"/>
  <c r="BY509" i="1"/>
  <c r="BX509" i="1"/>
  <c r="BW509" i="1"/>
  <c r="BV509" i="1"/>
  <c r="BU509" i="1"/>
  <c r="CB508" i="1"/>
  <c r="CA508" i="1"/>
  <c r="BZ508" i="1"/>
  <c r="BY508" i="1"/>
  <c r="BX508" i="1"/>
  <c r="BW508" i="1"/>
  <c r="BV508" i="1"/>
  <c r="BU508" i="1"/>
  <c r="CB507" i="1"/>
  <c r="CA507" i="1"/>
  <c r="BZ507" i="1"/>
  <c r="BY507" i="1"/>
  <c r="BX507" i="1"/>
  <c r="BW507" i="1"/>
  <c r="BV507" i="1"/>
  <c r="BU507" i="1"/>
  <c r="CB506" i="1"/>
  <c r="CA506" i="1"/>
  <c r="BZ506" i="1"/>
  <c r="BY506" i="1"/>
  <c r="BX506" i="1"/>
  <c r="BW506" i="1"/>
  <c r="BV506" i="1"/>
  <c r="BU506" i="1"/>
  <c r="CB505" i="1"/>
  <c r="CA505" i="1"/>
  <c r="BZ505" i="1"/>
  <c r="BY505" i="1"/>
  <c r="BX505" i="1"/>
  <c r="BW505" i="1"/>
  <c r="BV505" i="1"/>
  <c r="BU505" i="1"/>
  <c r="CB504" i="1"/>
  <c r="CA504" i="1"/>
  <c r="BZ504" i="1"/>
  <c r="BY504" i="1"/>
  <c r="BX504" i="1"/>
  <c r="BW504" i="1"/>
  <c r="BV504" i="1"/>
  <c r="BU504" i="1"/>
  <c r="CB503" i="1"/>
  <c r="CA503" i="1"/>
  <c r="BZ503" i="1"/>
  <c r="BY503" i="1"/>
  <c r="BX503" i="1"/>
  <c r="BW503" i="1"/>
  <c r="BV503" i="1"/>
  <c r="BU503" i="1"/>
  <c r="CB502" i="1"/>
  <c r="CA502" i="1"/>
  <c r="BZ502" i="1"/>
  <c r="BY502" i="1"/>
  <c r="BX502" i="1"/>
  <c r="BW502" i="1"/>
  <c r="BV502" i="1"/>
  <c r="BU502" i="1"/>
  <c r="CB501" i="1"/>
  <c r="CA501" i="1"/>
  <c r="BZ501" i="1"/>
  <c r="BY501" i="1"/>
  <c r="BX501" i="1"/>
  <c r="BW501" i="1"/>
  <c r="BV501" i="1"/>
  <c r="BU501" i="1"/>
  <c r="CB500" i="1"/>
  <c r="CA500" i="1"/>
  <c r="BZ500" i="1"/>
  <c r="BY500" i="1"/>
  <c r="BX500" i="1"/>
  <c r="BW500" i="1"/>
  <c r="BV500" i="1"/>
  <c r="BU500" i="1"/>
  <c r="CB499" i="1"/>
  <c r="CA499" i="1"/>
  <c r="BZ499" i="1"/>
  <c r="BY499" i="1"/>
  <c r="BX499" i="1"/>
  <c r="BW499" i="1"/>
  <c r="BV499" i="1"/>
  <c r="BU499" i="1"/>
  <c r="CB498" i="1"/>
  <c r="CA498" i="1"/>
  <c r="BZ498" i="1"/>
  <c r="BY498" i="1"/>
  <c r="BX498" i="1"/>
  <c r="BW498" i="1"/>
  <c r="BV498" i="1"/>
  <c r="BU498" i="1"/>
  <c r="CB497" i="1"/>
  <c r="CA497" i="1"/>
  <c r="BZ497" i="1"/>
  <c r="BY497" i="1"/>
  <c r="BX497" i="1"/>
  <c r="BW497" i="1"/>
  <c r="BV497" i="1"/>
  <c r="BU497" i="1"/>
  <c r="CB496" i="1"/>
  <c r="CA496" i="1"/>
  <c r="BZ496" i="1"/>
  <c r="BY496" i="1"/>
  <c r="BX496" i="1"/>
  <c r="BW496" i="1"/>
  <c r="BV496" i="1"/>
  <c r="BU496" i="1"/>
  <c r="CB495" i="1"/>
  <c r="CA495" i="1"/>
  <c r="BZ495" i="1"/>
  <c r="BY495" i="1"/>
  <c r="BX495" i="1"/>
  <c r="BW495" i="1"/>
  <c r="BV495" i="1"/>
  <c r="BU495" i="1"/>
  <c r="CB494" i="1"/>
  <c r="CA494" i="1"/>
  <c r="BZ494" i="1"/>
  <c r="BY494" i="1"/>
  <c r="BX494" i="1"/>
  <c r="BW494" i="1"/>
  <c r="BV494" i="1"/>
  <c r="BU494" i="1"/>
  <c r="CB493" i="1"/>
  <c r="CA493" i="1"/>
  <c r="BZ493" i="1"/>
  <c r="BY493" i="1"/>
  <c r="BX493" i="1"/>
  <c r="BW493" i="1"/>
  <c r="BV493" i="1"/>
  <c r="BU493" i="1"/>
  <c r="CB492" i="1"/>
  <c r="CA492" i="1"/>
  <c r="BZ492" i="1"/>
  <c r="BY492" i="1"/>
  <c r="BX492" i="1"/>
  <c r="BW492" i="1"/>
  <c r="BV492" i="1"/>
  <c r="BU492" i="1"/>
  <c r="CB491" i="1"/>
  <c r="CA491" i="1"/>
  <c r="BZ491" i="1"/>
  <c r="BY491" i="1"/>
  <c r="BX491" i="1"/>
  <c r="BW491" i="1"/>
  <c r="BV491" i="1"/>
  <c r="BU491" i="1"/>
  <c r="CB490" i="1"/>
  <c r="CA490" i="1"/>
  <c r="BZ490" i="1"/>
  <c r="BY490" i="1"/>
  <c r="BX490" i="1"/>
  <c r="BW490" i="1"/>
  <c r="BV490" i="1"/>
  <c r="BU490" i="1"/>
  <c r="CB489" i="1"/>
  <c r="CA489" i="1"/>
  <c r="BZ489" i="1"/>
  <c r="BY489" i="1"/>
  <c r="BX489" i="1"/>
  <c r="BW489" i="1"/>
  <c r="BV489" i="1"/>
  <c r="BU489" i="1"/>
  <c r="CB488" i="1"/>
  <c r="CA488" i="1"/>
  <c r="BZ488" i="1"/>
  <c r="BY488" i="1"/>
  <c r="BX488" i="1"/>
  <c r="BW488" i="1"/>
  <c r="BV488" i="1"/>
  <c r="BU488" i="1"/>
  <c r="CB487" i="1"/>
  <c r="CA487" i="1"/>
  <c r="BZ487" i="1"/>
  <c r="BY487" i="1"/>
  <c r="BX487" i="1"/>
  <c r="BW487" i="1"/>
  <c r="BV487" i="1"/>
  <c r="BU487" i="1"/>
  <c r="CB486" i="1"/>
  <c r="CA486" i="1"/>
  <c r="BZ486" i="1"/>
  <c r="BY486" i="1"/>
  <c r="BX486" i="1"/>
  <c r="BW486" i="1"/>
  <c r="BV486" i="1"/>
  <c r="BU486" i="1"/>
  <c r="CB485" i="1"/>
  <c r="CA485" i="1"/>
  <c r="BZ485" i="1"/>
  <c r="BY485" i="1"/>
  <c r="BX485" i="1"/>
  <c r="BW485" i="1"/>
  <c r="BV485" i="1"/>
  <c r="BU485" i="1"/>
  <c r="CB484" i="1"/>
  <c r="CA484" i="1"/>
  <c r="BZ484" i="1"/>
  <c r="BY484" i="1"/>
  <c r="BX484" i="1"/>
  <c r="BW484" i="1"/>
  <c r="BV484" i="1"/>
  <c r="BU484" i="1"/>
  <c r="CB483" i="1"/>
  <c r="CA483" i="1"/>
  <c r="BZ483" i="1"/>
  <c r="BY483" i="1"/>
  <c r="BX483" i="1"/>
  <c r="BW483" i="1"/>
  <c r="BV483" i="1"/>
  <c r="BU483" i="1"/>
  <c r="CB482" i="1"/>
  <c r="CA482" i="1"/>
  <c r="BZ482" i="1"/>
  <c r="BY482" i="1"/>
  <c r="BX482" i="1"/>
  <c r="BW482" i="1"/>
  <c r="BV482" i="1"/>
  <c r="BU482" i="1"/>
  <c r="CB481" i="1"/>
  <c r="CA481" i="1"/>
  <c r="BZ481" i="1"/>
  <c r="BY481" i="1"/>
  <c r="BX481" i="1"/>
  <c r="BW481" i="1"/>
  <c r="BV481" i="1"/>
  <c r="BU481" i="1"/>
  <c r="CB480" i="1"/>
  <c r="CA480" i="1"/>
  <c r="BZ480" i="1"/>
  <c r="BY480" i="1"/>
  <c r="BX480" i="1"/>
  <c r="BW480" i="1"/>
  <c r="BV480" i="1"/>
  <c r="BU480" i="1"/>
  <c r="CB479" i="1"/>
  <c r="CA479" i="1"/>
  <c r="BZ479" i="1"/>
  <c r="BY479" i="1"/>
  <c r="BX479" i="1"/>
  <c r="BW479" i="1"/>
  <c r="BV479" i="1"/>
  <c r="BU479" i="1"/>
  <c r="CB478" i="1"/>
  <c r="CA478" i="1"/>
  <c r="BZ478" i="1"/>
  <c r="BY478" i="1"/>
  <c r="BX478" i="1"/>
  <c r="BW478" i="1"/>
  <c r="BV478" i="1"/>
  <c r="BU478" i="1"/>
  <c r="CB477" i="1"/>
  <c r="CA477" i="1"/>
  <c r="BZ477" i="1"/>
  <c r="BY477" i="1"/>
  <c r="BX477" i="1"/>
  <c r="BW477" i="1"/>
  <c r="BV477" i="1"/>
  <c r="BU477" i="1"/>
  <c r="CB476" i="1"/>
  <c r="CA476" i="1"/>
  <c r="BZ476" i="1"/>
  <c r="BY476" i="1"/>
  <c r="BX476" i="1"/>
  <c r="BW476" i="1"/>
  <c r="BV476" i="1"/>
  <c r="BU476" i="1"/>
  <c r="CB475" i="1"/>
  <c r="CA475" i="1"/>
  <c r="BZ475" i="1"/>
  <c r="BY475" i="1"/>
  <c r="BX475" i="1"/>
  <c r="BW475" i="1"/>
  <c r="BV475" i="1"/>
  <c r="BU475" i="1"/>
  <c r="CB474" i="1"/>
  <c r="CA474" i="1"/>
  <c r="BZ474" i="1"/>
  <c r="BY474" i="1"/>
  <c r="BX474" i="1"/>
  <c r="BW474" i="1"/>
  <c r="BV474" i="1"/>
  <c r="BU474" i="1"/>
  <c r="CB473" i="1"/>
  <c r="CA473" i="1"/>
  <c r="BZ473" i="1"/>
  <c r="BY473" i="1"/>
  <c r="BX473" i="1"/>
  <c r="BW473" i="1"/>
  <c r="BV473" i="1"/>
  <c r="BU473" i="1"/>
  <c r="CB472" i="1"/>
  <c r="CA472" i="1"/>
  <c r="BZ472" i="1"/>
  <c r="BY472" i="1"/>
  <c r="BX472" i="1"/>
  <c r="BW472" i="1"/>
  <c r="BV472" i="1"/>
  <c r="BU472" i="1"/>
  <c r="CB471" i="1"/>
  <c r="CA471" i="1"/>
  <c r="BZ471" i="1"/>
  <c r="BY471" i="1"/>
  <c r="BX471" i="1"/>
  <c r="BW471" i="1"/>
  <c r="BV471" i="1"/>
  <c r="BU471" i="1"/>
  <c r="CB470" i="1"/>
  <c r="CA470" i="1"/>
  <c r="BZ470" i="1"/>
  <c r="BY470" i="1"/>
  <c r="BX470" i="1"/>
  <c r="BW470" i="1"/>
  <c r="BV470" i="1"/>
  <c r="BU470" i="1"/>
  <c r="CB469" i="1"/>
  <c r="CA469" i="1"/>
  <c r="BZ469" i="1"/>
  <c r="BY469" i="1"/>
  <c r="BX469" i="1"/>
  <c r="BW469" i="1"/>
  <c r="BV469" i="1"/>
  <c r="BU469" i="1"/>
  <c r="CB468" i="1"/>
  <c r="CA468" i="1"/>
  <c r="BZ468" i="1"/>
  <c r="BY468" i="1"/>
  <c r="BX468" i="1"/>
  <c r="BW468" i="1"/>
  <c r="BV468" i="1"/>
  <c r="BU468" i="1"/>
  <c r="CB467" i="1"/>
  <c r="CA467" i="1"/>
  <c r="BZ467" i="1"/>
  <c r="BY467" i="1"/>
  <c r="BX467" i="1"/>
  <c r="BW467" i="1"/>
  <c r="BV467" i="1"/>
  <c r="BU467" i="1"/>
  <c r="CB466" i="1"/>
  <c r="CA466" i="1"/>
  <c r="BZ466" i="1"/>
  <c r="BY466" i="1"/>
  <c r="BX466" i="1"/>
  <c r="BW466" i="1"/>
  <c r="BV466" i="1"/>
  <c r="BU466" i="1"/>
  <c r="CB465" i="1"/>
  <c r="CA465" i="1"/>
  <c r="BZ465" i="1"/>
  <c r="BY465" i="1"/>
  <c r="BX465" i="1"/>
  <c r="BW465" i="1"/>
  <c r="BV465" i="1"/>
  <c r="BU465" i="1"/>
  <c r="CB464" i="1"/>
  <c r="CA464" i="1"/>
  <c r="BZ464" i="1"/>
  <c r="BY464" i="1"/>
  <c r="BX464" i="1"/>
  <c r="BW464" i="1"/>
  <c r="BV464" i="1"/>
  <c r="BU464" i="1"/>
  <c r="CB463" i="1"/>
  <c r="CA463" i="1"/>
  <c r="BZ463" i="1"/>
  <c r="BY463" i="1"/>
  <c r="BX463" i="1"/>
  <c r="BW463" i="1"/>
  <c r="BV463" i="1"/>
  <c r="BU463" i="1"/>
  <c r="CB462" i="1"/>
  <c r="CA462" i="1"/>
  <c r="BZ462" i="1"/>
  <c r="BY462" i="1"/>
  <c r="BX462" i="1"/>
  <c r="BW462" i="1"/>
  <c r="BV462" i="1"/>
  <c r="BU462" i="1"/>
  <c r="CB461" i="1"/>
  <c r="CA461" i="1"/>
  <c r="BZ461" i="1"/>
  <c r="BY461" i="1"/>
  <c r="BX461" i="1"/>
  <c r="BW461" i="1"/>
  <c r="BV461" i="1"/>
  <c r="BU461" i="1"/>
  <c r="CB460" i="1"/>
  <c r="CA460" i="1"/>
  <c r="BZ460" i="1"/>
  <c r="BY460" i="1"/>
  <c r="BX460" i="1"/>
  <c r="BW460" i="1"/>
  <c r="BV460" i="1"/>
  <c r="BU460" i="1"/>
  <c r="CB459" i="1"/>
  <c r="CA459" i="1"/>
  <c r="BZ459" i="1"/>
  <c r="BY459" i="1"/>
  <c r="BX459" i="1"/>
  <c r="BW459" i="1"/>
  <c r="BV459" i="1"/>
  <c r="BU459" i="1"/>
  <c r="CB458" i="1"/>
  <c r="CA458" i="1"/>
  <c r="BZ458" i="1"/>
  <c r="BY458" i="1"/>
  <c r="BX458" i="1"/>
  <c r="BW458" i="1"/>
  <c r="BV458" i="1"/>
  <c r="BU458" i="1"/>
  <c r="CB457" i="1"/>
  <c r="CA457" i="1"/>
  <c r="BZ457" i="1"/>
  <c r="BY457" i="1"/>
  <c r="BX457" i="1"/>
  <c r="BW457" i="1"/>
  <c r="BV457" i="1"/>
  <c r="BU457" i="1"/>
  <c r="CB456" i="1"/>
  <c r="CA456" i="1"/>
  <c r="BZ456" i="1"/>
  <c r="BY456" i="1"/>
  <c r="BX456" i="1"/>
  <c r="BW456" i="1"/>
  <c r="BV456" i="1"/>
  <c r="BU456" i="1"/>
  <c r="CB455" i="1"/>
  <c r="CA455" i="1"/>
  <c r="BZ455" i="1"/>
  <c r="BY455" i="1"/>
  <c r="BX455" i="1"/>
  <c r="BW455" i="1"/>
  <c r="BV455" i="1"/>
  <c r="BU455" i="1"/>
  <c r="CB454" i="1"/>
  <c r="CA454" i="1"/>
  <c r="BZ454" i="1"/>
  <c r="BY454" i="1"/>
  <c r="BX454" i="1"/>
  <c r="BW454" i="1"/>
  <c r="BV454" i="1"/>
  <c r="BU454" i="1"/>
  <c r="CB453" i="1"/>
  <c r="CA453" i="1"/>
  <c r="BZ453" i="1"/>
  <c r="BY453" i="1"/>
  <c r="BX453" i="1"/>
  <c r="BW453" i="1"/>
  <c r="BV453" i="1"/>
  <c r="BU453" i="1"/>
  <c r="CB452" i="1"/>
  <c r="CA452" i="1"/>
  <c r="BZ452" i="1"/>
  <c r="BY452" i="1"/>
  <c r="BX452" i="1"/>
  <c r="BW452" i="1"/>
  <c r="BV452" i="1"/>
  <c r="BU452" i="1"/>
  <c r="CB451" i="1"/>
  <c r="CA451" i="1"/>
  <c r="BZ451" i="1"/>
  <c r="BY451" i="1"/>
  <c r="BX451" i="1"/>
  <c r="BW451" i="1"/>
  <c r="BV451" i="1"/>
  <c r="BU451" i="1"/>
  <c r="CB450" i="1"/>
  <c r="CA450" i="1"/>
  <c r="BZ450" i="1"/>
  <c r="BY450" i="1"/>
  <c r="BX450" i="1"/>
  <c r="BW450" i="1"/>
  <c r="BV450" i="1"/>
  <c r="BU450" i="1"/>
  <c r="CB449" i="1"/>
  <c r="CA449" i="1"/>
  <c r="BZ449" i="1"/>
  <c r="BY449" i="1"/>
  <c r="BX449" i="1"/>
  <c r="BW449" i="1"/>
  <c r="BV449" i="1"/>
  <c r="BU449" i="1"/>
  <c r="CB448" i="1"/>
  <c r="CA448" i="1"/>
  <c r="BZ448" i="1"/>
  <c r="BY448" i="1"/>
  <c r="BX448" i="1"/>
  <c r="BW448" i="1"/>
  <c r="BV448" i="1"/>
  <c r="BU448" i="1"/>
  <c r="CB447" i="1"/>
  <c r="CA447" i="1"/>
  <c r="BZ447" i="1"/>
  <c r="BY447" i="1"/>
  <c r="BX447" i="1"/>
  <c r="BW447" i="1"/>
  <c r="BV447" i="1"/>
  <c r="BU447" i="1"/>
  <c r="CB446" i="1"/>
  <c r="CA446" i="1"/>
  <c r="BZ446" i="1"/>
  <c r="BY446" i="1"/>
  <c r="BX446" i="1"/>
  <c r="BW446" i="1"/>
  <c r="BV446" i="1"/>
  <c r="BU446" i="1"/>
  <c r="CB445" i="1"/>
  <c r="CA445" i="1"/>
  <c r="BZ445" i="1"/>
  <c r="BY445" i="1"/>
  <c r="BX445" i="1"/>
  <c r="BW445" i="1"/>
  <c r="BV445" i="1"/>
  <c r="BU445" i="1"/>
  <c r="CB444" i="1"/>
  <c r="CA444" i="1"/>
  <c r="BZ444" i="1"/>
  <c r="BY444" i="1"/>
  <c r="BX444" i="1"/>
  <c r="BW444" i="1"/>
  <c r="BV444" i="1"/>
  <c r="BU444" i="1"/>
  <c r="CB443" i="1"/>
  <c r="CA443" i="1"/>
  <c r="BZ443" i="1"/>
  <c r="BY443" i="1"/>
  <c r="BX443" i="1"/>
  <c r="BW443" i="1"/>
  <c r="BV443" i="1"/>
  <c r="BU443" i="1"/>
  <c r="CB442" i="1"/>
  <c r="CA442" i="1"/>
  <c r="BZ442" i="1"/>
  <c r="BY442" i="1"/>
  <c r="BX442" i="1"/>
  <c r="BW442" i="1"/>
  <c r="BV442" i="1"/>
  <c r="BU442" i="1"/>
  <c r="CB441" i="1"/>
  <c r="CA441" i="1"/>
  <c r="BZ441" i="1"/>
  <c r="BY441" i="1"/>
  <c r="BX441" i="1"/>
  <c r="BW441" i="1"/>
  <c r="BV441" i="1"/>
  <c r="BU441" i="1"/>
  <c r="CB440" i="1"/>
  <c r="CA440" i="1"/>
  <c r="BZ440" i="1"/>
  <c r="BY440" i="1"/>
  <c r="BX440" i="1"/>
  <c r="BW440" i="1"/>
  <c r="BV440" i="1"/>
  <c r="BU440" i="1"/>
  <c r="CB439" i="1"/>
  <c r="CA439" i="1"/>
  <c r="BZ439" i="1"/>
  <c r="BY439" i="1"/>
  <c r="BX439" i="1"/>
  <c r="BW439" i="1"/>
  <c r="BV439" i="1"/>
  <c r="BU439" i="1"/>
  <c r="CB438" i="1"/>
  <c r="CA438" i="1"/>
  <c r="BZ438" i="1"/>
  <c r="BY438" i="1"/>
  <c r="BX438" i="1"/>
  <c r="BW438" i="1"/>
  <c r="BV438" i="1"/>
  <c r="BU438" i="1"/>
  <c r="CB437" i="1"/>
  <c r="CA437" i="1"/>
  <c r="BZ437" i="1"/>
  <c r="BY437" i="1"/>
  <c r="BX437" i="1"/>
  <c r="BW437" i="1"/>
  <c r="BV437" i="1"/>
  <c r="BU437" i="1"/>
  <c r="CB436" i="1"/>
  <c r="CA436" i="1"/>
  <c r="BZ436" i="1"/>
  <c r="BY436" i="1"/>
  <c r="BX436" i="1"/>
  <c r="BW436" i="1"/>
  <c r="BV436" i="1"/>
  <c r="BU436" i="1"/>
  <c r="CB435" i="1"/>
  <c r="CA435" i="1"/>
  <c r="BZ435" i="1"/>
  <c r="BY435" i="1"/>
  <c r="BX435" i="1"/>
  <c r="BW435" i="1"/>
  <c r="BV435" i="1"/>
  <c r="BU435" i="1"/>
  <c r="CB434" i="1"/>
  <c r="CA434" i="1"/>
  <c r="BZ434" i="1"/>
  <c r="BY434" i="1"/>
  <c r="BX434" i="1"/>
  <c r="BW434" i="1"/>
  <c r="BV434" i="1"/>
  <c r="BU434" i="1"/>
  <c r="CB433" i="1"/>
  <c r="CA433" i="1"/>
  <c r="BZ433" i="1"/>
  <c r="BY433" i="1"/>
  <c r="BX433" i="1"/>
  <c r="BW433" i="1"/>
  <c r="BV433" i="1"/>
  <c r="BU433" i="1"/>
  <c r="CB432" i="1"/>
  <c r="CA432" i="1"/>
  <c r="BZ432" i="1"/>
  <c r="BY432" i="1"/>
  <c r="BX432" i="1"/>
  <c r="BW432" i="1"/>
  <c r="BV432" i="1"/>
  <c r="BU432" i="1"/>
  <c r="CB431" i="1"/>
  <c r="CA431" i="1"/>
  <c r="BZ431" i="1"/>
  <c r="BY431" i="1"/>
  <c r="BX431" i="1"/>
  <c r="BW431" i="1"/>
  <c r="BV431" i="1"/>
  <c r="BU431" i="1"/>
  <c r="CB430" i="1"/>
  <c r="CA430" i="1"/>
  <c r="BZ430" i="1"/>
  <c r="BY430" i="1"/>
  <c r="BX430" i="1"/>
  <c r="BW430" i="1"/>
  <c r="BV430" i="1"/>
  <c r="BU430" i="1"/>
  <c r="CB429" i="1"/>
  <c r="CA429" i="1"/>
  <c r="BZ429" i="1"/>
  <c r="BY429" i="1"/>
  <c r="BX429" i="1"/>
  <c r="BW429" i="1"/>
  <c r="BV429" i="1"/>
  <c r="BU429" i="1"/>
  <c r="CB428" i="1"/>
  <c r="CA428" i="1"/>
  <c r="BZ428" i="1"/>
  <c r="BY428" i="1"/>
  <c r="BX428" i="1"/>
  <c r="BW428" i="1"/>
  <c r="BV428" i="1"/>
  <c r="BU428" i="1"/>
  <c r="CB427" i="1"/>
  <c r="CA427" i="1"/>
  <c r="BZ427" i="1"/>
  <c r="BY427" i="1"/>
  <c r="BX427" i="1"/>
  <c r="BW427" i="1"/>
  <c r="BV427" i="1"/>
  <c r="BU427" i="1"/>
  <c r="CB426" i="1"/>
  <c r="CA426" i="1"/>
  <c r="BZ426" i="1"/>
  <c r="BY426" i="1"/>
  <c r="BX426" i="1"/>
  <c r="BW426" i="1"/>
  <c r="BV426" i="1"/>
  <c r="BU426" i="1"/>
  <c r="CB425" i="1"/>
  <c r="CA425" i="1"/>
  <c r="BZ425" i="1"/>
  <c r="BY425" i="1"/>
  <c r="BX425" i="1"/>
  <c r="BW425" i="1"/>
  <c r="BV425" i="1"/>
  <c r="BU425" i="1"/>
  <c r="CB424" i="1"/>
  <c r="CA424" i="1"/>
  <c r="BZ424" i="1"/>
  <c r="BY424" i="1"/>
  <c r="BX424" i="1"/>
  <c r="BW424" i="1"/>
  <c r="BV424" i="1"/>
  <c r="BU424" i="1"/>
  <c r="CB423" i="1"/>
  <c r="CA423" i="1"/>
  <c r="BZ423" i="1"/>
  <c r="BY423" i="1"/>
  <c r="BX423" i="1"/>
  <c r="BW423" i="1"/>
  <c r="BV423" i="1"/>
  <c r="BU423" i="1"/>
  <c r="CB422" i="1"/>
  <c r="CA422" i="1"/>
  <c r="BZ422" i="1"/>
  <c r="BY422" i="1"/>
  <c r="BX422" i="1"/>
  <c r="BW422" i="1"/>
  <c r="BV422" i="1"/>
  <c r="BU422" i="1"/>
  <c r="CB421" i="1"/>
  <c r="CA421" i="1"/>
  <c r="BZ421" i="1"/>
  <c r="BY421" i="1"/>
  <c r="BX421" i="1"/>
  <c r="BW421" i="1"/>
  <c r="BV421" i="1"/>
  <c r="BU421" i="1"/>
  <c r="CB420" i="1"/>
  <c r="CA420" i="1"/>
  <c r="BZ420" i="1"/>
  <c r="BY420" i="1"/>
  <c r="BX420" i="1"/>
  <c r="BW420" i="1"/>
  <c r="BV420" i="1"/>
  <c r="BU420" i="1"/>
  <c r="CB419" i="1"/>
  <c r="CA419" i="1"/>
  <c r="BZ419" i="1"/>
  <c r="BY419" i="1"/>
  <c r="BX419" i="1"/>
  <c r="BW419" i="1"/>
  <c r="BV419" i="1"/>
  <c r="BU419" i="1"/>
  <c r="CB418" i="1"/>
  <c r="CA418" i="1"/>
  <c r="BZ418" i="1"/>
  <c r="BY418" i="1"/>
  <c r="BX418" i="1"/>
  <c r="BW418" i="1"/>
  <c r="BV418" i="1"/>
  <c r="BU418" i="1"/>
  <c r="CB417" i="1"/>
  <c r="CA417" i="1"/>
  <c r="BZ417" i="1"/>
  <c r="BY417" i="1"/>
  <c r="BX417" i="1"/>
  <c r="BW417" i="1"/>
  <c r="BV417" i="1"/>
  <c r="BU417" i="1"/>
  <c r="CB416" i="1"/>
  <c r="CA416" i="1"/>
  <c r="BZ416" i="1"/>
  <c r="BY416" i="1"/>
  <c r="BX416" i="1"/>
  <c r="BW416" i="1"/>
  <c r="BV416" i="1"/>
  <c r="BU416" i="1"/>
  <c r="CB415" i="1"/>
  <c r="CA415" i="1"/>
  <c r="BZ415" i="1"/>
  <c r="BY415" i="1"/>
  <c r="BX415" i="1"/>
  <c r="BW415" i="1"/>
  <c r="BV415" i="1"/>
  <c r="BU415" i="1"/>
  <c r="CB414" i="1"/>
  <c r="CA414" i="1"/>
  <c r="BZ414" i="1"/>
  <c r="BY414" i="1"/>
  <c r="BX414" i="1"/>
  <c r="BW414" i="1"/>
  <c r="BV414" i="1"/>
  <c r="BU414" i="1"/>
  <c r="CB413" i="1"/>
  <c r="CA413" i="1"/>
  <c r="BZ413" i="1"/>
  <c r="BY413" i="1"/>
  <c r="BX413" i="1"/>
  <c r="BW413" i="1"/>
  <c r="BV413" i="1"/>
  <c r="BU413" i="1"/>
  <c r="CB412" i="1"/>
  <c r="CA412" i="1"/>
  <c r="BZ412" i="1"/>
  <c r="BY412" i="1"/>
  <c r="BX412" i="1"/>
  <c r="BW412" i="1"/>
  <c r="BV412" i="1"/>
  <c r="BU412" i="1"/>
  <c r="CB411" i="1"/>
  <c r="CA411" i="1"/>
  <c r="BZ411" i="1"/>
  <c r="BY411" i="1"/>
  <c r="BX411" i="1"/>
  <c r="BW411" i="1"/>
  <c r="BV411" i="1"/>
  <c r="BU411" i="1"/>
  <c r="CB410" i="1"/>
  <c r="CA410" i="1"/>
  <c r="BZ410" i="1"/>
  <c r="BY410" i="1"/>
  <c r="BX410" i="1"/>
  <c r="BW410" i="1"/>
  <c r="BV410" i="1"/>
  <c r="BU410" i="1"/>
  <c r="CB409" i="1"/>
  <c r="CA409" i="1"/>
  <c r="BZ409" i="1"/>
  <c r="BY409" i="1"/>
  <c r="BX409" i="1"/>
  <c r="BW409" i="1"/>
  <c r="BV409" i="1"/>
  <c r="BU409" i="1"/>
  <c r="CB408" i="1"/>
  <c r="CA408" i="1"/>
  <c r="BZ408" i="1"/>
  <c r="BY408" i="1"/>
  <c r="BX408" i="1"/>
  <c r="BW408" i="1"/>
  <c r="BV408" i="1"/>
  <c r="BU408" i="1"/>
  <c r="CB407" i="1"/>
  <c r="CA407" i="1"/>
  <c r="BZ407" i="1"/>
  <c r="BY407" i="1"/>
  <c r="BX407" i="1"/>
  <c r="BW407" i="1"/>
  <c r="BV407" i="1"/>
  <c r="BU407" i="1"/>
  <c r="CB406" i="1"/>
  <c r="CA406" i="1"/>
  <c r="BZ406" i="1"/>
  <c r="BY406" i="1"/>
  <c r="BX406" i="1"/>
  <c r="BW406" i="1"/>
  <c r="BV406" i="1"/>
  <c r="BU406" i="1"/>
  <c r="CB405" i="1"/>
  <c r="CA405" i="1"/>
  <c r="BZ405" i="1"/>
  <c r="BY405" i="1"/>
  <c r="BX405" i="1"/>
  <c r="BW405" i="1"/>
  <c r="BV405" i="1"/>
  <c r="BU405" i="1"/>
  <c r="CB404" i="1"/>
  <c r="CA404" i="1"/>
  <c r="BZ404" i="1"/>
  <c r="BY404" i="1"/>
  <c r="BX404" i="1"/>
  <c r="BW404" i="1"/>
  <c r="BV404" i="1"/>
  <c r="BU404" i="1"/>
  <c r="CB403" i="1"/>
  <c r="CA403" i="1"/>
  <c r="BZ403" i="1"/>
  <c r="BY403" i="1"/>
  <c r="BX403" i="1"/>
  <c r="BW403" i="1"/>
  <c r="BV403" i="1"/>
  <c r="BU403" i="1"/>
  <c r="CB402" i="1"/>
  <c r="CA402" i="1"/>
  <c r="BZ402" i="1"/>
  <c r="BY402" i="1"/>
  <c r="BX402" i="1"/>
  <c r="BW402" i="1"/>
  <c r="BV402" i="1"/>
  <c r="BU402" i="1"/>
  <c r="CB401" i="1"/>
  <c r="CA401" i="1"/>
  <c r="BZ401" i="1"/>
  <c r="BY401" i="1"/>
  <c r="BX401" i="1"/>
  <c r="BW401" i="1"/>
  <c r="BV401" i="1"/>
  <c r="BU401" i="1"/>
  <c r="CB400" i="1"/>
  <c r="CA400" i="1"/>
  <c r="BZ400" i="1"/>
  <c r="BY400" i="1"/>
  <c r="BX400" i="1"/>
  <c r="BW400" i="1"/>
  <c r="BV400" i="1"/>
  <c r="BU400" i="1"/>
  <c r="CB399" i="1"/>
  <c r="CA399" i="1"/>
  <c r="BZ399" i="1"/>
  <c r="BY399" i="1"/>
  <c r="BX399" i="1"/>
  <c r="BW399" i="1"/>
  <c r="BV399" i="1"/>
  <c r="BU399" i="1"/>
  <c r="CB398" i="1"/>
  <c r="CA398" i="1"/>
  <c r="BZ398" i="1"/>
  <c r="BY398" i="1"/>
  <c r="BX398" i="1"/>
  <c r="BW398" i="1"/>
  <c r="BV398" i="1"/>
  <c r="BU398" i="1"/>
  <c r="CB397" i="1"/>
  <c r="CA397" i="1"/>
  <c r="BZ397" i="1"/>
  <c r="BY397" i="1"/>
  <c r="BX397" i="1"/>
  <c r="BW397" i="1"/>
  <c r="BV397" i="1"/>
  <c r="BU397" i="1"/>
  <c r="CB396" i="1"/>
  <c r="CA396" i="1"/>
  <c r="BZ396" i="1"/>
  <c r="BY396" i="1"/>
  <c r="BX396" i="1"/>
  <c r="BW396" i="1"/>
  <c r="BV396" i="1"/>
  <c r="BU396" i="1"/>
  <c r="CB395" i="1"/>
  <c r="CA395" i="1"/>
  <c r="BZ395" i="1"/>
  <c r="BY395" i="1"/>
  <c r="BX395" i="1"/>
  <c r="BW395" i="1"/>
  <c r="BV395" i="1"/>
  <c r="BU395" i="1"/>
  <c r="CB394" i="1"/>
  <c r="CA394" i="1"/>
  <c r="BZ394" i="1"/>
  <c r="BY394" i="1"/>
  <c r="BX394" i="1"/>
  <c r="BW394" i="1"/>
  <c r="BV394" i="1"/>
  <c r="BU394" i="1"/>
  <c r="CB393" i="1"/>
  <c r="CA393" i="1"/>
  <c r="BZ393" i="1"/>
  <c r="BY393" i="1"/>
  <c r="BX393" i="1"/>
  <c r="BW393" i="1"/>
  <c r="BV393" i="1"/>
  <c r="BU393" i="1"/>
  <c r="CB392" i="1"/>
  <c r="CA392" i="1"/>
  <c r="BZ392" i="1"/>
  <c r="BY392" i="1"/>
  <c r="BX392" i="1"/>
  <c r="BW392" i="1"/>
  <c r="BV392" i="1"/>
  <c r="BU392" i="1"/>
  <c r="CB391" i="1"/>
  <c r="CA391" i="1"/>
  <c r="BZ391" i="1"/>
  <c r="BY391" i="1"/>
  <c r="BX391" i="1"/>
  <c r="BW391" i="1"/>
  <c r="BV391" i="1"/>
  <c r="BU391" i="1"/>
  <c r="CB390" i="1"/>
  <c r="CA390" i="1"/>
  <c r="BZ390" i="1"/>
  <c r="BY390" i="1"/>
  <c r="BX390" i="1"/>
  <c r="BW390" i="1"/>
  <c r="BV390" i="1"/>
  <c r="BU390" i="1"/>
  <c r="CB389" i="1"/>
  <c r="CA389" i="1"/>
  <c r="BZ389" i="1"/>
  <c r="BY389" i="1"/>
  <c r="BX389" i="1"/>
  <c r="BW389" i="1"/>
  <c r="BV389" i="1"/>
  <c r="BU389" i="1"/>
  <c r="CB388" i="1"/>
  <c r="CA388" i="1"/>
  <c r="BZ388" i="1"/>
  <c r="BY388" i="1"/>
  <c r="BX388" i="1"/>
  <c r="BW388" i="1"/>
  <c r="BV388" i="1"/>
  <c r="BU388" i="1"/>
  <c r="CB387" i="1"/>
  <c r="CA387" i="1"/>
  <c r="BZ387" i="1"/>
  <c r="BY387" i="1"/>
  <c r="BX387" i="1"/>
  <c r="BW387" i="1"/>
  <c r="BV387" i="1"/>
  <c r="BU387" i="1"/>
  <c r="CB386" i="1"/>
  <c r="CA386" i="1"/>
  <c r="BZ386" i="1"/>
  <c r="BY386" i="1"/>
  <c r="BX386" i="1"/>
  <c r="BW386" i="1"/>
  <c r="BV386" i="1"/>
  <c r="BU386" i="1"/>
  <c r="CB385" i="1"/>
  <c r="CA385" i="1"/>
  <c r="BZ385" i="1"/>
  <c r="BY385" i="1"/>
  <c r="BX385" i="1"/>
  <c r="BW385" i="1"/>
  <c r="BV385" i="1"/>
  <c r="BU385" i="1"/>
  <c r="CB384" i="1"/>
  <c r="CA384" i="1"/>
  <c r="BZ384" i="1"/>
  <c r="BY384" i="1"/>
  <c r="BX384" i="1"/>
  <c r="BW384" i="1"/>
  <c r="BV384" i="1"/>
  <c r="BU384" i="1"/>
  <c r="CB383" i="1"/>
  <c r="CA383" i="1"/>
  <c r="BZ383" i="1"/>
  <c r="BY383" i="1"/>
  <c r="BX383" i="1"/>
  <c r="BW383" i="1"/>
  <c r="BV383" i="1"/>
  <c r="BU383" i="1"/>
  <c r="CB382" i="1"/>
  <c r="CA382" i="1"/>
  <c r="BZ382" i="1"/>
  <c r="BY382" i="1"/>
  <c r="BX382" i="1"/>
  <c r="BW382" i="1"/>
  <c r="BV382" i="1"/>
  <c r="BU382" i="1"/>
  <c r="CB381" i="1"/>
  <c r="CA381" i="1"/>
  <c r="BZ381" i="1"/>
  <c r="BY381" i="1"/>
  <c r="BX381" i="1"/>
  <c r="BW381" i="1"/>
  <c r="BV381" i="1"/>
  <c r="BU381" i="1"/>
  <c r="CB380" i="1"/>
  <c r="CA380" i="1"/>
  <c r="BZ380" i="1"/>
  <c r="BY380" i="1"/>
  <c r="BX380" i="1"/>
  <c r="BW380" i="1"/>
  <c r="BV380" i="1"/>
  <c r="BU380" i="1"/>
  <c r="CB379" i="1"/>
  <c r="CA379" i="1"/>
  <c r="BZ379" i="1"/>
  <c r="BY379" i="1"/>
  <c r="BX379" i="1"/>
  <c r="BW379" i="1"/>
  <c r="BV379" i="1"/>
  <c r="BU379" i="1"/>
  <c r="CB378" i="1"/>
  <c r="CA378" i="1"/>
  <c r="BZ378" i="1"/>
  <c r="BY378" i="1"/>
  <c r="BX378" i="1"/>
  <c r="BW378" i="1"/>
  <c r="BV378" i="1"/>
  <c r="BU378" i="1"/>
  <c r="CB377" i="1"/>
  <c r="CA377" i="1"/>
  <c r="BZ377" i="1"/>
  <c r="BY377" i="1"/>
  <c r="BX377" i="1"/>
  <c r="BW377" i="1"/>
  <c r="BV377" i="1"/>
  <c r="BU377" i="1"/>
  <c r="CB376" i="1"/>
  <c r="CA376" i="1"/>
  <c r="BZ376" i="1"/>
  <c r="BY376" i="1"/>
  <c r="BX376" i="1"/>
  <c r="BW376" i="1"/>
  <c r="BV376" i="1"/>
  <c r="BU376" i="1"/>
  <c r="CB375" i="1"/>
  <c r="CA375" i="1"/>
  <c r="BZ375" i="1"/>
  <c r="BY375" i="1"/>
  <c r="BX375" i="1"/>
  <c r="BW375" i="1"/>
  <c r="BV375" i="1"/>
  <c r="BU375" i="1"/>
  <c r="CB374" i="1"/>
  <c r="CA374" i="1"/>
  <c r="BZ374" i="1"/>
  <c r="BY374" i="1"/>
  <c r="BX374" i="1"/>
  <c r="BW374" i="1"/>
  <c r="BV374" i="1"/>
  <c r="BU374" i="1"/>
  <c r="CB373" i="1"/>
  <c r="CA373" i="1"/>
  <c r="BZ373" i="1"/>
  <c r="BY373" i="1"/>
  <c r="BX373" i="1"/>
  <c r="BW373" i="1"/>
  <c r="BV373" i="1"/>
  <c r="BU373" i="1"/>
  <c r="CB372" i="1"/>
  <c r="CA372" i="1"/>
  <c r="BZ372" i="1"/>
  <c r="BY372" i="1"/>
  <c r="BX372" i="1"/>
  <c r="BW372" i="1"/>
  <c r="BV372" i="1"/>
  <c r="BU372" i="1"/>
  <c r="CB371" i="1"/>
  <c r="CA371" i="1"/>
  <c r="BZ371" i="1"/>
  <c r="BY371" i="1"/>
  <c r="BX371" i="1"/>
  <c r="BW371" i="1"/>
  <c r="BV371" i="1"/>
  <c r="BU371" i="1"/>
  <c r="CB370" i="1"/>
  <c r="CA370" i="1"/>
  <c r="BZ370" i="1"/>
  <c r="BY370" i="1"/>
  <c r="BX370" i="1"/>
  <c r="BW370" i="1"/>
  <c r="BV370" i="1"/>
  <c r="BU370" i="1"/>
  <c r="CB369" i="1"/>
  <c r="CA369" i="1"/>
  <c r="BZ369" i="1"/>
  <c r="BY369" i="1"/>
  <c r="BX369" i="1"/>
  <c r="BW369" i="1"/>
  <c r="BV369" i="1"/>
  <c r="BU369" i="1"/>
  <c r="CB368" i="1"/>
  <c r="CA368" i="1"/>
  <c r="BZ368" i="1"/>
  <c r="BY368" i="1"/>
  <c r="BX368" i="1"/>
  <c r="BW368" i="1"/>
  <c r="BV368" i="1"/>
  <c r="BU368" i="1"/>
  <c r="CB367" i="1"/>
  <c r="CA367" i="1"/>
  <c r="BZ367" i="1"/>
  <c r="BY367" i="1"/>
  <c r="BX367" i="1"/>
  <c r="BW367" i="1"/>
  <c r="BV367" i="1"/>
  <c r="BU367" i="1"/>
  <c r="CB366" i="1"/>
  <c r="CA366" i="1"/>
  <c r="BZ366" i="1"/>
  <c r="BY366" i="1"/>
  <c r="BX366" i="1"/>
  <c r="BW366" i="1"/>
  <c r="BV366" i="1"/>
  <c r="BU366" i="1"/>
  <c r="CB365" i="1"/>
  <c r="CA365" i="1"/>
  <c r="BZ365" i="1"/>
  <c r="BY365" i="1"/>
  <c r="BX365" i="1"/>
  <c r="BW365" i="1"/>
  <c r="BV365" i="1"/>
  <c r="BU365" i="1"/>
  <c r="CB364" i="1"/>
  <c r="CA364" i="1"/>
  <c r="BZ364" i="1"/>
  <c r="BY364" i="1"/>
  <c r="BX364" i="1"/>
  <c r="BW364" i="1"/>
  <c r="BV364" i="1"/>
  <c r="BU364" i="1"/>
  <c r="CB363" i="1"/>
  <c r="CA363" i="1"/>
  <c r="BZ363" i="1"/>
  <c r="BY363" i="1"/>
  <c r="BX363" i="1"/>
  <c r="BW363" i="1"/>
  <c r="BV363" i="1"/>
  <c r="BU363" i="1"/>
  <c r="CB362" i="1"/>
  <c r="CA362" i="1"/>
  <c r="BZ362" i="1"/>
  <c r="BY362" i="1"/>
  <c r="BX362" i="1"/>
  <c r="BW362" i="1"/>
  <c r="BV362" i="1"/>
  <c r="BU362" i="1"/>
  <c r="CB361" i="1"/>
  <c r="CA361" i="1"/>
  <c r="BZ361" i="1"/>
  <c r="BY361" i="1"/>
  <c r="BX361" i="1"/>
  <c r="BW361" i="1"/>
  <c r="BV361" i="1"/>
  <c r="BU361" i="1"/>
  <c r="CB360" i="1"/>
  <c r="CA360" i="1"/>
  <c r="BZ360" i="1"/>
  <c r="BY360" i="1"/>
  <c r="BX360" i="1"/>
  <c r="BW360" i="1"/>
  <c r="BV360" i="1"/>
  <c r="BU360" i="1"/>
  <c r="CB359" i="1"/>
  <c r="CA359" i="1"/>
  <c r="BZ359" i="1"/>
  <c r="BY359" i="1"/>
  <c r="BX359" i="1"/>
  <c r="BW359" i="1"/>
  <c r="BV359" i="1"/>
  <c r="BU359" i="1"/>
  <c r="CB358" i="1"/>
  <c r="CA358" i="1"/>
  <c r="BZ358" i="1"/>
  <c r="BY358" i="1"/>
  <c r="BX358" i="1"/>
  <c r="BW358" i="1"/>
  <c r="BV358" i="1"/>
  <c r="BU358" i="1"/>
  <c r="CB357" i="1"/>
  <c r="CA357" i="1"/>
  <c r="BZ357" i="1"/>
  <c r="BY357" i="1"/>
  <c r="BX357" i="1"/>
  <c r="BW357" i="1"/>
  <c r="BV357" i="1"/>
  <c r="BU357" i="1"/>
  <c r="CB356" i="1"/>
  <c r="CA356" i="1"/>
  <c r="BZ356" i="1"/>
  <c r="BY356" i="1"/>
  <c r="BX356" i="1"/>
  <c r="BW356" i="1"/>
  <c r="BV356" i="1"/>
  <c r="BU356" i="1"/>
  <c r="CB355" i="1"/>
  <c r="CA355" i="1"/>
  <c r="BZ355" i="1"/>
  <c r="BY355" i="1"/>
  <c r="BX355" i="1"/>
  <c r="BW355" i="1"/>
  <c r="BV355" i="1"/>
  <c r="BU355" i="1"/>
  <c r="CB354" i="1"/>
  <c r="CA354" i="1"/>
  <c r="BZ354" i="1"/>
  <c r="BY354" i="1"/>
  <c r="BX354" i="1"/>
  <c r="BW354" i="1"/>
  <c r="BV354" i="1"/>
  <c r="BU354" i="1"/>
  <c r="CB353" i="1"/>
  <c r="CA353" i="1"/>
  <c r="BZ353" i="1"/>
  <c r="BY353" i="1"/>
  <c r="BX353" i="1"/>
  <c r="BW353" i="1"/>
  <c r="BV353" i="1"/>
  <c r="BU353" i="1"/>
  <c r="CB352" i="1"/>
  <c r="CA352" i="1"/>
  <c r="BZ352" i="1"/>
  <c r="BY352" i="1"/>
  <c r="BX352" i="1"/>
  <c r="BW352" i="1"/>
  <c r="BV352" i="1"/>
  <c r="BU352" i="1"/>
  <c r="CB351" i="1"/>
  <c r="CA351" i="1"/>
  <c r="BZ351" i="1"/>
  <c r="BY351" i="1"/>
  <c r="BX351" i="1"/>
  <c r="BW351" i="1"/>
  <c r="BV351" i="1"/>
  <c r="BU351" i="1"/>
  <c r="CB350" i="1"/>
  <c r="CA350" i="1"/>
  <c r="BZ350" i="1"/>
  <c r="BY350" i="1"/>
  <c r="BX350" i="1"/>
  <c r="BW350" i="1"/>
  <c r="BV350" i="1"/>
  <c r="BU350" i="1"/>
  <c r="CB349" i="1"/>
  <c r="CA349" i="1"/>
  <c r="BZ349" i="1"/>
  <c r="BY349" i="1"/>
  <c r="BX349" i="1"/>
  <c r="BW349" i="1"/>
  <c r="BV349" i="1"/>
  <c r="BU349" i="1"/>
  <c r="CB348" i="1"/>
  <c r="CA348" i="1"/>
  <c r="BZ348" i="1"/>
  <c r="BY348" i="1"/>
  <c r="BX348" i="1"/>
  <c r="BW348" i="1"/>
  <c r="BV348" i="1"/>
  <c r="BU348" i="1"/>
  <c r="CB347" i="1"/>
  <c r="CA347" i="1"/>
  <c r="BZ347" i="1"/>
  <c r="BY347" i="1"/>
  <c r="BX347" i="1"/>
  <c r="BW347" i="1"/>
  <c r="BV347" i="1"/>
  <c r="BU347" i="1"/>
  <c r="CB346" i="1"/>
  <c r="CA346" i="1"/>
  <c r="BZ346" i="1"/>
  <c r="BY346" i="1"/>
  <c r="BX346" i="1"/>
  <c r="BW346" i="1"/>
  <c r="BV346" i="1"/>
  <c r="BU346" i="1"/>
  <c r="CB345" i="1"/>
  <c r="CA345" i="1"/>
  <c r="BZ345" i="1"/>
  <c r="BY345" i="1"/>
  <c r="BX345" i="1"/>
  <c r="BW345" i="1"/>
  <c r="BV345" i="1"/>
  <c r="BU345" i="1"/>
  <c r="CB344" i="1"/>
  <c r="CA344" i="1"/>
  <c r="BZ344" i="1"/>
  <c r="BY344" i="1"/>
  <c r="BX344" i="1"/>
  <c r="BW344" i="1"/>
  <c r="BV344" i="1"/>
  <c r="BU344" i="1"/>
  <c r="CB343" i="1"/>
  <c r="CA343" i="1"/>
  <c r="BZ343" i="1"/>
  <c r="BY343" i="1"/>
  <c r="BX343" i="1"/>
  <c r="BW343" i="1"/>
  <c r="BV343" i="1"/>
  <c r="BU343" i="1"/>
  <c r="CB342" i="1"/>
  <c r="CA342" i="1"/>
  <c r="BZ342" i="1"/>
  <c r="BY342" i="1"/>
  <c r="BX342" i="1"/>
  <c r="BW342" i="1"/>
  <c r="BV342" i="1"/>
  <c r="BU342" i="1"/>
  <c r="CB341" i="1"/>
  <c r="CA341" i="1"/>
  <c r="BZ341" i="1"/>
  <c r="BY341" i="1"/>
  <c r="BX341" i="1"/>
  <c r="BW341" i="1"/>
  <c r="BV341" i="1"/>
  <c r="BU341" i="1"/>
  <c r="CB340" i="1"/>
  <c r="CA340" i="1"/>
  <c r="BZ340" i="1"/>
  <c r="BY340" i="1"/>
  <c r="BX340" i="1"/>
  <c r="BW340" i="1"/>
  <c r="BV340" i="1"/>
  <c r="BU340" i="1"/>
  <c r="CB339" i="1"/>
  <c r="CA339" i="1"/>
  <c r="BZ339" i="1"/>
  <c r="BY339" i="1"/>
  <c r="BX339" i="1"/>
  <c r="BW339" i="1"/>
  <c r="BV339" i="1"/>
  <c r="BU339" i="1"/>
  <c r="CB338" i="1"/>
  <c r="CA338" i="1"/>
  <c r="BZ338" i="1"/>
  <c r="BY338" i="1"/>
  <c r="BX338" i="1"/>
  <c r="BW338" i="1"/>
  <c r="BV338" i="1"/>
  <c r="BU338" i="1"/>
  <c r="CB337" i="1"/>
  <c r="CA337" i="1"/>
  <c r="BZ337" i="1"/>
  <c r="BY337" i="1"/>
  <c r="BX337" i="1"/>
  <c r="BW337" i="1"/>
  <c r="BV337" i="1"/>
  <c r="BU337" i="1"/>
  <c r="CB336" i="1"/>
  <c r="CA336" i="1"/>
  <c r="BZ336" i="1"/>
  <c r="BY336" i="1"/>
  <c r="BX336" i="1"/>
  <c r="BW336" i="1"/>
  <c r="BV336" i="1"/>
  <c r="BU336" i="1"/>
  <c r="CB335" i="1"/>
  <c r="CA335" i="1"/>
  <c r="BZ335" i="1"/>
  <c r="BY335" i="1"/>
  <c r="BX335" i="1"/>
  <c r="BW335" i="1"/>
  <c r="BV335" i="1"/>
  <c r="BU335" i="1"/>
  <c r="CB334" i="1"/>
  <c r="CA334" i="1"/>
  <c r="BZ334" i="1"/>
  <c r="BY334" i="1"/>
  <c r="BX334" i="1"/>
  <c r="BW334" i="1"/>
  <c r="BV334" i="1"/>
  <c r="BU334" i="1"/>
  <c r="CB333" i="1"/>
  <c r="CA333" i="1"/>
  <c r="BZ333" i="1"/>
  <c r="BY333" i="1"/>
  <c r="BX333" i="1"/>
  <c r="BW333" i="1"/>
  <c r="BV333" i="1"/>
  <c r="BU333" i="1"/>
  <c r="CB332" i="1"/>
  <c r="CA332" i="1"/>
  <c r="BZ332" i="1"/>
  <c r="BY332" i="1"/>
  <c r="BX332" i="1"/>
  <c r="BW332" i="1"/>
  <c r="BV332" i="1"/>
  <c r="BU332" i="1"/>
  <c r="CB331" i="1"/>
  <c r="CA331" i="1"/>
  <c r="BZ331" i="1"/>
  <c r="BY331" i="1"/>
  <c r="BX331" i="1"/>
  <c r="BW331" i="1"/>
  <c r="BV331" i="1"/>
  <c r="BU331" i="1"/>
  <c r="CB330" i="1"/>
  <c r="CA330" i="1"/>
  <c r="BZ330" i="1"/>
  <c r="BY330" i="1"/>
  <c r="BX330" i="1"/>
  <c r="BW330" i="1"/>
  <c r="BV330" i="1"/>
  <c r="BU330" i="1"/>
  <c r="CB329" i="1"/>
  <c r="CA329" i="1"/>
  <c r="BZ329" i="1"/>
  <c r="BY329" i="1"/>
  <c r="BX329" i="1"/>
  <c r="BW329" i="1"/>
  <c r="BV329" i="1"/>
  <c r="BU329" i="1"/>
  <c r="CB328" i="1"/>
  <c r="CA328" i="1"/>
  <c r="BZ328" i="1"/>
  <c r="BY328" i="1"/>
  <c r="BX328" i="1"/>
  <c r="BW328" i="1"/>
  <c r="BV328" i="1"/>
  <c r="BU328" i="1"/>
  <c r="CB327" i="1"/>
  <c r="CA327" i="1"/>
  <c r="BZ327" i="1"/>
  <c r="BY327" i="1"/>
  <c r="BX327" i="1"/>
  <c r="BW327" i="1"/>
  <c r="BV327" i="1"/>
  <c r="BU327" i="1"/>
  <c r="CB326" i="1"/>
  <c r="CA326" i="1"/>
  <c r="BZ326" i="1"/>
  <c r="BY326" i="1"/>
  <c r="BX326" i="1"/>
  <c r="BW326" i="1"/>
  <c r="BV326" i="1"/>
  <c r="BU326" i="1"/>
  <c r="CB325" i="1"/>
  <c r="CA325" i="1"/>
  <c r="BZ325" i="1"/>
  <c r="BY325" i="1"/>
  <c r="BX325" i="1"/>
  <c r="BW325" i="1"/>
  <c r="BV325" i="1"/>
  <c r="BU325" i="1"/>
  <c r="CB324" i="1"/>
  <c r="CA324" i="1"/>
  <c r="BZ324" i="1"/>
  <c r="BY324" i="1"/>
  <c r="BX324" i="1"/>
  <c r="BW324" i="1"/>
  <c r="BV324" i="1"/>
  <c r="BU324" i="1"/>
  <c r="CB323" i="1"/>
  <c r="CA323" i="1"/>
  <c r="BZ323" i="1"/>
  <c r="BY323" i="1"/>
  <c r="BX323" i="1"/>
  <c r="BW323" i="1"/>
  <c r="BV323" i="1"/>
  <c r="BU323" i="1"/>
  <c r="CB322" i="1"/>
  <c r="CA322" i="1"/>
  <c r="BZ322" i="1"/>
  <c r="BY322" i="1"/>
  <c r="BX322" i="1"/>
  <c r="BW322" i="1"/>
  <c r="BV322" i="1"/>
  <c r="BU322" i="1"/>
  <c r="CB321" i="1"/>
  <c r="CA321" i="1"/>
  <c r="BZ321" i="1"/>
  <c r="BY321" i="1"/>
  <c r="BX321" i="1"/>
  <c r="BW321" i="1"/>
  <c r="BV321" i="1"/>
  <c r="BU321" i="1"/>
  <c r="CB320" i="1"/>
  <c r="CA320" i="1"/>
  <c r="BZ320" i="1"/>
  <c r="BY320" i="1"/>
  <c r="BX320" i="1"/>
  <c r="BW320" i="1"/>
  <c r="BV320" i="1"/>
  <c r="BU320" i="1"/>
  <c r="CB319" i="1"/>
  <c r="CA319" i="1"/>
  <c r="BZ319" i="1"/>
  <c r="BY319" i="1"/>
  <c r="BX319" i="1"/>
  <c r="BW319" i="1"/>
  <c r="BV319" i="1"/>
  <c r="BU319" i="1"/>
  <c r="CB318" i="1"/>
  <c r="CA318" i="1"/>
  <c r="BZ318" i="1"/>
  <c r="BY318" i="1"/>
  <c r="BX318" i="1"/>
  <c r="BW318" i="1"/>
  <c r="BV318" i="1"/>
  <c r="BU318" i="1"/>
  <c r="CB317" i="1"/>
  <c r="CA317" i="1"/>
  <c r="BZ317" i="1"/>
  <c r="BY317" i="1"/>
  <c r="BX317" i="1"/>
  <c r="BW317" i="1"/>
  <c r="BV317" i="1"/>
  <c r="BU317" i="1"/>
  <c r="CB316" i="1"/>
  <c r="CA316" i="1"/>
  <c r="BZ316" i="1"/>
  <c r="BY316" i="1"/>
  <c r="BX316" i="1"/>
  <c r="BW316" i="1"/>
  <c r="BV316" i="1"/>
  <c r="BU316" i="1"/>
  <c r="CB315" i="1"/>
  <c r="CA315" i="1"/>
  <c r="BZ315" i="1"/>
  <c r="BY315" i="1"/>
  <c r="BX315" i="1"/>
  <c r="BW315" i="1"/>
  <c r="BV315" i="1"/>
  <c r="BU315" i="1"/>
  <c r="CB314" i="1"/>
  <c r="CA314" i="1"/>
  <c r="BZ314" i="1"/>
  <c r="BY314" i="1"/>
  <c r="BX314" i="1"/>
  <c r="BW314" i="1"/>
  <c r="BV314" i="1"/>
  <c r="BU314" i="1"/>
  <c r="CB313" i="1"/>
  <c r="CA313" i="1"/>
  <c r="BZ313" i="1"/>
  <c r="BY313" i="1"/>
  <c r="BX313" i="1"/>
  <c r="BW313" i="1"/>
  <c r="BV313" i="1"/>
  <c r="BU313" i="1"/>
  <c r="CB312" i="1"/>
  <c r="CA312" i="1"/>
  <c r="BZ312" i="1"/>
  <c r="BY312" i="1"/>
  <c r="BX312" i="1"/>
  <c r="BW312" i="1"/>
  <c r="BV312" i="1"/>
  <c r="BU312" i="1"/>
  <c r="CB311" i="1"/>
  <c r="CA311" i="1"/>
  <c r="BZ311" i="1"/>
  <c r="BY311" i="1"/>
  <c r="BX311" i="1"/>
  <c r="BW311" i="1"/>
  <c r="BV311" i="1"/>
  <c r="BU311" i="1"/>
  <c r="CB310" i="1"/>
  <c r="CA310" i="1"/>
  <c r="BZ310" i="1"/>
  <c r="BY310" i="1"/>
  <c r="BX310" i="1"/>
  <c r="BW310" i="1"/>
  <c r="BV310" i="1"/>
  <c r="BU310" i="1"/>
  <c r="CB309" i="1"/>
  <c r="CA309" i="1"/>
  <c r="BZ309" i="1"/>
  <c r="BY309" i="1"/>
  <c r="BX309" i="1"/>
  <c r="BW309" i="1"/>
  <c r="BV309" i="1"/>
  <c r="BU309" i="1"/>
  <c r="CB308" i="1"/>
  <c r="CA308" i="1"/>
  <c r="BZ308" i="1"/>
  <c r="BY308" i="1"/>
  <c r="BX308" i="1"/>
  <c r="BW308" i="1"/>
  <c r="BV308" i="1"/>
  <c r="BU308" i="1"/>
  <c r="CB307" i="1"/>
  <c r="CA307" i="1"/>
  <c r="BZ307" i="1"/>
  <c r="BY307" i="1"/>
  <c r="BX307" i="1"/>
  <c r="BW307" i="1"/>
  <c r="BV307" i="1"/>
  <c r="BU307" i="1"/>
  <c r="CB306" i="1"/>
  <c r="CA306" i="1"/>
  <c r="BZ306" i="1"/>
  <c r="BY306" i="1"/>
  <c r="BX306" i="1"/>
  <c r="BW306" i="1"/>
  <c r="BV306" i="1"/>
  <c r="BU306" i="1"/>
  <c r="CB305" i="1"/>
  <c r="CA305" i="1"/>
  <c r="BZ305" i="1"/>
  <c r="BY305" i="1"/>
  <c r="BX305" i="1"/>
  <c r="BW305" i="1"/>
  <c r="BV305" i="1"/>
  <c r="BU305" i="1"/>
  <c r="CB304" i="1"/>
  <c r="CA304" i="1"/>
  <c r="BZ304" i="1"/>
  <c r="BY304" i="1"/>
  <c r="BX304" i="1"/>
  <c r="BW304" i="1"/>
  <c r="BV304" i="1"/>
  <c r="BU304" i="1"/>
  <c r="CB303" i="1"/>
  <c r="CA303" i="1"/>
  <c r="BZ303" i="1"/>
  <c r="BY303" i="1"/>
  <c r="BX303" i="1"/>
  <c r="BW303" i="1"/>
  <c r="BV303" i="1"/>
  <c r="BU303" i="1"/>
  <c r="CB302" i="1"/>
  <c r="CA302" i="1"/>
  <c r="BZ302" i="1"/>
  <c r="BY302" i="1"/>
  <c r="BX302" i="1"/>
  <c r="BW302" i="1"/>
  <c r="BV302" i="1"/>
  <c r="BU302" i="1"/>
  <c r="CB301" i="1"/>
  <c r="CA301" i="1"/>
  <c r="BZ301" i="1"/>
  <c r="BY301" i="1"/>
  <c r="BX301" i="1"/>
  <c r="BW301" i="1"/>
  <c r="BV301" i="1"/>
  <c r="BU301" i="1"/>
  <c r="CB300" i="1"/>
  <c r="CA300" i="1"/>
  <c r="BZ300" i="1"/>
  <c r="BY300" i="1"/>
  <c r="BX300" i="1"/>
  <c r="BW300" i="1"/>
  <c r="BV300" i="1"/>
  <c r="BU300" i="1"/>
  <c r="CB299" i="1"/>
  <c r="CA299" i="1"/>
  <c r="BZ299" i="1"/>
  <c r="BY299" i="1"/>
  <c r="BX299" i="1"/>
  <c r="BW299" i="1"/>
  <c r="BV299" i="1"/>
  <c r="BU299" i="1"/>
  <c r="CB298" i="1"/>
  <c r="CA298" i="1"/>
  <c r="BZ298" i="1"/>
  <c r="BY298" i="1"/>
  <c r="BX298" i="1"/>
  <c r="BW298" i="1"/>
  <c r="BV298" i="1"/>
  <c r="BU298" i="1"/>
  <c r="CB297" i="1"/>
  <c r="CA297" i="1"/>
  <c r="BZ297" i="1"/>
  <c r="BY297" i="1"/>
  <c r="BX297" i="1"/>
  <c r="BW297" i="1"/>
  <c r="BV297" i="1"/>
  <c r="BU297" i="1"/>
  <c r="CB296" i="1"/>
  <c r="CA296" i="1"/>
  <c r="BZ296" i="1"/>
  <c r="BY296" i="1"/>
  <c r="BX296" i="1"/>
  <c r="BW296" i="1"/>
  <c r="BV296" i="1"/>
  <c r="BU296" i="1"/>
  <c r="CB295" i="1"/>
  <c r="CA295" i="1"/>
  <c r="BZ295" i="1"/>
  <c r="BY295" i="1"/>
  <c r="BX295" i="1"/>
  <c r="BW295" i="1"/>
  <c r="BV295" i="1"/>
  <c r="BU295" i="1"/>
  <c r="CB294" i="1"/>
  <c r="CA294" i="1"/>
  <c r="BZ294" i="1"/>
  <c r="BY294" i="1"/>
  <c r="BX294" i="1"/>
  <c r="BW294" i="1"/>
  <c r="BV294" i="1"/>
  <c r="BU294" i="1"/>
  <c r="CB293" i="1"/>
  <c r="CA293" i="1"/>
  <c r="BZ293" i="1"/>
  <c r="BY293" i="1"/>
  <c r="BX293" i="1"/>
  <c r="BW293" i="1"/>
  <c r="BV293" i="1"/>
  <c r="BU293" i="1"/>
  <c r="CB292" i="1"/>
  <c r="CA292" i="1"/>
  <c r="BZ292" i="1"/>
  <c r="BY292" i="1"/>
  <c r="BX292" i="1"/>
  <c r="BW292" i="1"/>
  <c r="BV292" i="1"/>
  <c r="BU292" i="1"/>
  <c r="CB291" i="1"/>
  <c r="CA291" i="1"/>
  <c r="BZ291" i="1"/>
  <c r="BY291" i="1"/>
  <c r="BX291" i="1"/>
  <c r="BW291" i="1"/>
  <c r="BV291" i="1"/>
  <c r="BU291" i="1"/>
  <c r="CB290" i="1"/>
  <c r="CA290" i="1"/>
  <c r="BZ290" i="1"/>
  <c r="BY290" i="1"/>
  <c r="BX290" i="1"/>
  <c r="BW290" i="1"/>
  <c r="BV290" i="1"/>
  <c r="BU290" i="1"/>
  <c r="CB289" i="1"/>
  <c r="CA289" i="1"/>
  <c r="BZ289" i="1"/>
  <c r="BY289" i="1"/>
  <c r="BX289" i="1"/>
  <c r="BW289" i="1"/>
  <c r="BV289" i="1"/>
  <c r="BU289" i="1"/>
  <c r="CB288" i="1"/>
  <c r="CA288" i="1"/>
  <c r="BZ288" i="1"/>
  <c r="BY288" i="1"/>
  <c r="BX288" i="1"/>
  <c r="BW288" i="1"/>
  <c r="BV288" i="1"/>
  <c r="BU288" i="1"/>
  <c r="CB287" i="1"/>
  <c r="CA287" i="1"/>
  <c r="BZ287" i="1"/>
  <c r="BY287" i="1"/>
  <c r="BX287" i="1"/>
  <c r="BW287" i="1"/>
  <c r="BV287" i="1"/>
  <c r="BU287" i="1"/>
  <c r="CB286" i="1"/>
  <c r="CA286" i="1"/>
  <c r="BZ286" i="1"/>
  <c r="BY286" i="1"/>
  <c r="BX286" i="1"/>
  <c r="BW286" i="1"/>
  <c r="BV286" i="1"/>
  <c r="BU286" i="1"/>
  <c r="CB285" i="1"/>
  <c r="CA285" i="1"/>
  <c r="BZ285" i="1"/>
  <c r="BY285" i="1"/>
  <c r="BX285" i="1"/>
  <c r="BW285" i="1"/>
  <c r="BV285" i="1"/>
  <c r="BU285" i="1"/>
  <c r="CB284" i="1"/>
  <c r="CA284" i="1"/>
  <c r="BZ284" i="1"/>
  <c r="BY284" i="1"/>
  <c r="BX284" i="1"/>
  <c r="BW284" i="1"/>
  <c r="BV284" i="1"/>
  <c r="BU284" i="1"/>
  <c r="CB283" i="1"/>
  <c r="CA283" i="1"/>
  <c r="BZ283" i="1"/>
  <c r="BY283" i="1"/>
  <c r="BX283" i="1"/>
  <c r="BW283" i="1"/>
  <c r="BV283" i="1"/>
  <c r="BU283" i="1"/>
  <c r="CB282" i="1"/>
  <c r="CA282" i="1"/>
  <c r="BZ282" i="1"/>
  <c r="BY282" i="1"/>
  <c r="BX282" i="1"/>
  <c r="BW282" i="1"/>
  <c r="BV282" i="1"/>
  <c r="BU282" i="1"/>
  <c r="CB281" i="1"/>
  <c r="CA281" i="1"/>
  <c r="BZ281" i="1"/>
  <c r="BY281" i="1"/>
  <c r="BX281" i="1"/>
  <c r="BW281" i="1"/>
  <c r="BV281" i="1"/>
  <c r="BU281" i="1"/>
  <c r="CB280" i="1"/>
  <c r="CA280" i="1"/>
  <c r="BZ280" i="1"/>
  <c r="BY280" i="1"/>
  <c r="BX280" i="1"/>
  <c r="BW280" i="1"/>
  <c r="BV280" i="1"/>
  <c r="BU280" i="1"/>
  <c r="CB279" i="1"/>
  <c r="CA279" i="1"/>
  <c r="BZ279" i="1"/>
  <c r="BY279" i="1"/>
  <c r="BX279" i="1"/>
  <c r="BW279" i="1"/>
  <c r="BV279" i="1"/>
  <c r="BU279" i="1"/>
  <c r="CB278" i="1"/>
  <c r="CA278" i="1"/>
  <c r="BZ278" i="1"/>
  <c r="BY278" i="1"/>
  <c r="BX278" i="1"/>
  <c r="BW278" i="1"/>
  <c r="BV278" i="1"/>
  <c r="BU278" i="1"/>
  <c r="CB277" i="1"/>
  <c r="CA277" i="1"/>
  <c r="BZ277" i="1"/>
  <c r="BY277" i="1"/>
  <c r="BX277" i="1"/>
  <c r="BW277" i="1"/>
  <c r="BV277" i="1"/>
  <c r="BU277" i="1"/>
  <c r="CB276" i="1"/>
  <c r="CA276" i="1"/>
  <c r="BZ276" i="1"/>
  <c r="BY276" i="1"/>
  <c r="BX276" i="1"/>
  <c r="BW276" i="1"/>
  <c r="BV276" i="1"/>
  <c r="BU276" i="1"/>
  <c r="CB275" i="1"/>
  <c r="CA275" i="1"/>
  <c r="BZ275" i="1"/>
  <c r="BY275" i="1"/>
  <c r="BX275" i="1"/>
  <c r="BW275" i="1"/>
  <c r="BV275" i="1"/>
  <c r="BU275" i="1"/>
  <c r="CB274" i="1"/>
  <c r="CA274" i="1"/>
  <c r="BZ274" i="1"/>
  <c r="BY274" i="1"/>
  <c r="BX274" i="1"/>
  <c r="BW274" i="1"/>
  <c r="BV274" i="1"/>
  <c r="BU274" i="1"/>
  <c r="CB273" i="1"/>
  <c r="CA273" i="1"/>
  <c r="BZ273" i="1"/>
  <c r="BY273" i="1"/>
  <c r="BX273" i="1"/>
  <c r="BW273" i="1"/>
  <c r="BV273" i="1"/>
  <c r="BU273" i="1"/>
  <c r="CB272" i="1"/>
  <c r="CA272" i="1"/>
  <c r="BZ272" i="1"/>
  <c r="BY272" i="1"/>
  <c r="BX272" i="1"/>
  <c r="BW272" i="1"/>
  <c r="BV272" i="1"/>
  <c r="BU272" i="1"/>
  <c r="CB271" i="1"/>
  <c r="CA271" i="1"/>
  <c r="BZ271" i="1"/>
  <c r="BY271" i="1"/>
  <c r="BX271" i="1"/>
  <c r="BW271" i="1"/>
  <c r="BV271" i="1"/>
  <c r="BU271" i="1"/>
  <c r="CB270" i="1"/>
  <c r="CA270" i="1"/>
  <c r="BZ270" i="1"/>
  <c r="BY270" i="1"/>
  <c r="BX270" i="1"/>
  <c r="BW270" i="1"/>
  <c r="BV270" i="1"/>
  <c r="BU270" i="1"/>
  <c r="CB269" i="1"/>
  <c r="CA269" i="1"/>
  <c r="BZ269" i="1"/>
  <c r="BY269" i="1"/>
  <c r="BX269" i="1"/>
  <c r="BW269" i="1"/>
  <c r="BV269" i="1"/>
  <c r="BU269" i="1"/>
  <c r="CB268" i="1"/>
  <c r="CA268" i="1"/>
  <c r="BZ268" i="1"/>
  <c r="BY268" i="1"/>
  <c r="BX268" i="1"/>
  <c r="BW268" i="1"/>
  <c r="BV268" i="1"/>
  <c r="BU268" i="1"/>
  <c r="CB267" i="1"/>
  <c r="CA267" i="1"/>
  <c r="BZ267" i="1"/>
  <c r="BY267" i="1"/>
  <c r="BX267" i="1"/>
  <c r="BW267" i="1"/>
  <c r="BV267" i="1"/>
  <c r="BU267" i="1"/>
  <c r="CB266" i="1"/>
  <c r="CA266" i="1"/>
  <c r="BZ266" i="1"/>
  <c r="BY266" i="1"/>
  <c r="BX266" i="1"/>
  <c r="BW266" i="1"/>
  <c r="BV266" i="1"/>
  <c r="BU266" i="1"/>
  <c r="CB265" i="1"/>
  <c r="CA265" i="1"/>
  <c r="BZ265" i="1"/>
  <c r="BY265" i="1"/>
  <c r="BX265" i="1"/>
  <c r="BW265" i="1"/>
  <c r="BV265" i="1"/>
  <c r="BU265" i="1"/>
  <c r="CB264" i="1"/>
  <c r="CA264" i="1"/>
  <c r="BZ264" i="1"/>
  <c r="BY264" i="1"/>
  <c r="BX264" i="1"/>
  <c r="BW264" i="1"/>
  <c r="BV264" i="1"/>
  <c r="BU264" i="1"/>
  <c r="CB263" i="1"/>
  <c r="CA263" i="1"/>
  <c r="BZ263" i="1"/>
  <c r="BY263" i="1"/>
  <c r="BX263" i="1"/>
  <c r="BW263" i="1"/>
  <c r="BV263" i="1"/>
  <c r="BU263" i="1"/>
  <c r="CB262" i="1"/>
  <c r="CA262" i="1"/>
  <c r="BZ262" i="1"/>
  <c r="BY262" i="1"/>
  <c r="BX262" i="1"/>
  <c r="BW262" i="1"/>
  <c r="BV262" i="1"/>
  <c r="BU262" i="1"/>
  <c r="CB261" i="1"/>
  <c r="CA261" i="1"/>
  <c r="BZ261" i="1"/>
  <c r="BY261" i="1"/>
  <c r="BX261" i="1"/>
  <c r="BW261" i="1"/>
  <c r="BV261" i="1"/>
  <c r="BU261" i="1"/>
  <c r="CB260" i="1"/>
  <c r="CA260" i="1"/>
  <c r="BZ260" i="1"/>
  <c r="BY260" i="1"/>
  <c r="BX260" i="1"/>
  <c r="BW260" i="1"/>
  <c r="BV260" i="1"/>
  <c r="BU260" i="1"/>
  <c r="CB259" i="1"/>
  <c r="CA259" i="1"/>
  <c r="BZ259" i="1"/>
  <c r="BY259" i="1"/>
  <c r="BX259" i="1"/>
  <c r="BW259" i="1"/>
  <c r="BV259" i="1"/>
  <c r="BU259" i="1"/>
  <c r="CB258" i="1"/>
  <c r="CA258" i="1"/>
  <c r="BZ258" i="1"/>
  <c r="BY258" i="1"/>
  <c r="BX258" i="1"/>
  <c r="BW258" i="1"/>
  <c r="BV258" i="1"/>
  <c r="BU258" i="1"/>
  <c r="CB257" i="1"/>
  <c r="CA257" i="1"/>
  <c r="BZ257" i="1"/>
  <c r="BY257" i="1"/>
  <c r="BX257" i="1"/>
  <c r="BW257" i="1"/>
  <c r="BV257" i="1"/>
  <c r="BU257" i="1"/>
  <c r="CB256" i="1"/>
  <c r="CA256" i="1"/>
  <c r="BZ256" i="1"/>
  <c r="BY256" i="1"/>
  <c r="BX256" i="1"/>
  <c r="BW256" i="1"/>
  <c r="BV256" i="1"/>
  <c r="BU256" i="1"/>
  <c r="CB255" i="1"/>
  <c r="CA255" i="1"/>
  <c r="BZ255" i="1"/>
  <c r="BY255" i="1"/>
  <c r="BX255" i="1"/>
  <c r="BW255" i="1"/>
  <c r="BV255" i="1"/>
  <c r="BU255" i="1"/>
  <c r="CB254" i="1"/>
  <c r="CA254" i="1"/>
  <c r="BZ254" i="1"/>
  <c r="BY254" i="1"/>
  <c r="BX254" i="1"/>
  <c r="BW254" i="1"/>
  <c r="BV254" i="1"/>
  <c r="BU254" i="1"/>
  <c r="CB253" i="1"/>
  <c r="CA253" i="1"/>
  <c r="BZ253" i="1"/>
  <c r="BY253" i="1"/>
  <c r="BX253" i="1"/>
  <c r="BW253" i="1"/>
  <c r="BV253" i="1"/>
  <c r="BU253" i="1"/>
  <c r="CB252" i="1"/>
  <c r="CA252" i="1"/>
  <c r="BZ252" i="1"/>
  <c r="BY252" i="1"/>
  <c r="BX252" i="1"/>
  <c r="BW252" i="1"/>
  <c r="BV252" i="1"/>
  <c r="BU252" i="1"/>
  <c r="CB251" i="1"/>
  <c r="CA251" i="1"/>
  <c r="BZ251" i="1"/>
  <c r="BY251" i="1"/>
  <c r="BX251" i="1"/>
  <c r="BW251" i="1"/>
  <c r="BV251" i="1"/>
  <c r="BU251" i="1"/>
  <c r="CB250" i="1"/>
  <c r="CA250" i="1"/>
  <c r="BZ250" i="1"/>
  <c r="BY250" i="1"/>
  <c r="BX250" i="1"/>
  <c r="BW250" i="1"/>
  <c r="BV250" i="1"/>
  <c r="BU250" i="1"/>
  <c r="CB249" i="1"/>
  <c r="CA249" i="1"/>
  <c r="BZ249" i="1"/>
  <c r="BY249" i="1"/>
  <c r="BX249" i="1"/>
  <c r="BW249" i="1"/>
  <c r="BV249" i="1"/>
  <c r="BU249" i="1"/>
  <c r="CB248" i="1"/>
  <c r="CA248" i="1"/>
  <c r="BZ248" i="1"/>
  <c r="BY248" i="1"/>
  <c r="BX248" i="1"/>
  <c r="BW248" i="1"/>
  <c r="BV248" i="1"/>
  <c r="BU248" i="1"/>
  <c r="CB247" i="1"/>
  <c r="CA247" i="1"/>
  <c r="BZ247" i="1"/>
  <c r="BY247" i="1"/>
  <c r="BX247" i="1"/>
  <c r="BW247" i="1"/>
  <c r="BV247" i="1"/>
  <c r="BU247" i="1"/>
  <c r="CB246" i="1"/>
  <c r="CA246" i="1"/>
  <c r="BZ246" i="1"/>
  <c r="BY246" i="1"/>
  <c r="BX246" i="1"/>
  <c r="BW246" i="1"/>
  <c r="BV246" i="1"/>
  <c r="BU246" i="1"/>
  <c r="CB245" i="1"/>
  <c r="CA245" i="1"/>
  <c r="BZ245" i="1"/>
  <c r="BY245" i="1"/>
  <c r="BX245" i="1"/>
  <c r="BW245" i="1"/>
  <c r="BV245" i="1"/>
  <c r="BU245" i="1"/>
  <c r="CB244" i="1"/>
  <c r="CA244" i="1"/>
  <c r="BZ244" i="1"/>
  <c r="BY244" i="1"/>
  <c r="BX244" i="1"/>
  <c r="BW244" i="1"/>
  <c r="BV244" i="1"/>
  <c r="BU244" i="1"/>
  <c r="CB243" i="1"/>
  <c r="CA243" i="1"/>
  <c r="BZ243" i="1"/>
  <c r="BY243" i="1"/>
  <c r="BX243" i="1"/>
  <c r="BW243" i="1"/>
  <c r="BV243" i="1"/>
  <c r="BU243" i="1"/>
  <c r="CB242" i="1"/>
  <c r="CA242" i="1"/>
  <c r="BZ242" i="1"/>
  <c r="BY242" i="1"/>
  <c r="BX242" i="1"/>
  <c r="BW242" i="1"/>
  <c r="BV242" i="1"/>
  <c r="BU242" i="1"/>
  <c r="CB241" i="1"/>
  <c r="CA241" i="1"/>
  <c r="BZ241" i="1"/>
  <c r="BY241" i="1"/>
  <c r="BX241" i="1"/>
  <c r="BW241" i="1"/>
  <c r="BV241" i="1"/>
  <c r="BU241" i="1"/>
  <c r="CB240" i="1"/>
  <c r="CA240" i="1"/>
  <c r="BZ240" i="1"/>
  <c r="BY240" i="1"/>
  <c r="BX240" i="1"/>
  <c r="BW240" i="1"/>
  <c r="BV240" i="1"/>
  <c r="BU240" i="1"/>
  <c r="CB239" i="1"/>
  <c r="CA239" i="1"/>
  <c r="BZ239" i="1"/>
  <c r="BY239" i="1"/>
  <c r="BX239" i="1"/>
  <c r="BW239" i="1"/>
  <c r="BV239" i="1"/>
  <c r="BU239" i="1"/>
  <c r="CB238" i="1"/>
  <c r="CA238" i="1"/>
  <c r="BZ238" i="1"/>
  <c r="BY238" i="1"/>
  <c r="BX238" i="1"/>
  <c r="BW238" i="1"/>
  <c r="BV238" i="1"/>
  <c r="BU238" i="1"/>
  <c r="CB237" i="1"/>
  <c r="CA237" i="1"/>
  <c r="BZ237" i="1"/>
  <c r="BY237" i="1"/>
  <c r="BX237" i="1"/>
  <c r="BW237" i="1"/>
  <c r="BV237" i="1"/>
  <c r="BU237" i="1"/>
  <c r="CB236" i="1"/>
  <c r="CA236" i="1"/>
  <c r="BZ236" i="1"/>
  <c r="BY236" i="1"/>
  <c r="BX236" i="1"/>
  <c r="BW236" i="1"/>
  <c r="BV236" i="1"/>
  <c r="BU236" i="1"/>
  <c r="CB235" i="1"/>
  <c r="CA235" i="1"/>
  <c r="BZ235" i="1"/>
  <c r="BY235" i="1"/>
  <c r="BX235" i="1"/>
  <c r="BW235" i="1"/>
  <c r="BV235" i="1"/>
  <c r="BU235" i="1"/>
  <c r="CB234" i="1"/>
  <c r="CA234" i="1"/>
  <c r="BZ234" i="1"/>
  <c r="BY234" i="1"/>
  <c r="BX234" i="1"/>
  <c r="BW234" i="1"/>
  <c r="BV234" i="1"/>
  <c r="BU234" i="1"/>
  <c r="CB233" i="1"/>
  <c r="CA233" i="1"/>
  <c r="BZ233" i="1"/>
  <c r="BY233" i="1"/>
  <c r="BX233" i="1"/>
  <c r="BW233" i="1"/>
  <c r="BV233" i="1"/>
  <c r="BU233" i="1"/>
  <c r="CB232" i="1"/>
  <c r="CA232" i="1"/>
  <c r="BZ232" i="1"/>
  <c r="BY232" i="1"/>
  <c r="BX232" i="1"/>
  <c r="BW232" i="1"/>
  <c r="BV232" i="1"/>
  <c r="BU232" i="1"/>
  <c r="CB231" i="1"/>
  <c r="CA231" i="1"/>
  <c r="BZ231" i="1"/>
  <c r="BY231" i="1"/>
  <c r="BX231" i="1"/>
  <c r="BW231" i="1"/>
  <c r="BV231" i="1"/>
  <c r="BU231" i="1"/>
  <c r="CB230" i="1"/>
  <c r="CA230" i="1"/>
  <c r="BZ230" i="1"/>
  <c r="BY230" i="1"/>
  <c r="BX230" i="1"/>
  <c r="BW230" i="1"/>
  <c r="BV230" i="1"/>
  <c r="BU230" i="1"/>
  <c r="CB229" i="1"/>
  <c r="CA229" i="1"/>
  <c r="BZ229" i="1"/>
  <c r="BY229" i="1"/>
  <c r="BX229" i="1"/>
  <c r="BW229" i="1"/>
  <c r="BV229" i="1"/>
  <c r="BU229" i="1"/>
  <c r="CB228" i="1"/>
  <c r="CA228" i="1"/>
  <c r="BZ228" i="1"/>
  <c r="BY228" i="1"/>
  <c r="BX228" i="1"/>
  <c r="BW228" i="1"/>
  <c r="BV228" i="1"/>
  <c r="BU228" i="1"/>
  <c r="CB227" i="1"/>
  <c r="CA227" i="1"/>
  <c r="BZ227" i="1"/>
  <c r="BY227" i="1"/>
  <c r="BX227" i="1"/>
  <c r="BW227" i="1"/>
  <c r="BV227" i="1"/>
  <c r="BU227" i="1"/>
  <c r="CB226" i="1"/>
  <c r="CA226" i="1"/>
  <c r="BZ226" i="1"/>
  <c r="BY226" i="1"/>
  <c r="BX226" i="1"/>
  <c r="BW226" i="1"/>
  <c r="BV226" i="1"/>
  <c r="BU226" i="1"/>
  <c r="CB225" i="1"/>
  <c r="CA225" i="1"/>
  <c r="BZ225" i="1"/>
  <c r="BY225" i="1"/>
  <c r="BX225" i="1"/>
  <c r="BW225" i="1"/>
  <c r="BV225" i="1"/>
  <c r="BU225" i="1"/>
  <c r="CB224" i="1"/>
  <c r="CA224" i="1"/>
  <c r="BZ224" i="1"/>
  <c r="BY224" i="1"/>
  <c r="BX224" i="1"/>
  <c r="BW224" i="1"/>
  <c r="BV224" i="1"/>
  <c r="BU224" i="1"/>
  <c r="CB223" i="1"/>
  <c r="CA223" i="1"/>
  <c r="BZ223" i="1"/>
  <c r="BY223" i="1"/>
  <c r="BX223" i="1"/>
  <c r="BW223" i="1"/>
  <c r="BV223" i="1"/>
  <c r="BU223" i="1"/>
  <c r="CB222" i="1"/>
  <c r="CA222" i="1"/>
  <c r="BZ222" i="1"/>
  <c r="BY222" i="1"/>
  <c r="BX222" i="1"/>
  <c r="BW222" i="1"/>
  <c r="BV222" i="1"/>
  <c r="BU222" i="1"/>
  <c r="CB221" i="1"/>
  <c r="CA221" i="1"/>
  <c r="BZ221" i="1"/>
  <c r="BY221" i="1"/>
  <c r="BX221" i="1"/>
  <c r="BW221" i="1"/>
  <c r="BV221" i="1"/>
  <c r="BU221" i="1"/>
  <c r="CB220" i="1"/>
  <c r="CA220" i="1"/>
  <c r="BZ220" i="1"/>
  <c r="BY220" i="1"/>
  <c r="BX220" i="1"/>
  <c r="BW220" i="1"/>
  <c r="BV220" i="1"/>
  <c r="BU220" i="1"/>
  <c r="CB219" i="1"/>
  <c r="CA219" i="1"/>
  <c r="BZ219" i="1"/>
  <c r="BY219" i="1"/>
  <c r="BX219" i="1"/>
  <c r="BW219" i="1"/>
  <c r="BV219" i="1"/>
  <c r="BU219" i="1"/>
  <c r="CB218" i="1"/>
  <c r="CA218" i="1"/>
  <c r="BZ218" i="1"/>
  <c r="BY218" i="1"/>
  <c r="BX218" i="1"/>
  <c r="BW218" i="1"/>
  <c r="BV218" i="1"/>
  <c r="BU218" i="1"/>
  <c r="CB217" i="1"/>
  <c r="CA217" i="1"/>
  <c r="BZ217" i="1"/>
  <c r="BY217" i="1"/>
  <c r="BX217" i="1"/>
  <c r="BW217" i="1"/>
  <c r="BV217" i="1"/>
  <c r="BU217" i="1"/>
  <c r="CB216" i="1"/>
  <c r="CA216" i="1"/>
  <c r="BZ216" i="1"/>
  <c r="BY216" i="1"/>
  <c r="BX216" i="1"/>
  <c r="BW216" i="1"/>
  <c r="BV216" i="1"/>
  <c r="BU216" i="1"/>
  <c r="CB215" i="1"/>
  <c r="CA215" i="1"/>
  <c r="BZ215" i="1"/>
  <c r="BY215" i="1"/>
  <c r="BX215" i="1"/>
  <c r="BW215" i="1"/>
  <c r="BV215" i="1"/>
  <c r="BU215" i="1"/>
  <c r="CB214" i="1"/>
  <c r="CA214" i="1"/>
  <c r="BZ214" i="1"/>
  <c r="BY214" i="1"/>
  <c r="BX214" i="1"/>
  <c r="BW214" i="1"/>
  <c r="BV214" i="1"/>
  <c r="BU214" i="1"/>
  <c r="CB213" i="1"/>
  <c r="CA213" i="1"/>
  <c r="BZ213" i="1"/>
  <c r="BY213" i="1"/>
  <c r="BX213" i="1"/>
  <c r="BW213" i="1"/>
  <c r="BV213" i="1"/>
  <c r="BU213" i="1"/>
  <c r="CB212" i="1"/>
  <c r="CA212" i="1"/>
  <c r="BZ212" i="1"/>
  <c r="BY212" i="1"/>
  <c r="BX212" i="1"/>
  <c r="BW212" i="1"/>
  <c r="BV212" i="1"/>
  <c r="BU212" i="1"/>
  <c r="CB211" i="1"/>
  <c r="CA211" i="1"/>
  <c r="BZ211" i="1"/>
  <c r="BY211" i="1"/>
  <c r="BX211" i="1"/>
  <c r="BW211" i="1"/>
  <c r="BV211" i="1"/>
  <c r="BU211" i="1"/>
  <c r="CB210" i="1"/>
  <c r="CA210" i="1"/>
  <c r="BZ210" i="1"/>
  <c r="BY210" i="1"/>
  <c r="BX210" i="1"/>
  <c r="BW210" i="1"/>
  <c r="BV210" i="1"/>
  <c r="BU210" i="1"/>
  <c r="CB209" i="1"/>
  <c r="CA209" i="1"/>
  <c r="BZ209" i="1"/>
  <c r="BY209" i="1"/>
  <c r="BX209" i="1"/>
  <c r="BW209" i="1"/>
  <c r="BV209" i="1"/>
  <c r="BU209" i="1"/>
  <c r="CB208" i="1"/>
  <c r="CA208" i="1"/>
  <c r="BZ208" i="1"/>
  <c r="BY208" i="1"/>
  <c r="BX208" i="1"/>
  <c r="BW208" i="1"/>
  <c r="BV208" i="1"/>
  <c r="BU208" i="1"/>
  <c r="CB207" i="1"/>
  <c r="CA207" i="1"/>
  <c r="BZ207" i="1"/>
  <c r="BY207" i="1"/>
  <c r="BX207" i="1"/>
  <c r="BW207" i="1"/>
  <c r="BV207" i="1"/>
  <c r="BU207" i="1"/>
  <c r="CB206" i="1"/>
  <c r="CA206" i="1"/>
  <c r="BZ206" i="1"/>
  <c r="BY206" i="1"/>
  <c r="BX206" i="1"/>
  <c r="BW206" i="1"/>
  <c r="BV206" i="1"/>
  <c r="BU206" i="1"/>
  <c r="CB205" i="1"/>
  <c r="CA205" i="1"/>
  <c r="BZ205" i="1"/>
  <c r="BY205" i="1"/>
  <c r="BX205" i="1"/>
  <c r="BW205" i="1"/>
  <c r="BV205" i="1"/>
  <c r="BU205" i="1"/>
  <c r="CB204" i="1"/>
  <c r="CA204" i="1"/>
  <c r="BZ204" i="1"/>
  <c r="BY204" i="1"/>
  <c r="BX204" i="1"/>
  <c r="BW204" i="1"/>
  <c r="BV204" i="1"/>
  <c r="BU204" i="1"/>
  <c r="CB203" i="1"/>
  <c r="CA203" i="1"/>
  <c r="BZ203" i="1"/>
  <c r="BY203" i="1"/>
  <c r="BX203" i="1"/>
  <c r="BW203" i="1"/>
  <c r="BV203" i="1"/>
  <c r="BU203" i="1"/>
  <c r="CB202" i="1"/>
  <c r="CA202" i="1"/>
  <c r="BZ202" i="1"/>
  <c r="BY202" i="1"/>
  <c r="BX202" i="1"/>
  <c r="BW202" i="1"/>
  <c r="BV202" i="1"/>
  <c r="BU202" i="1"/>
  <c r="CB201" i="1"/>
  <c r="CA201" i="1"/>
  <c r="BZ201" i="1"/>
  <c r="BY201" i="1"/>
  <c r="BX201" i="1"/>
  <c r="BW201" i="1"/>
  <c r="BV201" i="1"/>
  <c r="BU201" i="1"/>
  <c r="CB200" i="1"/>
  <c r="CA200" i="1"/>
  <c r="BZ200" i="1"/>
  <c r="BY200" i="1"/>
  <c r="BX200" i="1"/>
  <c r="BW200" i="1"/>
  <c r="BV200" i="1"/>
  <c r="BU200" i="1"/>
  <c r="CB199" i="1"/>
  <c r="CA199" i="1"/>
  <c r="BZ199" i="1"/>
  <c r="BY199" i="1"/>
  <c r="BX199" i="1"/>
  <c r="BW199" i="1"/>
  <c r="BV199" i="1"/>
  <c r="BU199" i="1"/>
  <c r="CB198" i="1"/>
  <c r="CA198" i="1"/>
  <c r="BZ198" i="1"/>
  <c r="BY198" i="1"/>
  <c r="BX198" i="1"/>
  <c r="BW198" i="1"/>
  <c r="BV198" i="1"/>
  <c r="BU198" i="1"/>
  <c r="CB197" i="1"/>
  <c r="CA197" i="1"/>
  <c r="BZ197" i="1"/>
  <c r="BY197" i="1"/>
  <c r="BX197" i="1"/>
  <c r="BW197" i="1"/>
  <c r="BV197" i="1"/>
  <c r="BU197" i="1"/>
  <c r="CB196" i="1"/>
  <c r="CA196" i="1"/>
  <c r="BZ196" i="1"/>
  <c r="BY196" i="1"/>
  <c r="BX196" i="1"/>
  <c r="BW196" i="1"/>
  <c r="BV196" i="1"/>
  <c r="BU196" i="1"/>
  <c r="CB195" i="1"/>
  <c r="CA195" i="1"/>
  <c r="BZ195" i="1"/>
  <c r="BY195" i="1"/>
  <c r="BX195" i="1"/>
  <c r="BW195" i="1"/>
  <c r="BV195" i="1"/>
  <c r="BU195" i="1"/>
  <c r="CB194" i="1"/>
  <c r="CA194" i="1"/>
  <c r="BZ194" i="1"/>
  <c r="BY194" i="1"/>
  <c r="BX194" i="1"/>
  <c r="BW194" i="1"/>
  <c r="BV194" i="1"/>
  <c r="BU194" i="1"/>
  <c r="CB193" i="1"/>
  <c r="CA193" i="1"/>
  <c r="BZ193" i="1"/>
  <c r="BY193" i="1"/>
  <c r="BX193" i="1"/>
  <c r="BW193" i="1"/>
  <c r="BV193" i="1"/>
  <c r="BU193" i="1"/>
  <c r="CB192" i="1"/>
  <c r="CA192" i="1"/>
  <c r="BZ192" i="1"/>
  <c r="BY192" i="1"/>
  <c r="BX192" i="1"/>
  <c r="BW192" i="1"/>
  <c r="BV192" i="1"/>
  <c r="BU192" i="1"/>
  <c r="CB191" i="1"/>
  <c r="CA191" i="1"/>
  <c r="BZ191" i="1"/>
  <c r="BY191" i="1"/>
  <c r="BX191" i="1"/>
  <c r="BW191" i="1"/>
  <c r="BV191" i="1"/>
  <c r="BU191" i="1"/>
  <c r="CB190" i="1"/>
  <c r="CA190" i="1"/>
  <c r="BZ190" i="1"/>
  <c r="BY190" i="1"/>
  <c r="BX190" i="1"/>
  <c r="BW190" i="1"/>
  <c r="BV190" i="1"/>
  <c r="BU190" i="1"/>
  <c r="CB189" i="1"/>
  <c r="CA189" i="1"/>
  <c r="BZ189" i="1"/>
  <c r="BY189" i="1"/>
  <c r="BX189" i="1"/>
  <c r="BW189" i="1"/>
  <c r="BV189" i="1"/>
  <c r="BU189" i="1"/>
  <c r="CB188" i="1"/>
  <c r="CA188" i="1"/>
  <c r="BZ188" i="1"/>
  <c r="BY188" i="1"/>
  <c r="BX188" i="1"/>
  <c r="BW188" i="1"/>
  <c r="BV188" i="1"/>
  <c r="BU188" i="1"/>
  <c r="CB187" i="1"/>
  <c r="CA187" i="1"/>
  <c r="BZ187" i="1"/>
  <c r="BY187" i="1"/>
  <c r="BX187" i="1"/>
  <c r="BW187" i="1"/>
  <c r="BV187" i="1"/>
  <c r="BU187" i="1"/>
  <c r="CB186" i="1"/>
  <c r="CA186" i="1"/>
  <c r="BZ186" i="1"/>
  <c r="BY186" i="1"/>
  <c r="BX186" i="1"/>
  <c r="BW186" i="1"/>
  <c r="BV186" i="1"/>
  <c r="BU186" i="1"/>
  <c r="CB185" i="1"/>
  <c r="CA185" i="1"/>
  <c r="BZ185" i="1"/>
  <c r="BY185" i="1"/>
  <c r="BX185" i="1"/>
  <c r="BW185" i="1"/>
  <c r="BV185" i="1"/>
  <c r="BU185" i="1"/>
  <c r="CB184" i="1"/>
  <c r="CA184" i="1"/>
  <c r="BZ184" i="1"/>
  <c r="BY184" i="1"/>
  <c r="BX184" i="1"/>
  <c r="BW184" i="1"/>
  <c r="BV184" i="1"/>
  <c r="BU184" i="1"/>
  <c r="CB183" i="1"/>
  <c r="CA183" i="1"/>
  <c r="BZ183" i="1"/>
  <c r="BY183" i="1"/>
  <c r="BX183" i="1"/>
  <c r="BW183" i="1"/>
  <c r="BV183" i="1"/>
  <c r="BU183" i="1"/>
  <c r="CB182" i="1"/>
  <c r="CA182" i="1"/>
  <c r="BZ182" i="1"/>
  <c r="BY182" i="1"/>
  <c r="BX182" i="1"/>
  <c r="BW182" i="1"/>
  <c r="BV182" i="1"/>
  <c r="BU182" i="1"/>
  <c r="CB181" i="1"/>
  <c r="CA181" i="1"/>
  <c r="BZ181" i="1"/>
  <c r="BY181" i="1"/>
  <c r="BX181" i="1"/>
  <c r="BW181" i="1"/>
  <c r="BV181" i="1"/>
  <c r="BU181" i="1"/>
  <c r="CB180" i="1"/>
  <c r="CA180" i="1"/>
  <c r="BZ180" i="1"/>
  <c r="BY180" i="1"/>
  <c r="BX180" i="1"/>
  <c r="BW180" i="1"/>
  <c r="BV180" i="1"/>
  <c r="BU180" i="1"/>
  <c r="CB179" i="1"/>
  <c r="CA179" i="1"/>
  <c r="BZ179" i="1"/>
  <c r="BY179" i="1"/>
  <c r="BX179" i="1"/>
  <c r="BW179" i="1"/>
  <c r="BV179" i="1"/>
  <c r="BU179" i="1"/>
  <c r="CB178" i="1"/>
  <c r="CA178" i="1"/>
  <c r="BZ178" i="1"/>
  <c r="BY178" i="1"/>
  <c r="BX178" i="1"/>
  <c r="BW178" i="1"/>
  <c r="BV178" i="1"/>
  <c r="BU178" i="1"/>
  <c r="CB177" i="1"/>
  <c r="CA177" i="1"/>
  <c r="BZ177" i="1"/>
  <c r="BY177" i="1"/>
  <c r="BX177" i="1"/>
  <c r="BW177" i="1"/>
  <c r="BV177" i="1"/>
  <c r="BU177" i="1"/>
  <c r="CB176" i="1"/>
  <c r="CA176" i="1"/>
  <c r="BZ176" i="1"/>
  <c r="BY176" i="1"/>
  <c r="BX176" i="1"/>
  <c r="BW176" i="1"/>
  <c r="BV176" i="1"/>
  <c r="BU176" i="1"/>
  <c r="CB175" i="1"/>
  <c r="CA175" i="1"/>
  <c r="BZ175" i="1"/>
  <c r="BY175" i="1"/>
  <c r="BX175" i="1"/>
  <c r="BW175" i="1"/>
  <c r="BV175" i="1"/>
  <c r="BU175" i="1"/>
  <c r="CB174" i="1"/>
  <c r="CA174" i="1"/>
  <c r="BZ174" i="1"/>
  <c r="BY174" i="1"/>
  <c r="BX174" i="1"/>
  <c r="BW174" i="1"/>
  <c r="BV174" i="1"/>
  <c r="BU174" i="1"/>
  <c r="CB173" i="1"/>
  <c r="CA173" i="1"/>
  <c r="BZ173" i="1"/>
  <c r="BY173" i="1"/>
  <c r="BX173" i="1"/>
  <c r="BW173" i="1"/>
  <c r="BV173" i="1"/>
  <c r="BU173" i="1"/>
  <c r="CB172" i="1"/>
  <c r="CA172" i="1"/>
  <c r="BZ172" i="1"/>
  <c r="BY172" i="1"/>
  <c r="BX172" i="1"/>
  <c r="BW172" i="1"/>
  <c r="BV172" i="1"/>
  <c r="BU172" i="1"/>
  <c r="CB171" i="1"/>
  <c r="CA171" i="1"/>
  <c r="BZ171" i="1"/>
  <c r="BY171" i="1"/>
  <c r="BX171" i="1"/>
  <c r="BW171" i="1"/>
  <c r="BV171" i="1"/>
  <c r="BU171" i="1"/>
  <c r="CB170" i="1"/>
  <c r="CA170" i="1"/>
  <c r="BZ170" i="1"/>
  <c r="BY170" i="1"/>
  <c r="BX170" i="1"/>
  <c r="BW170" i="1"/>
  <c r="BV170" i="1"/>
  <c r="BU170" i="1"/>
  <c r="CB169" i="1"/>
  <c r="CA169" i="1"/>
  <c r="BZ169" i="1"/>
  <c r="BY169" i="1"/>
  <c r="BX169" i="1"/>
  <c r="BW169" i="1"/>
  <c r="BV169" i="1"/>
  <c r="BU169" i="1"/>
  <c r="CB168" i="1"/>
  <c r="CA168" i="1"/>
  <c r="BZ168" i="1"/>
  <c r="BY168" i="1"/>
  <c r="BX168" i="1"/>
  <c r="BW168" i="1"/>
  <c r="BV168" i="1"/>
  <c r="BU168" i="1"/>
  <c r="CB167" i="1"/>
  <c r="CA167" i="1"/>
  <c r="BZ167" i="1"/>
  <c r="BY167" i="1"/>
  <c r="BX167" i="1"/>
  <c r="BW167" i="1"/>
  <c r="BV167" i="1"/>
  <c r="BU167" i="1"/>
  <c r="CB166" i="1"/>
  <c r="CA166" i="1"/>
  <c r="BZ166" i="1"/>
  <c r="BY166" i="1"/>
  <c r="BX166" i="1"/>
  <c r="BW166" i="1"/>
  <c r="BV166" i="1"/>
  <c r="BU166" i="1"/>
  <c r="CB165" i="1"/>
  <c r="CA165" i="1"/>
  <c r="BZ165" i="1"/>
  <c r="BY165" i="1"/>
  <c r="BX165" i="1"/>
  <c r="BW165" i="1"/>
  <c r="BV165" i="1"/>
  <c r="BU165" i="1"/>
  <c r="CB164" i="1"/>
  <c r="CA164" i="1"/>
  <c r="BZ164" i="1"/>
  <c r="BY164" i="1"/>
  <c r="BX164" i="1"/>
  <c r="BW164" i="1"/>
  <c r="BV164" i="1"/>
  <c r="BU164" i="1"/>
  <c r="CB163" i="1"/>
  <c r="CA163" i="1"/>
  <c r="BZ163" i="1"/>
  <c r="BY163" i="1"/>
  <c r="BX163" i="1"/>
  <c r="BW163" i="1"/>
  <c r="BV163" i="1"/>
  <c r="BU163" i="1"/>
  <c r="CB162" i="1"/>
  <c r="CA162" i="1"/>
  <c r="BZ162" i="1"/>
  <c r="BY162" i="1"/>
  <c r="BX162" i="1"/>
  <c r="BW162" i="1"/>
  <c r="BV162" i="1"/>
  <c r="BU162" i="1"/>
  <c r="CB161" i="1"/>
  <c r="CA161" i="1"/>
  <c r="BZ161" i="1"/>
  <c r="BY161" i="1"/>
  <c r="BX161" i="1"/>
  <c r="BW161" i="1"/>
  <c r="BV161" i="1"/>
  <c r="BU161" i="1"/>
  <c r="CB160" i="1"/>
  <c r="CA160" i="1"/>
  <c r="BZ160" i="1"/>
  <c r="BY160" i="1"/>
  <c r="BX160" i="1"/>
  <c r="BW160" i="1"/>
  <c r="BV160" i="1"/>
  <c r="BU160" i="1"/>
  <c r="CB159" i="1"/>
  <c r="CA159" i="1"/>
  <c r="BZ159" i="1"/>
  <c r="BY159" i="1"/>
  <c r="BX159" i="1"/>
  <c r="BW159" i="1"/>
  <c r="BV159" i="1"/>
  <c r="BU159" i="1"/>
  <c r="CB158" i="1"/>
  <c r="CA158" i="1"/>
  <c r="BZ158" i="1"/>
  <c r="BY158" i="1"/>
  <c r="BX158" i="1"/>
  <c r="BW158" i="1"/>
  <c r="BV158" i="1"/>
  <c r="BU158" i="1"/>
  <c r="CB157" i="1"/>
  <c r="CA157" i="1"/>
  <c r="BZ157" i="1"/>
  <c r="BY157" i="1"/>
  <c r="BX157" i="1"/>
  <c r="BW157" i="1"/>
  <c r="BV157" i="1"/>
  <c r="BU157" i="1"/>
  <c r="CB156" i="1"/>
  <c r="CA156" i="1"/>
  <c r="BZ156" i="1"/>
  <c r="BY156" i="1"/>
  <c r="BX156" i="1"/>
  <c r="BW156" i="1"/>
  <c r="BV156" i="1"/>
  <c r="BU156" i="1"/>
  <c r="CB155" i="1"/>
  <c r="CA155" i="1"/>
  <c r="BZ155" i="1"/>
  <c r="BY155" i="1"/>
  <c r="BX155" i="1"/>
  <c r="BW155" i="1"/>
  <c r="BV155" i="1"/>
  <c r="BU155" i="1"/>
  <c r="CB154" i="1"/>
  <c r="CA154" i="1"/>
  <c r="BZ154" i="1"/>
  <c r="BY154" i="1"/>
  <c r="BX154" i="1"/>
  <c r="BW154" i="1"/>
  <c r="BV154" i="1"/>
  <c r="BU154" i="1"/>
  <c r="CB153" i="1"/>
  <c r="CA153" i="1"/>
  <c r="BZ153" i="1"/>
  <c r="BY153" i="1"/>
  <c r="BX153" i="1"/>
  <c r="BW153" i="1"/>
  <c r="BV153" i="1"/>
  <c r="BU153" i="1"/>
  <c r="CB152" i="1"/>
  <c r="CA152" i="1"/>
  <c r="BZ152" i="1"/>
  <c r="BY152" i="1"/>
  <c r="BX152" i="1"/>
  <c r="BW152" i="1"/>
  <c r="BV152" i="1"/>
  <c r="BU152" i="1"/>
  <c r="CB151" i="1"/>
  <c r="CA151" i="1"/>
  <c r="BZ151" i="1"/>
  <c r="BY151" i="1"/>
  <c r="BX151" i="1"/>
  <c r="BW151" i="1"/>
  <c r="BV151" i="1"/>
  <c r="BU151" i="1"/>
  <c r="CB150" i="1"/>
  <c r="CA150" i="1"/>
  <c r="BZ150" i="1"/>
  <c r="BY150" i="1"/>
  <c r="BX150" i="1"/>
  <c r="BW150" i="1"/>
  <c r="BV150" i="1"/>
  <c r="BU150" i="1"/>
  <c r="CB149" i="1"/>
  <c r="CA149" i="1"/>
  <c r="BZ149" i="1"/>
  <c r="BY149" i="1"/>
  <c r="BX149" i="1"/>
  <c r="BW149" i="1"/>
  <c r="BV149" i="1"/>
  <c r="BU149" i="1"/>
  <c r="CB148" i="1"/>
  <c r="CA148" i="1"/>
  <c r="BZ148" i="1"/>
  <c r="BY148" i="1"/>
  <c r="BX148" i="1"/>
  <c r="BW148" i="1"/>
  <c r="BV148" i="1"/>
  <c r="BU148" i="1"/>
  <c r="CB147" i="1"/>
  <c r="CA147" i="1"/>
  <c r="BZ147" i="1"/>
  <c r="BY147" i="1"/>
  <c r="BX147" i="1"/>
  <c r="BW147" i="1"/>
  <c r="BV147" i="1"/>
  <c r="BU147" i="1"/>
  <c r="CB146" i="1"/>
  <c r="CA146" i="1"/>
  <c r="BZ146" i="1"/>
  <c r="BY146" i="1"/>
  <c r="BX146" i="1"/>
  <c r="BW146" i="1"/>
  <c r="BV146" i="1"/>
  <c r="BU146" i="1"/>
  <c r="CB145" i="1"/>
  <c r="CA145" i="1"/>
  <c r="BZ145" i="1"/>
  <c r="BY145" i="1"/>
  <c r="BX145" i="1"/>
  <c r="BW145" i="1"/>
  <c r="BV145" i="1"/>
  <c r="BU145" i="1"/>
  <c r="CB144" i="1"/>
  <c r="CA144" i="1"/>
  <c r="BZ144" i="1"/>
  <c r="BY144" i="1"/>
  <c r="BX144" i="1"/>
  <c r="BW144" i="1"/>
  <c r="BV144" i="1"/>
  <c r="BU144" i="1"/>
  <c r="CB143" i="1"/>
  <c r="CA143" i="1"/>
  <c r="BZ143" i="1"/>
  <c r="BY143" i="1"/>
  <c r="BX143" i="1"/>
  <c r="BW143" i="1"/>
  <c r="BV143" i="1"/>
  <c r="BU143" i="1"/>
  <c r="CB142" i="1"/>
  <c r="CA142" i="1"/>
  <c r="BZ142" i="1"/>
  <c r="BY142" i="1"/>
  <c r="BX142" i="1"/>
  <c r="BW142" i="1"/>
  <c r="BV142" i="1"/>
  <c r="BU142" i="1"/>
  <c r="CB141" i="1"/>
  <c r="CA141" i="1"/>
  <c r="BZ141" i="1"/>
  <c r="BY141" i="1"/>
  <c r="BX141" i="1"/>
  <c r="BW141" i="1"/>
  <c r="BV141" i="1"/>
  <c r="BU141" i="1"/>
  <c r="CB140" i="1"/>
  <c r="CA140" i="1"/>
  <c r="BZ140" i="1"/>
  <c r="BY140" i="1"/>
  <c r="BX140" i="1"/>
  <c r="BW140" i="1"/>
  <c r="BV140" i="1"/>
  <c r="BU140" i="1"/>
  <c r="CB139" i="1"/>
  <c r="CA139" i="1"/>
  <c r="BZ139" i="1"/>
  <c r="BY139" i="1"/>
  <c r="BX139" i="1"/>
  <c r="BW139" i="1"/>
  <c r="BV139" i="1"/>
  <c r="BU139" i="1"/>
  <c r="CB138" i="1"/>
  <c r="CA138" i="1"/>
  <c r="BZ138" i="1"/>
  <c r="BY138" i="1"/>
  <c r="BX138" i="1"/>
  <c r="BW138" i="1"/>
  <c r="BV138" i="1"/>
  <c r="BU138" i="1"/>
  <c r="CB137" i="1"/>
  <c r="CA137" i="1"/>
  <c r="BZ137" i="1"/>
  <c r="BY137" i="1"/>
  <c r="BX137" i="1"/>
  <c r="BW137" i="1"/>
  <c r="BV137" i="1"/>
  <c r="BU137" i="1"/>
  <c r="CB136" i="1"/>
  <c r="CA136" i="1"/>
  <c r="BZ136" i="1"/>
  <c r="BY136" i="1"/>
  <c r="BX136" i="1"/>
  <c r="BW136" i="1"/>
  <c r="BV136" i="1"/>
  <c r="BU136" i="1"/>
  <c r="CB135" i="1"/>
  <c r="CA135" i="1"/>
  <c r="BZ135" i="1"/>
  <c r="BY135" i="1"/>
  <c r="BX135" i="1"/>
  <c r="BW135" i="1"/>
  <c r="BV135" i="1"/>
  <c r="BU135" i="1"/>
  <c r="CB134" i="1"/>
  <c r="CA134" i="1"/>
  <c r="BZ134" i="1"/>
  <c r="BY134" i="1"/>
  <c r="BX134" i="1"/>
  <c r="BW134" i="1"/>
  <c r="BV134" i="1"/>
  <c r="BU134" i="1"/>
  <c r="CB133" i="1"/>
  <c r="CA133" i="1"/>
  <c r="BZ133" i="1"/>
  <c r="BY133" i="1"/>
  <c r="BX133" i="1"/>
  <c r="BW133" i="1"/>
  <c r="BV133" i="1"/>
  <c r="BU133" i="1"/>
  <c r="CB132" i="1"/>
  <c r="CA132" i="1"/>
  <c r="BZ132" i="1"/>
  <c r="BY132" i="1"/>
  <c r="BX132" i="1"/>
  <c r="BW132" i="1"/>
  <c r="BV132" i="1"/>
  <c r="BU132" i="1"/>
  <c r="CB131" i="1"/>
  <c r="CA131" i="1"/>
  <c r="BZ131" i="1"/>
  <c r="BY131" i="1"/>
  <c r="BX131" i="1"/>
  <c r="BW131" i="1"/>
  <c r="BV131" i="1"/>
  <c r="BU131" i="1"/>
  <c r="CB130" i="1"/>
  <c r="CA130" i="1"/>
  <c r="BZ130" i="1"/>
  <c r="BY130" i="1"/>
  <c r="BX130" i="1"/>
  <c r="BW130" i="1"/>
  <c r="BV130" i="1"/>
  <c r="BU130" i="1"/>
  <c r="CB129" i="1"/>
  <c r="CA129" i="1"/>
  <c r="BZ129" i="1"/>
  <c r="BY129" i="1"/>
  <c r="BX129" i="1"/>
  <c r="BW129" i="1"/>
  <c r="BV129" i="1"/>
  <c r="BU129" i="1"/>
  <c r="CB128" i="1"/>
  <c r="CA128" i="1"/>
  <c r="BZ128" i="1"/>
  <c r="BY128" i="1"/>
  <c r="BX128" i="1"/>
  <c r="BW128" i="1"/>
  <c r="BV128" i="1"/>
  <c r="BU128" i="1"/>
  <c r="CB127" i="1"/>
  <c r="CA127" i="1"/>
  <c r="BZ127" i="1"/>
  <c r="BY127" i="1"/>
  <c r="BX127" i="1"/>
  <c r="BW127" i="1"/>
  <c r="BV127" i="1"/>
  <c r="BU127" i="1"/>
  <c r="CB126" i="1"/>
  <c r="CA126" i="1"/>
  <c r="BZ126" i="1"/>
  <c r="BY126" i="1"/>
  <c r="BX126" i="1"/>
  <c r="BW126" i="1"/>
  <c r="BV126" i="1"/>
  <c r="BU126" i="1"/>
  <c r="CB125" i="1"/>
  <c r="CA125" i="1"/>
  <c r="BZ125" i="1"/>
  <c r="BY125" i="1"/>
  <c r="BX125" i="1"/>
  <c r="BW125" i="1"/>
  <c r="BV125" i="1"/>
  <c r="BU125" i="1"/>
  <c r="CB124" i="1"/>
  <c r="CA124" i="1"/>
  <c r="BZ124" i="1"/>
  <c r="BY124" i="1"/>
  <c r="BX124" i="1"/>
  <c r="BW124" i="1"/>
  <c r="BV124" i="1"/>
  <c r="BU124" i="1"/>
  <c r="CB123" i="1"/>
  <c r="CA123" i="1"/>
  <c r="BZ123" i="1"/>
  <c r="BY123" i="1"/>
  <c r="BX123" i="1"/>
  <c r="BW123" i="1"/>
  <c r="BV123" i="1"/>
  <c r="BU123" i="1"/>
  <c r="CB122" i="1"/>
  <c r="CA122" i="1"/>
  <c r="BZ122" i="1"/>
  <c r="BY122" i="1"/>
  <c r="BX122" i="1"/>
  <c r="BW122" i="1"/>
  <c r="BV122" i="1"/>
  <c r="BU122" i="1"/>
  <c r="CB121" i="1"/>
  <c r="CA121" i="1"/>
  <c r="BZ121" i="1"/>
  <c r="BY121" i="1"/>
  <c r="BX121" i="1"/>
  <c r="BW121" i="1"/>
  <c r="BV121" i="1"/>
  <c r="BU121" i="1"/>
  <c r="CB120" i="1"/>
  <c r="CA120" i="1"/>
  <c r="BZ120" i="1"/>
  <c r="BY120" i="1"/>
  <c r="BX120" i="1"/>
  <c r="BW120" i="1"/>
  <c r="BV120" i="1"/>
  <c r="BU120" i="1"/>
  <c r="CB119" i="1"/>
  <c r="CA119" i="1"/>
  <c r="BZ119" i="1"/>
  <c r="BY119" i="1"/>
  <c r="BX119" i="1"/>
  <c r="BW119" i="1"/>
  <c r="BV119" i="1"/>
  <c r="BU119" i="1"/>
  <c r="CB118" i="1"/>
  <c r="CA118" i="1"/>
  <c r="BZ118" i="1"/>
  <c r="BY118" i="1"/>
  <c r="BX118" i="1"/>
  <c r="BW118" i="1"/>
  <c r="BV118" i="1"/>
  <c r="BU118" i="1"/>
  <c r="CB117" i="1"/>
  <c r="CA117" i="1"/>
  <c r="BZ117" i="1"/>
  <c r="BY117" i="1"/>
  <c r="BX117" i="1"/>
  <c r="BW117" i="1"/>
  <c r="BV117" i="1"/>
  <c r="BU117" i="1"/>
  <c r="CB116" i="1"/>
  <c r="CA116" i="1"/>
  <c r="BZ116" i="1"/>
  <c r="BY116" i="1"/>
  <c r="BX116" i="1"/>
  <c r="BW116" i="1"/>
  <c r="BV116" i="1"/>
  <c r="BU116" i="1"/>
  <c r="CB115" i="1"/>
  <c r="CA115" i="1"/>
  <c r="BZ115" i="1"/>
  <c r="BY115" i="1"/>
  <c r="BX115" i="1"/>
  <c r="BW115" i="1"/>
  <c r="BV115" i="1"/>
  <c r="BU115" i="1"/>
  <c r="CB114" i="1"/>
  <c r="CA114" i="1"/>
  <c r="BZ114" i="1"/>
  <c r="BY114" i="1"/>
  <c r="BX114" i="1"/>
  <c r="BW114" i="1"/>
  <c r="BV114" i="1"/>
  <c r="BU114" i="1"/>
  <c r="CB113" i="1"/>
  <c r="CA113" i="1"/>
  <c r="BZ113" i="1"/>
  <c r="BY113" i="1"/>
  <c r="BX113" i="1"/>
  <c r="BW113" i="1"/>
  <c r="BV113" i="1"/>
  <c r="BU113" i="1"/>
  <c r="CB112" i="1"/>
  <c r="CA112" i="1"/>
  <c r="BZ112" i="1"/>
  <c r="BY112" i="1"/>
  <c r="BX112" i="1"/>
  <c r="BW112" i="1"/>
  <c r="BV112" i="1"/>
  <c r="BU112" i="1"/>
  <c r="CB111" i="1"/>
  <c r="CA111" i="1"/>
  <c r="BZ111" i="1"/>
  <c r="BY111" i="1"/>
  <c r="BX111" i="1"/>
  <c r="BW111" i="1"/>
  <c r="BV111" i="1"/>
  <c r="BU111" i="1"/>
  <c r="CB110" i="1"/>
  <c r="CA110" i="1"/>
  <c r="BZ110" i="1"/>
  <c r="BY110" i="1"/>
  <c r="BX110" i="1"/>
  <c r="BW110" i="1"/>
  <c r="BV110" i="1"/>
  <c r="BU110" i="1"/>
  <c r="CB109" i="1"/>
  <c r="CA109" i="1"/>
  <c r="BZ109" i="1"/>
  <c r="BY109" i="1"/>
  <c r="BX109" i="1"/>
  <c r="BW109" i="1"/>
  <c r="BV109" i="1"/>
  <c r="BU109" i="1"/>
  <c r="CB108" i="1"/>
  <c r="CA108" i="1"/>
  <c r="BZ108" i="1"/>
  <c r="BY108" i="1"/>
  <c r="BX108" i="1"/>
  <c r="BW108" i="1"/>
  <c r="BV108" i="1"/>
  <c r="BU108" i="1"/>
  <c r="CB107" i="1"/>
  <c r="CA107" i="1"/>
  <c r="BZ107" i="1"/>
  <c r="BY107" i="1"/>
  <c r="BX107" i="1"/>
  <c r="BW107" i="1"/>
  <c r="BV107" i="1"/>
  <c r="BU107" i="1"/>
  <c r="CB106" i="1"/>
  <c r="CA106" i="1"/>
  <c r="BZ106" i="1"/>
  <c r="BY106" i="1"/>
  <c r="BX106" i="1"/>
  <c r="BW106" i="1"/>
  <c r="BV106" i="1"/>
  <c r="BU106" i="1"/>
  <c r="CB105" i="1"/>
  <c r="CA105" i="1"/>
  <c r="BZ105" i="1"/>
  <c r="BY105" i="1"/>
  <c r="BX105" i="1"/>
  <c r="BW105" i="1"/>
  <c r="BV105" i="1"/>
  <c r="BU105" i="1"/>
  <c r="CB104" i="1"/>
  <c r="CA104" i="1"/>
  <c r="BZ104" i="1"/>
  <c r="BY104" i="1"/>
  <c r="BX104" i="1"/>
  <c r="BW104" i="1"/>
  <c r="BV104" i="1"/>
  <c r="BU104" i="1"/>
  <c r="CB103" i="1"/>
  <c r="CA103" i="1"/>
  <c r="BZ103" i="1"/>
  <c r="BY103" i="1"/>
  <c r="BX103" i="1"/>
  <c r="BW103" i="1"/>
  <c r="BV103" i="1"/>
  <c r="BU103" i="1"/>
  <c r="CB102" i="1"/>
  <c r="CA102" i="1"/>
  <c r="BZ102" i="1"/>
  <c r="BY102" i="1"/>
  <c r="BX102" i="1"/>
  <c r="BW102" i="1"/>
  <c r="BV102" i="1"/>
  <c r="BU102" i="1"/>
  <c r="CB101" i="1"/>
  <c r="CA101" i="1"/>
  <c r="BZ101" i="1"/>
  <c r="BY101" i="1"/>
  <c r="BX101" i="1"/>
  <c r="BW101" i="1"/>
  <c r="BV101" i="1"/>
  <c r="BU101" i="1"/>
  <c r="CB100" i="1"/>
  <c r="CA100" i="1"/>
  <c r="BZ100" i="1"/>
  <c r="BY100" i="1"/>
  <c r="BX100" i="1"/>
  <c r="BW100" i="1"/>
  <c r="BV100" i="1"/>
  <c r="BU100" i="1"/>
  <c r="CB99" i="1"/>
  <c r="CA99" i="1"/>
  <c r="BZ99" i="1"/>
  <c r="BY99" i="1"/>
  <c r="BX99" i="1"/>
  <c r="BW99" i="1"/>
  <c r="BV99" i="1"/>
  <c r="BU99" i="1"/>
  <c r="CB98" i="1"/>
  <c r="CA98" i="1"/>
  <c r="BZ98" i="1"/>
  <c r="BY98" i="1"/>
  <c r="BX98" i="1"/>
  <c r="BW98" i="1"/>
  <c r="BV98" i="1"/>
  <c r="BU98" i="1"/>
  <c r="CB97" i="1"/>
  <c r="CA97" i="1"/>
  <c r="BZ97" i="1"/>
  <c r="BY97" i="1"/>
  <c r="BX97" i="1"/>
  <c r="BW97" i="1"/>
  <c r="BV97" i="1"/>
  <c r="BU97" i="1"/>
  <c r="CB96" i="1"/>
  <c r="CA96" i="1"/>
  <c r="BZ96" i="1"/>
  <c r="BY96" i="1"/>
  <c r="BX96" i="1"/>
  <c r="BW96" i="1"/>
  <c r="BV96" i="1"/>
  <c r="BU96" i="1"/>
  <c r="CB95" i="1"/>
  <c r="CA95" i="1"/>
  <c r="BZ95" i="1"/>
  <c r="BY95" i="1"/>
  <c r="BX95" i="1"/>
  <c r="BW95" i="1"/>
  <c r="BV95" i="1"/>
  <c r="BU95" i="1"/>
  <c r="CB94" i="1"/>
  <c r="CA94" i="1"/>
  <c r="BZ94" i="1"/>
  <c r="BY94" i="1"/>
  <c r="BX94" i="1"/>
  <c r="BW94" i="1"/>
  <c r="BV94" i="1"/>
  <c r="BU94" i="1"/>
  <c r="CB93" i="1"/>
  <c r="CA93" i="1"/>
  <c r="BZ93" i="1"/>
  <c r="BY93" i="1"/>
  <c r="BX93" i="1"/>
  <c r="BW93" i="1"/>
  <c r="BV93" i="1"/>
  <c r="BU93" i="1"/>
  <c r="CB92" i="1"/>
  <c r="CA92" i="1"/>
  <c r="BZ92" i="1"/>
  <c r="BY92" i="1"/>
  <c r="BX92" i="1"/>
  <c r="BW92" i="1"/>
  <c r="BV92" i="1"/>
  <c r="BU92" i="1"/>
  <c r="CB91" i="1"/>
  <c r="CA91" i="1"/>
  <c r="BZ91" i="1"/>
  <c r="BY91" i="1"/>
  <c r="BX91" i="1"/>
  <c r="BW91" i="1"/>
  <c r="BV91" i="1"/>
  <c r="BU91" i="1"/>
  <c r="CB90" i="1"/>
  <c r="CA90" i="1"/>
  <c r="BZ90" i="1"/>
  <c r="BY90" i="1"/>
  <c r="BX90" i="1"/>
  <c r="BW90" i="1"/>
  <c r="BV90" i="1"/>
  <c r="BU90" i="1"/>
  <c r="CB89" i="1"/>
  <c r="CA89" i="1"/>
  <c r="BZ89" i="1"/>
  <c r="BY89" i="1"/>
  <c r="BX89" i="1"/>
  <c r="BW89" i="1"/>
  <c r="BV89" i="1"/>
  <c r="BU89" i="1"/>
  <c r="CB88" i="1"/>
  <c r="CA88" i="1"/>
  <c r="BZ88" i="1"/>
  <c r="BY88" i="1"/>
  <c r="BX88" i="1"/>
  <c r="BW88" i="1"/>
  <c r="BV88" i="1"/>
  <c r="BU88" i="1"/>
  <c r="CB87" i="1"/>
  <c r="CA87" i="1"/>
  <c r="BZ87" i="1"/>
  <c r="BY87" i="1"/>
  <c r="BX87" i="1"/>
  <c r="BW87" i="1"/>
  <c r="BV87" i="1"/>
  <c r="BU87" i="1"/>
  <c r="CB86" i="1"/>
  <c r="CA86" i="1"/>
  <c r="BZ86" i="1"/>
  <c r="BY86" i="1"/>
  <c r="BX86" i="1"/>
  <c r="BW86" i="1"/>
  <c r="BV86" i="1"/>
  <c r="BU86" i="1"/>
  <c r="CB85" i="1"/>
  <c r="CA85" i="1"/>
  <c r="BZ85" i="1"/>
  <c r="BY85" i="1"/>
  <c r="BX85" i="1"/>
  <c r="BW85" i="1"/>
  <c r="BV85" i="1"/>
  <c r="BU85" i="1"/>
  <c r="CB84" i="1"/>
  <c r="CA84" i="1"/>
  <c r="BZ84" i="1"/>
  <c r="BY84" i="1"/>
  <c r="BX84" i="1"/>
  <c r="BW84" i="1"/>
  <c r="BV84" i="1"/>
  <c r="BU84" i="1"/>
  <c r="CB83" i="1"/>
  <c r="CA83" i="1"/>
  <c r="BZ83" i="1"/>
  <c r="BY83" i="1"/>
  <c r="BX83" i="1"/>
  <c r="BW83" i="1"/>
  <c r="BV83" i="1"/>
  <c r="BU83" i="1"/>
  <c r="CB82" i="1"/>
  <c r="CA82" i="1"/>
  <c r="BZ82" i="1"/>
  <c r="BY82" i="1"/>
  <c r="BX82" i="1"/>
  <c r="BW82" i="1"/>
  <c r="BV82" i="1"/>
  <c r="BU82" i="1"/>
  <c r="CB81" i="1"/>
  <c r="CA81" i="1"/>
  <c r="BZ81" i="1"/>
  <c r="BY81" i="1"/>
  <c r="BX81" i="1"/>
  <c r="BW81" i="1"/>
  <c r="BV81" i="1"/>
  <c r="BU81" i="1"/>
  <c r="CB80" i="1"/>
  <c r="CA80" i="1"/>
  <c r="BZ80" i="1"/>
  <c r="BY80" i="1"/>
  <c r="BX80" i="1"/>
  <c r="BW80" i="1"/>
  <c r="BV80" i="1"/>
  <c r="BU80" i="1"/>
  <c r="CB79" i="1"/>
  <c r="CA79" i="1"/>
  <c r="BZ79" i="1"/>
  <c r="BY79" i="1"/>
  <c r="BX79" i="1"/>
  <c r="BW79" i="1"/>
  <c r="BV79" i="1"/>
  <c r="BU79" i="1"/>
  <c r="CB78" i="1"/>
  <c r="CA78" i="1"/>
  <c r="BZ78" i="1"/>
  <c r="BY78" i="1"/>
  <c r="BX78" i="1"/>
  <c r="BW78" i="1"/>
  <c r="BV78" i="1"/>
  <c r="BU78" i="1"/>
  <c r="CB77" i="1"/>
  <c r="CA77" i="1"/>
  <c r="BZ77" i="1"/>
  <c r="BY77" i="1"/>
  <c r="BX77" i="1"/>
  <c r="BW77" i="1"/>
  <c r="BV77" i="1"/>
  <c r="BU77" i="1"/>
  <c r="CB76" i="1"/>
  <c r="CA76" i="1"/>
  <c r="BZ76" i="1"/>
  <c r="BY76" i="1"/>
  <c r="BX76" i="1"/>
  <c r="BW76" i="1"/>
  <c r="BV76" i="1"/>
  <c r="BU76" i="1"/>
  <c r="CB75" i="1"/>
  <c r="CA75" i="1"/>
  <c r="BZ75" i="1"/>
  <c r="BY75" i="1"/>
  <c r="BX75" i="1"/>
  <c r="BW75" i="1"/>
  <c r="BV75" i="1"/>
  <c r="BU75" i="1"/>
  <c r="CB74" i="1"/>
  <c r="CA74" i="1"/>
  <c r="BZ74" i="1"/>
  <c r="BY74" i="1"/>
  <c r="BX74" i="1"/>
  <c r="BW74" i="1"/>
  <c r="BV74" i="1"/>
  <c r="BU74" i="1"/>
  <c r="CB73" i="1"/>
  <c r="CA73" i="1"/>
  <c r="BZ73" i="1"/>
  <c r="BY73" i="1"/>
  <c r="BX73" i="1"/>
  <c r="BW73" i="1"/>
  <c r="BV73" i="1"/>
  <c r="BU73" i="1"/>
  <c r="CB72" i="1"/>
  <c r="CA72" i="1"/>
  <c r="BZ72" i="1"/>
  <c r="BY72" i="1"/>
  <c r="BX72" i="1"/>
  <c r="BW72" i="1"/>
  <c r="BV72" i="1"/>
  <c r="BU72" i="1"/>
  <c r="CB71" i="1"/>
  <c r="CA71" i="1"/>
  <c r="BZ71" i="1"/>
  <c r="BY71" i="1"/>
  <c r="BX71" i="1"/>
  <c r="BW71" i="1"/>
  <c r="BV71" i="1"/>
  <c r="BU71" i="1"/>
  <c r="CB70" i="1"/>
  <c r="CA70" i="1"/>
  <c r="BZ70" i="1"/>
  <c r="BY70" i="1"/>
  <c r="BX70" i="1"/>
  <c r="BW70" i="1"/>
  <c r="BV70" i="1"/>
  <c r="BU70" i="1"/>
  <c r="CB69" i="1"/>
  <c r="CA69" i="1"/>
  <c r="BZ69" i="1"/>
  <c r="BY69" i="1"/>
  <c r="BX69" i="1"/>
  <c r="BW69" i="1"/>
  <c r="BV69" i="1"/>
  <c r="BU69" i="1"/>
  <c r="CB68" i="1"/>
  <c r="CA68" i="1"/>
  <c r="BZ68" i="1"/>
  <c r="BY68" i="1"/>
  <c r="BX68" i="1"/>
  <c r="BW68" i="1"/>
  <c r="BV68" i="1"/>
  <c r="BU68" i="1"/>
  <c r="CB67" i="1"/>
  <c r="CA67" i="1"/>
  <c r="BZ67" i="1"/>
  <c r="BY67" i="1"/>
  <c r="BX67" i="1"/>
  <c r="BW67" i="1"/>
  <c r="BV67" i="1"/>
  <c r="BU67" i="1"/>
  <c r="CB66" i="1"/>
  <c r="CA66" i="1"/>
  <c r="BZ66" i="1"/>
  <c r="BY66" i="1"/>
  <c r="BX66" i="1"/>
  <c r="BW66" i="1"/>
  <c r="BV66" i="1"/>
  <c r="BU66" i="1"/>
  <c r="CB65" i="1"/>
  <c r="CA65" i="1"/>
  <c r="BZ65" i="1"/>
  <c r="BY65" i="1"/>
  <c r="BX65" i="1"/>
  <c r="BW65" i="1"/>
  <c r="BV65" i="1"/>
  <c r="BU65" i="1"/>
  <c r="CB64" i="1"/>
  <c r="CA64" i="1"/>
  <c r="BZ64" i="1"/>
  <c r="BY64" i="1"/>
  <c r="BX64" i="1"/>
  <c r="BW64" i="1"/>
  <c r="BV64" i="1"/>
  <c r="BU64" i="1"/>
  <c r="CB63" i="1"/>
  <c r="CA63" i="1"/>
  <c r="BZ63" i="1"/>
  <c r="BY63" i="1"/>
  <c r="BX63" i="1"/>
  <c r="BW63" i="1"/>
  <c r="BV63" i="1"/>
  <c r="BU63" i="1"/>
  <c r="CB62" i="1"/>
  <c r="CA62" i="1"/>
  <c r="BZ62" i="1"/>
  <c r="BY62" i="1"/>
  <c r="BX62" i="1"/>
  <c r="BW62" i="1"/>
  <c r="BV62" i="1"/>
  <c r="BU62" i="1"/>
  <c r="CB61" i="1"/>
  <c r="CA61" i="1"/>
  <c r="BZ61" i="1"/>
  <c r="BY61" i="1"/>
  <c r="BX61" i="1"/>
  <c r="BW61" i="1"/>
  <c r="BV61" i="1"/>
  <c r="BU61" i="1"/>
  <c r="CB60" i="1"/>
  <c r="CA60" i="1"/>
  <c r="BZ60" i="1"/>
  <c r="BY60" i="1"/>
  <c r="BX60" i="1"/>
  <c r="BW60" i="1"/>
  <c r="BV60" i="1"/>
  <c r="BU60" i="1"/>
  <c r="CB59" i="1"/>
  <c r="CA59" i="1"/>
  <c r="BZ59" i="1"/>
  <c r="BY59" i="1"/>
  <c r="BX59" i="1"/>
  <c r="BW59" i="1"/>
  <c r="BV59" i="1"/>
  <c r="BU59" i="1"/>
  <c r="CB58" i="1"/>
  <c r="CA58" i="1"/>
  <c r="BZ58" i="1"/>
  <c r="BY58" i="1"/>
  <c r="BX58" i="1"/>
  <c r="BW58" i="1"/>
  <c r="BV58" i="1"/>
  <c r="BU58" i="1"/>
  <c r="CB57" i="1"/>
  <c r="CA57" i="1"/>
  <c r="BZ57" i="1"/>
  <c r="BY57" i="1"/>
  <c r="BX57" i="1"/>
  <c r="BW57" i="1"/>
  <c r="BV57" i="1"/>
  <c r="BU57" i="1"/>
  <c r="CB56" i="1"/>
  <c r="CA56" i="1"/>
  <c r="BZ56" i="1"/>
  <c r="BY56" i="1"/>
  <c r="BX56" i="1"/>
  <c r="BW56" i="1"/>
  <c r="BV56" i="1"/>
  <c r="BU56" i="1"/>
  <c r="CB55" i="1"/>
  <c r="CA55" i="1"/>
  <c r="BZ55" i="1"/>
  <c r="BY55" i="1"/>
  <c r="BX55" i="1"/>
  <c r="BW55" i="1"/>
  <c r="BV55" i="1"/>
  <c r="BU55" i="1"/>
  <c r="CB54" i="1"/>
  <c r="CA54" i="1"/>
  <c r="BZ54" i="1"/>
  <c r="BY54" i="1"/>
  <c r="BX54" i="1"/>
  <c r="BW54" i="1"/>
  <c r="BV54" i="1"/>
  <c r="BU54" i="1"/>
  <c r="CB53" i="1"/>
  <c r="CA53" i="1"/>
  <c r="BZ53" i="1"/>
  <c r="BY53" i="1"/>
  <c r="BX53" i="1"/>
  <c r="BW53" i="1"/>
  <c r="BV53" i="1"/>
  <c r="BU53" i="1"/>
  <c r="CB52" i="1"/>
  <c r="CA52" i="1"/>
  <c r="BZ52" i="1"/>
  <c r="BY52" i="1"/>
  <c r="BX52" i="1"/>
  <c r="BW52" i="1"/>
  <c r="BV52" i="1"/>
  <c r="BU52" i="1"/>
  <c r="CB51" i="1"/>
  <c r="CA51" i="1"/>
  <c r="BZ51" i="1"/>
  <c r="BY51" i="1"/>
  <c r="BX51" i="1"/>
  <c r="BW51" i="1"/>
  <c r="BV51" i="1"/>
  <c r="BU51" i="1"/>
  <c r="CB50" i="1"/>
  <c r="CA50" i="1"/>
  <c r="BZ50" i="1"/>
  <c r="BY50" i="1"/>
  <c r="BX50" i="1"/>
  <c r="BW50" i="1"/>
  <c r="BV50" i="1"/>
  <c r="BU50" i="1"/>
  <c r="CB49" i="1"/>
  <c r="CA49" i="1"/>
  <c r="BZ49" i="1"/>
  <c r="BY49" i="1"/>
  <c r="BX49" i="1"/>
  <c r="BW49" i="1"/>
  <c r="BV49" i="1"/>
  <c r="BU49" i="1"/>
  <c r="CB48" i="1"/>
  <c r="CA48" i="1"/>
  <c r="BZ48" i="1"/>
  <c r="BY48" i="1"/>
  <c r="BX48" i="1"/>
  <c r="BW48" i="1"/>
  <c r="BV48" i="1"/>
  <c r="BU48" i="1"/>
  <c r="CB47" i="1"/>
  <c r="CA47" i="1"/>
  <c r="BZ47" i="1"/>
  <c r="BY47" i="1"/>
  <c r="BX47" i="1"/>
  <c r="BW47" i="1"/>
  <c r="BV47" i="1"/>
  <c r="BU47" i="1"/>
  <c r="CB46" i="1"/>
  <c r="CA46" i="1"/>
  <c r="BZ46" i="1"/>
  <c r="BY46" i="1"/>
  <c r="BX46" i="1"/>
  <c r="BW46" i="1"/>
  <c r="BV46" i="1"/>
  <c r="BU46" i="1"/>
  <c r="CB45" i="1"/>
  <c r="CA45" i="1"/>
  <c r="BZ45" i="1"/>
  <c r="BY45" i="1"/>
  <c r="BX45" i="1"/>
  <c r="BW45" i="1"/>
  <c r="BV45" i="1"/>
  <c r="BU45" i="1"/>
  <c r="CB44" i="1"/>
  <c r="CA44" i="1"/>
  <c r="BZ44" i="1"/>
  <c r="BY44" i="1"/>
  <c r="BX44" i="1"/>
  <c r="BW44" i="1"/>
  <c r="BV44" i="1"/>
  <c r="BU44" i="1"/>
  <c r="CB43" i="1"/>
  <c r="CA43" i="1"/>
  <c r="BZ43" i="1"/>
  <c r="BY43" i="1"/>
  <c r="BX43" i="1"/>
  <c r="BW43" i="1"/>
  <c r="BV43" i="1"/>
  <c r="BU43" i="1"/>
  <c r="CB42" i="1"/>
  <c r="CA42" i="1"/>
  <c r="BZ42" i="1"/>
  <c r="BY42" i="1"/>
  <c r="BX42" i="1"/>
  <c r="BW42" i="1"/>
  <c r="BV42" i="1"/>
  <c r="BU42" i="1"/>
  <c r="CB41" i="1"/>
  <c r="CA41" i="1"/>
  <c r="BZ41" i="1"/>
  <c r="BY41" i="1"/>
  <c r="BX41" i="1"/>
  <c r="BW41" i="1"/>
  <c r="BV41" i="1"/>
  <c r="BU41" i="1"/>
  <c r="BI41" i="1"/>
  <c r="CB40" i="1"/>
  <c r="CA40" i="1"/>
  <c r="BZ40" i="1"/>
  <c r="BY40" i="1"/>
  <c r="BX40" i="1"/>
  <c r="BW40" i="1"/>
  <c r="BV40" i="1"/>
  <c r="BU40" i="1"/>
  <c r="CB39" i="1"/>
  <c r="CA39" i="1"/>
  <c r="BZ39" i="1"/>
  <c r="BY39" i="1"/>
  <c r="BX39" i="1"/>
  <c r="BW39" i="1"/>
  <c r="BV39" i="1"/>
  <c r="BU39" i="1"/>
  <c r="BJ39" i="1"/>
  <c r="BI39" i="1"/>
  <c r="CB38" i="1"/>
  <c r="CA38" i="1"/>
  <c r="BZ38" i="1"/>
  <c r="BY38" i="1"/>
  <c r="BX38" i="1"/>
  <c r="BW38" i="1"/>
  <c r="BV38" i="1"/>
  <c r="BU38" i="1"/>
  <c r="CB37" i="1"/>
  <c r="CA37" i="1"/>
  <c r="BZ37" i="1"/>
  <c r="BY37" i="1"/>
  <c r="BX37" i="1"/>
  <c r="BW37" i="1"/>
  <c r="BV37" i="1"/>
  <c r="BU37" i="1"/>
  <c r="CB36" i="1"/>
  <c r="CA36" i="1"/>
  <c r="BZ36" i="1"/>
  <c r="BY36" i="1"/>
  <c r="BX36" i="1"/>
  <c r="BW36" i="1"/>
  <c r="BV36" i="1"/>
  <c r="BU36" i="1"/>
  <c r="DG35" i="1"/>
  <c r="DF35" i="1"/>
  <c r="DE35" i="1"/>
  <c r="DD35" i="1"/>
  <c r="CX35" i="1" s="1"/>
  <c r="DU35" i="1" s="1"/>
  <c r="DC35" i="1"/>
  <c r="CW35" i="1" s="1"/>
  <c r="DT35" i="1" s="1"/>
  <c r="DB35" i="1"/>
  <c r="CV35" i="1" s="1"/>
  <c r="DS35" i="1" s="1"/>
  <c r="CB35" i="1"/>
  <c r="CA35" i="1"/>
  <c r="BZ35" i="1"/>
  <c r="BY35" i="1"/>
  <c r="BX35" i="1"/>
  <c r="BW35" i="1"/>
  <c r="BV35" i="1"/>
  <c r="BU35" i="1"/>
  <c r="AF35" i="1"/>
  <c r="Q35" i="1"/>
  <c r="H35" i="1"/>
  <c r="G35" i="1"/>
  <c r="DG34" i="1"/>
  <c r="DF34" i="1"/>
  <c r="DE34" i="1"/>
  <c r="DD34" i="1"/>
  <c r="CX34" i="1" s="1"/>
  <c r="DU34" i="1" s="1"/>
  <c r="DC34" i="1"/>
  <c r="CW34" i="1" s="1"/>
  <c r="DT34" i="1" s="1"/>
  <c r="DB34" i="1"/>
  <c r="CV34" i="1" s="1"/>
  <c r="DS34" i="1" s="1"/>
  <c r="CB34" i="1"/>
  <c r="CA34" i="1"/>
  <c r="BZ34" i="1"/>
  <c r="BY34" i="1"/>
  <c r="BJ21" i="1" s="1"/>
  <c r="BX34" i="1"/>
  <c r="BW34" i="1"/>
  <c r="BV34" i="1"/>
  <c r="BU34" i="1"/>
  <c r="BJ22" i="1" s="1"/>
  <c r="BK22" i="1" s="1"/>
  <c r="AE34" i="1"/>
  <c r="Q34" i="1"/>
  <c r="H34" i="1"/>
  <c r="G34" i="1"/>
  <c r="DG33" i="1"/>
  <c r="DF33" i="1"/>
  <c r="DE33" i="1"/>
  <c r="DD33" i="1"/>
  <c r="CX33" i="1" s="1"/>
  <c r="DU33" i="1" s="1"/>
  <c r="DC33" i="1"/>
  <c r="CW33" i="1" s="1"/>
  <c r="DT33" i="1" s="1"/>
  <c r="DB33" i="1"/>
  <c r="CV33" i="1" s="1"/>
  <c r="DS33" i="1" s="1"/>
  <c r="CB33" i="1"/>
  <c r="CA33" i="1"/>
  <c r="BZ33" i="1"/>
  <c r="BY33" i="1"/>
  <c r="BX33" i="1"/>
  <c r="BW33" i="1"/>
  <c r="BV33" i="1"/>
  <c r="BU33" i="1"/>
  <c r="AD33" i="1"/>
  <c r="Q33" i="1"/>
  <c r="H33" i="1"/>
  <c r="G33" i="1"/>
  <c r="DG32" i="1"/>
  <c r="DF32" i="1"/>
  <c r="DE32" i="1"/>
  <c r="DD32" i="1"/>
  <c r="CX32" i="1" s="1"/>
  <c r="DU32" i="1" s="1"/>
  <c r="DC32" i="1"/>
  <c r="CW32" i="1" s="1"/>
  <c r="DT32" i="1" s="1"/>
  <c r="DB32" i="1"/>
  <c r="CV32" i="1" s="1"/>
  <c r="DS32" i="1" s="1"/>
  <c r="CB32" i="1"/>
  <c r="CA32" i="1"/>
  <c r="BZ32" i="1"/>
  <c r="BY32" i="1"/>
  <c r="BX32" i="1"/>
  <c r="BW32" i="1"/>
  <c r="BV32" i="1"/>
  <c r="BU32" i="1"/>
  <c r="AD32" i="1"/>
  <c r="Q32" i="1"/>
  <c r="H32" i="1"/>
  <c r="G32" i="1"/>
  <c r="DG31" i="1"/>
  <c r="DF31" i="1"/>
  <c r="DE31" i="1"/>
  <c r="DD31" i="1"/>
  <c r="CX31" i="1" s="1"/>
  <c r="DU31" i="1" s="1"/>
  <c r="DC31" i="1"/>
  <c r="CW31" i="1" s="1"/>
  <c r="DT31" i="1" s="1"/>
  <c r="DB31" i="1"/>
  <c r="CV31" i="1" s="1"/>
  <c r="DS31" i="1" s="1"/>
  <c r="CB31" i="1"/>
  <c r="CA31" i="1"/>
  <c r="BZ31" i="1"/>
  <c r="BY31" i="1"/>
  <c r="BX31" i="1"/>
  <c r="BW31" i="1"/>
  <c r="BV31" i="1"/>
  <c r="BU31" i="1"/>
  <c r="AE31" i="1"/>
  <c r="AD31" i="1"/>
  <c r="Q31" i="1"/>
  <c r="H31" i="1"/>
  <c r="G31" i="1"/>
  <c r="DG30" i="1"/>
  <c r="DF30" i="1"/>
  <c r="DE30" i="1"/>
  <c r="DD30" i="1"/>
  <c r="CX30" i="1" s="1"/>
  <c r="DU30" i="1" s="1"/>
  <c r="DC30" i="1"/>
  <c r="CW30" i="1" s="1"/>
  <c r="DT30" i="1" s="1"/>
  <c r="DB30" i="1"/>
  <c r="CV30" i="1" s="1"/>
  <c r="DS30" i="1" s="1"/>
  <c r="CB30" i="1"/>
  <c r="CA30" i="1"/>
  <c r="BZ30" i="1"/>
  <c r="BY30" i="1"/>
  <c r="BX30" i="1"/>
  <c r="BW30" i="1"/>
  <c r="BV30" i="1"/>
  <c r="BU30" i="1"/>
  <c r="AD30" i="1"/>
  <c r="Q30" i="1"/>
  <c r="H30" i="1"/>
  <c r="G30" i="1"/>
  <c r="DG29" i="1"/>
  <c r="DF29" i="1"/>
  <c r="DE29" i="1"/>
  <c r="DD29" i="1"/>
  <c r="CX29" i="1" s="1"/>
  <c r="DU29" i="1" s="1"/>
  <c r="DC29" i="1"/>
  <c r="CW29" i="1" s="1"/>
  <c r="DT29" i="1" s="1"/>
  <c r="DB29" i="1"/>
  <c r="CV29" i="1" s="1"/>
  <c r="DS29" i="1" s="1"/>
  <c r="CB29" i="1"/>
  <c r="CA29" i="1"/>
  <c r="BZ29" i="1"/>
  <c r="BY29" i="1"/>
  <c r="BX29" i="1"/>
  <c r="BW29" i="1"/>
  <c r="BV29" i="1"/>
  <c r="BU29" i="1"/>
  <c r="AD29" i="1"/>
  <c r="Q29" i="1"/>
  <c r="H29" i="1"/>
  <c r="G29" i="1"/>
  <c r="DG28" i="1"/>
  <c r="DF28" i="1"/>
  <c r="DE28" i="1"/>
  <c r="DD28" i="1"/>
  <c r="CX28" i="1" s="1"/>
  <c r="DU28" i="1" s="1"/>
  <c r="DC28" i="1"/>
  <c r="CW28" i="1" s="1"/>
  <c r="DT28" i="1" s="1"/>
  <c r="DB28" i="1"/>
  <c r="CV28" i="1" s="1"/>
  <c r="DS28" i="1" s="1"/>
  <c r="CB28" i="1"/>
  <c r="CA28" i="1"/>
  <c r="BZ28" i="1"/>
  <c r="BY28" i="1"/>
  <c r="BX28" i="1"/>
  <c r="BW28" i="1"/>
  <c r="BV28" i="1"/>
  <c r="BU28" i="1"/>
  <c r="AD28" i="1"/>
  <c r="Q28" i="1"/>
  <c r="H28" i="1"/>
  <c r="G28" i="1"/>
  <c r="DG27" i="1"/>
  <c r="DF27" i="1"/>
  <c r="DE27" i="1"/>
  <c r="DD27" i="1"/>
  <c r="CX27" i="1" s="1"/>
  <c r="DU27" i="1" s="1"/>
  <c r="DC27" i="1"/>
  <c r="CW27" i="1" s="1"/>
  <c r="DT27" i="1" s="1"/>
  <c r="DB27" i="1"/>
  <c r="CV27" i="1" s="1"/>
  <c r="DS27" i="1" s="1"/>
  <c r="CB27" i="1"/>
  <c r="CA27" i="1"/>
  <c r="BZ27" i="1"/>
  <c r="BY27" i="1"/>
  <c r="BX27" i="1"/>
  <c r="BW27" i="1"/>
  <c r="BV27" i="1"/>
  <c r="BU27" i="1"/>
  <c r="AF27" i="1"/>
  <c r="Q27" i="1"/>
  <c r="H27" i="1"/>
  <c r="G27" i="1"/>
  <c r="E27" i="1"/>
  <c r="DG26" i="1"/>
  <c r="DF26" i="1"/>
  <c r="DE26" i="1"/>
  <c r="DD26" i="1"/>
  <c r="CX26" i="1" s="1"/>
  <c r="DU26" i="1" s="1"/>
  <c r="DC26" i="1"/>
  <c r="CW26" i="1" s="1"/>
  <c r="DT26" i="1" s="1"/>
  <c r="DB26" i="1"/>
  <c r="CV26" i="1" s="1"/>
  <c r="DS26" i="1" s="1"/>
  <c r="CB26" i="1"/>
  <c r="CA26" i="1"/>
  <c r="BZ26" i="1"/>
  <c r="BY26" i="1"/>
  <c r="BX26" i="1"/>
  <c r="BW26" i="1"/>
  <c r="BV26" i="1"/>
  <c r="BU26" i="1"/>
  <c r="AF26" i="1"/>
  <c r="Q26" i="1"/>
  <c r="H26" i="1"/>
  <c r="G26" i="1"/>
  <c r="E26" i="1"/>
  <c r="DG25" i="1"/>
  <c r="DF25" i="1"/>
  <c r="DE25" i="1"/>
  <c r="DD25" i="1"/>
  <c r="CX25" i="1" s="1"/>
  <c r="DU25" i="1" s="1"/>
  <c r="DC25" i="1"/>
  <c r="CW25" i="1" s="1"/>
  <c r="DT25" i="1" s="1"/>
  <c r="DB25" i="1"/>
  <c r="CV25" i="1" s="1"/>
  <c r="DS25" i="1" s="1"/>
  <c r="CB25" i="1"/>
  <c r="CA25" i="1"/>
  <c r="BZ25" i="1"/>
  <c r="BY25" i="1"/>
  <c r="BX25" i="1"/>
  <c r="BW25" i="1"/>
  <c r="BV25" i="1"/>
  <c r="BU25" i="1"/>
  <c r="AD25" i="1"/>
  <c r="AA25" i="1" s="1"/>
  <c r="Q25" i="1"/>
  <c r="H25" i="1"/>
  <c r="G25" i="1"/>
  <c r="E25" i="1"/>
  <c r="DG24" i="1"/>
  <c r="DF24" i="1"/>
  <c r="DE24" i="1"/>
  <c r="DD24" i="1"/>
  <c r="CX24" i="1" s="1"/>
  <c r="DU24" i="1" s="1"/>
  <c r="DC24" i="1"/>
  <c r="CW24" i="1" s="1"/>
  <c r="DT24" i="1" s="1"/>
  <c r="DB24" i="1"/>
  <c r="CV24" i="1" s="1"/>
  <c r="DS24" i="1" s="1"/>
  <c r="CB24" i="1"/>
  <c r="CA24" i="1"/>
  <c r="BZ24" i="1"/>
  <c r="BY24" i="1"/>
  <c r="BX24" i="1"/>
  <c r="BW24" i="1"/>
  <c r="BV24" i="1"/>
  <c r="BU24" i="1"/>
  <c r="BJ24" i="1"/>
  <c r="BK24" i="1" s="1"/>
  <c r="AF24" i="1"/>
  <c r="AC24" i="1" s="1"/>
  <c r="E24" i="1"/>
  <c r="Q24" i="1"/>
  <c r="H24" i="1"/>
  <c r="G24" i="1"/>
  <c r="DG23" i="1"/>
  <c r="DF23" i="1"/>
  <c r="DE23" i="1"/>
  <c r="DD23" i="1"/>
  <c r="CX23" i="1" s="1"/>
  <c r="DU23" i="1" s="1"/>
  <c r="DC23" i="1"/>
  <c r="CW23" i="1" s="1"/>
  <c r="DT23" i="1" s="1"/>
  <c r="DB23" i="1"/>
  <c r="CV23" i="1" s="1"/>
  <c r="DS23" i="1" s="1"/>
  <c r="CB23" i="1"/>
  <c r="CA23" i="1"/>
  <c r="BZ23" i="1"/>
  <c r="BY23" i="1"/>
  <c r="BX23" i="1"/>
  <c r="BW23" i="1"/>
  <c r="BV23" i="1"/>
  <c r="BU23" i="1"/>
  <c r="BJ23" i="1"/>
  <c r="AE23" i="1"/>
  <c r="AB23" i="1" s="1"/>
  <c r="Q23" i="1"/>
  <c r="H23" i="1"/>
  <c r="G23" i="1"/>
  <c r="DG22" i="1"/>
  <c r="DF22" i="1"/>
  <c r="DE22" i="1"/>
  <c r="DD22" i="1"/>
  <c r="CX22" i="1" s="1"/>
  <c r="DU22" i="1" s="1"/>
  <c r="DC22" i="1"/>
  <c r="CW22" i="1" s="1"/>
  <c r="DT22" i="1" s="1"/>
  <c r="DB22" i="1"/>
  <c r="CV22" i="1" s="1"/>
  <c r="DS22" i="1" s="1"/>
  <c r="CB22" i="1"/>
  <c r="CA22" i="1"/>
  <c r="BZ22" i="1"/>
  <c r="BY22" i="1"/>
  <c r="BX22" i="1"/>
  <c r="BW22" i="1"/>
  <c r="BV22" i="1"/>
  <c r="BU22" i="1"/>
  <c r="AE22" i="1"/>
  <c r="AD22" i="1"/>
  <c r="AA22" i="1" s="1"/>
  <c r="Q22" i="1"/>
  <c r="H22" i="1"/>
  <c r="G22" i="1"/>
  <c r="E22" i="1"/>
  <c r="DG21" i="1"/>
  <c r="DF21" i="1"/>
  <c r="DE21" i="1"/>
  <c r="DD21" i="1"/>
  <c r="CX21" i="1" s="1"/>
  <c r="DU21" i="1" s="1"/>
  <c r="DC21" i="1"/>
  <c r="CW21" i="1" s="1"/>
  <c r="DT21" i="1" s="1"/>
  <c r="DB21" i="1"/>
  <c r="CV21" i="1" s="1"/>
  <c r="DS21" i="1" s="1"/>
  <c r="CB21" i="1"/>
  <c r="CA21" i="1"/>
  <c r="BZ21" i="1"/>
  <c r="BY21" i="1"/>
  <c r="BX21" i="1"/>
  <c r="BW21" i="1"/>
  <c r="BV21" i="1"/>
  <c r="BU21" i="1"/>
  <c r="AF21" i="1"/>
  <c r="AD21" i="1"/>
  <c r="AA21" i="1" s="1"/>
  <c r="Q21" i="1"/>
  <c r="H21" i="1"/>
  <c r="G21" i="1"/>
  <c r="E21" i="1"/>
  <c r="DG20" i="1"/>
  <c r="DF20" i="1"/>
  <c r="DE20" i="1"/>
  <c r="DD20" i="1"/>
  <c r="CX20" i="1" s="1"/>
  <c r="DU20" i="1" s="1"/>
  <c r="DC20" i="1"/>
  <c r="CW20" i="1" s="1"/>
  <c r="DT20" i="1" s="1"/>
  <c r="DB20" i="1"/>
  <c r="CV20" i="1" s="1"/>
  <c r="DS20" i="1" s="1"/>
  <c r="CB20" i="1"/>
  <c r="CA20" i="1"/>
  <c r="BZ20" i="1"/>
  <c r="BY20" i="1"/>
  <c r="BX20" i="1"/>
  <c r="BW20" i="1"/>
  <c r="BV20" i="1"/>
  <c r="BU20" i="1"/>
  <c r="AE20" i="1"/>
  <c r="Q20" i="1"/>
  <c r="H20" i="1"/>
  <c r="G20" i="1"/>
  <c r="DG19" i="1"/>
  <c r="DF19" i="1"/>
  <c r="DE19" i="1"/>
  <c r="DD19" i="1"/>
  <c r="CX19" i="1" s="1"/>
  <c r="DU19" i="1" s="1"/>
  <c r="DC19" i="1"/>
  <c r="CW19" i="1" s="1"/>
  <c r="DT19" i="1" s="1"/>
  <c r="DB19" i="1"/>
  <c r="CV19" i="1" s="1"/>
  <c r="DS19" i="1" s="1"/>
  <c r="CB19" i="1"/>
  <c r="CA19" i="1"/>
  <c r="BZ19" i="1"/>
  <c r="BY19" i="1"/>
  <c r="BX19" i="1"/>
  <c r="BW19" i="1"/>
  <c r="BV19" i="1"/>
  <c r="BU19" i="1"/>
  <c r="E19" i="1"/>
  <c r="Q19" i="1"/>
  <c r="H19" i="1"/>
  <c r="G19" i="1"/>
  <c r="DG18" i="1"/>
  <c r="DF18" i="1"/>
  <c r="DE18" i="1"/>
  <c r="DD18" i="1"/>
  <c r="CX18" i="1" s="1"/>
  <c r="DU18" i="1" s="1"/>
  <c r="DC18" i="1"/>
  <c r="CW18" i="1" s="1"/>
  <c r="DT18" i="1" s="1"/>
  <c r="DB18" i="1"/>
  <c r="CV18" i="1" s="1"/>
  <c r="DS18" i="1" s="1"/>
  <c r="CB18" i="1"/>
  <c r="CA18" i="1"/>
  <c r="BZ18" i="1"/>
  <c r="BY18" i="1"/>
  <c r="BX18" i="1"/>
  <c r="BW18" i="1"/>
  <c r="BV18" i="1"/>
  <c r="BU18" i="1"/>
  <c r="AF18" i="1"/>
  <c r="E18" i="1"/>
  <c r="Q18" i="1"/>
  <c r="H18" i="1"/>
  <c r="G18" i="1"/>
  <c r="DG17" i="1"/>
  <c r="DF17" i="1"/>
  <c r="DE17" i="1"/>
  <c r="DD17" i="1"/>
  <c r="CX17" i="1" s="1"/>
  <c r="DU17" i="1" s="1"/>
  <c r="DC17" i="1"/>
  <c r="CW17" i="1" s="1"/>
  <c r="DT17" i="1" s="1"/>
  <c r="DB17" i="1"/>
  <c r="CV17" i="1" s="1"/>
  <c r="DS17" i="1" s="1"/>
  <c r="CB17" i="1"/>
  <c r="CA17" i="1"/>
  <c r="BZ17" i="1"/>
  <c r="BY17" i="1"/>
  <c r="BX17" i="1"/>
  <c r="BW17" i="1"/>
  <c r="BV17" i="1"/>
  <c r="BU17" i="1"/>
  <c r="BO17" i="1"/>
  <c r="BN17" i="1"/>
  <c r="AE17" i="1"/>
  <c r="AB17" i="1" s="1"/>
  <c r="Q17" i="1"/>
  <c r="H17" i="1"/>
  <c r="G17" i="1"/>
  <c r="DG16" i="1"/>
  <c r="DF16" i="1"/>
  <c r="DE16" i="1"/>
  <c r="DD16" i="1"/>
  <c r="CX16" i="1" s="1"/>
  <c r="DU16" i="1" s="1"/>
  <c r="DC16" i="1"/>
  <c r="CW16" i="1" s="1"/>
  <c r="DT16" i="1" s="1"/>
  <c r="DB16" i="1"/>
  <c r="CV16" i="1" s="1"/>
  <c r="DS16" i="1" s="1"/>
  <c r="CB16" i="1"/>
  <c r="CA16" i="1"/>
  <c r="BZ16" i="1"/>
  <c r="BY16" i="1"/>
  <c r="BX16" i="1"/>
  <c r="BW16" i="1"/>
  <c r="BV16" i="1"/>
  <c r="BU16" i="1"/>
  <c r="BO16" i="1"/>
  <c r="BN16" i="1"/>
  <c r="E16" i="1"/>
  <c r="Q16" i="1"/>
  <c r="H16" i="1"/>
  <c r="G16" i="1"/>
  <c r="DG15" i="1"/>
  <c r="DF15" i="1"/>
  <c r="DE15" i="1"/>
  <c r="DD15" i="1"/>
  <c r="CX15" i="1" s="1"/>
  <c r="DU15" i="1" s="1"/>
  <c r="DC15" i="1"/>
  <c r="CW15" i="1" s="1"/>
  <c r="DT15" i="1" s="1"/>
  <c r="DB15" i="1"/>
  <c r="CV15" i="1" s="1"/>
  <c r="DS15" i="1" s="1"/>
  <c r="CB15" i="1"/>
  <c r="CA15" i="1"/>
  <c r="BZ15" i="1"/>
  <c r="BY15" i="1"/>
  <c r="BX15" i="1"/>
  <c r="BW15" i="1"/>
  <c r="BV15" i="1"/>
  <c r="BU15" i="1"/>
  <c r="BO15" i="1"/>
  <c r="BN15" i="1"/>
  <c r="AE15" i="1"/>
  <c r="AB15" i="1" s="1"/>
  <c r="Q15" i="1"/>
  <c r="H15" i="1"/>
  <c r="G15" i="1"/>
  <c r="DG14" i="1"/>
  <c r="DF14" i="1"/>
  <c r="DE14" i="1"/>
  <c r="DD14" i="1"/>
  <c r="CX14" i="1" s="1"/>
  <c r="DU14" i="1" s="1"/>
  <c r="DC14" i="1"/>
  <c r="CW14" i="1" s="1"/>
  <c r="DT14" i="1" s="1"/>
  <c r="DB14" i="1"/>
  <c r="CV14" i="1" s="1"/>
  <c r="DS14" i="1" s="1"/>
  <c r="CN14" i="1"/>
  <c r="CB14" i="1"/>
  <c r="CA14" i="1"/>
  <c r="BZ14" i="1"/>
  <c r="BY14" i="1"/>
  <c r="BX14" i="1"/>
  <c r="BW14" i="1"/>
  <c r="BV14" i="1"/>
  <c r="BU14" i="1"/>
  <c r="BO14" i="1"/>
  <c r="BN14" i="1"/>
  <c r="AD14" i="1"/>
  <c r="AA14" i="1" s="1"/>
  <c r="Q14" i="1"/>
  <c r="H14" i="1"/>
  <c r="G14" i="1"/>
  <c r="E14" i="1"/>
  <c r="DG13" i="1"/>
  <c r="DF13" i="1"/>
  <c r="DE13" i="1"/>
  <c r="DD13" i="1"/>
  <c r="CX13" i="1" s="1"/>
  <c r="DU13" i="1" s="1"/>
  <c r="DC13" i="1"/>
  <c r="CW13" i="1" s="1"/>
  <c r="DT13" i="1" s="1"/>
  <c r="DB13" i="1"/>
  <c r="CV13" i="1" s="1"/>
  <c r="DS13" i="1" s="1"/>
  <c r="CB13" i="1"/>
  <c r="CA13" i="1"/>
  <c r="BZ13" i="1"/>
  <c r="BY13" i="1"/>
  <c r="BX13" i="1"/>
  <c r="BW13" i="1"/>
  <c r="BV13" i="1"/>
  <c r="BU13" i="1"/>
  <c r="BO13" i="1"/>
  <c r="BN13" i="1"/>
  <c r="AF13" i="1"/>
  <c r="AE13" i="1"/>
  <c r="AD13" i="1"/>
  <c r="AA13" i="1" s="1"/>
  <c r="Q13" i="1"/>
  <c r="H13" i="1"/>
  <c r="G13" i="1"/>
  <c r="E13" i="1"/>
  <c r="DG12" i="1"/>
  <c r="DF12" i="1"/>
  <c r="DE12" i="1"/>
  <c r="DD12" i="1"/>
  <c r="CX12" i="1" s="1"/>
  <c r="DU12" i="1" s="1"/>
  <c r="DC12" i="1"/>
  <c r="CW12" i="1" s="1"/>
  <c r="DT12" i="1" s="1"/>
  <c r="DB12" i="1"/>
  <c r="CV12" i="1" s="1"/>
  <c r="DS12" i="1" s="1"/>
  <c r="CB12" i="1"/>
  <c r="CA12" i="1"/>
  <c r="BZ12" i="1"/>
  <c r="BY12" i="1"/>
  <c r="BX12" i="1"/>
  <c r="BW12" i="1"/>
  <c r="BV12" i="1"/>
  <c r="BU12" i="1"/>
  <c r="BO12" i="1"/>
  <c r="BN12" i="1"/>
  <c r="AD12" i="1"/>
  <c r="AA12" i="1" s="1"/>
  <c r="Q12" i="1"/>
  <c r="H12" i="1"/>
  <c r="G12" i="1"/>
  <c r="E12" i="1"/>
  <c r="DG11" i="1"/>
  <c r="DF11" i="1"/>
  <c r="DE11" i="1"/>
  <c r="DD11" i="1"/>
  <c r="CX11" i="1" s="1"/>
  <c r="DU11" i="1" s="1"/>
  <c r="DC11" i="1"/>
  <c r="CW11" i="1" s="1"/>
  <c r="DT11" i="1" s="1"/>
  <c r="DB11" i="1"/>
  <c r="CV11" i="1" s="1"/>
  <c r="DS11" i="1" s="1"/>
  <c r="CB11" i="1"/>
  <c r="CA11" i="1"/>
  <c r="BZ11" i="1"/>
  <c r="BY11" i="1"/>
  <c r="BX11" i="1"/>
  <c r="BW11" i="1"/>
  <c r="BV11" i="1"/>
  <c r="BU11" i="1"/>
  <c r="BO11" i="1"/>
  <c r="BN11" i="1"/>
  <c r="AF11" i="1"/>
  <c r="AE11" i="1"/>
  <c r="AD11" i="1"/>
  <c r="AA11" i="1" s="1"/>
  <c r="Q11" i="1"/>
  <c r="H11" i="1"/>
  <c r="G11" i="1"/>
  <c r="E11" i="1"/>
  <c r="DG10" i="1"/>
  <c r="DF10" i="1"/>
  <c r="DE10" i="1"/>
  <c r="DD10" i="1"/>
  <c r="CX10" i="1" s="1"/>
  <c r="DU10" i="1" s="1"/>
  <c r="DC10" i="1"/>
  <c r="CW10" i="1" s="1"/>
  <c r="DT10" i="1" s="1"/>
  <c r="DB10" i="1"/>
  <c r="CV10" i="1" s="1"/>
  <c r="DS10" i="1" s="1"/>
  <c r="CN10" i="1"/>
  <c r="CB10" i="1"/>
  <c r="CA10" i="1"/>
  <c r="BZ10" i="1"/>
  <c r="BY10" i="1"/>
  <c r="BX10" i="1"/>
  <c r="BW10" i="1"/>
  <c r="BV10" i="1"/>
  <c r="BU10" i="1"/>
  <c r="BO10" i="1"/>
  <c r="BN10" i="1"/>
  <c r="AE10" i="1"/>
  <c r="Q10" i="1"/>
  <c r="H10" i="1"/>
  <c r="G10" i="1"/>
  <c r="DG9" i="1"/>
  <c r="DF9" i="1"/>
  <c r="DE9" i="1"/>
  <c r="DD9" i="1"/>
  <c r="CX9" i="1" s="1"/>
  <c r="DU9" i="1" s="1"/>
  <c r="DC9" i="1"/>
  <c r="CW9" i="1" s="1"/>
  <c r="DT9" i="1" s="1"/>
  <c r="DB9" i="1"/>
  <c r="CV9" i="1" s="1"/>
  <c r="DS9" i="1" s="1"/>
  <c r="CN9" i="1"/>
  <c r="CB9" i="1"/>
  <c r="CA9" i="1"/>
  <c r="BZ9" i="1"/>
  <c r="BY9" i="1"/>
  <c r="BX9" i="1"/>
  <c r="BW9" i="1"/>
  <c r="BV9" i="1"/>
  <c r="BU9" i="1"/>
  <c r="BO9" i="1"/>
  <c r="BN9" i="1"/>
  <c r="AD9" i="1"/>
  <c r="Q9" i="1"/>
  <c r="H9" i="1"/>
  <c r="G9" i="1"/>
  <c r="E9" i="1"/>
  <c r="DG8" i="1"/>
  <c r="DF8" i="1"/>
  <c r="DE8" i="1"/>
  <c r="DD8" i="1"/>
  <c r="CX8" i="1" s="1"/>
  <c r="DU8" i="1" s="1"/>
  <c r="DC8" i="1"/>
  <c r="CW8" i="1" s="1"/>
  <c r="DT8" i="1" s="1"/>
  <c r="DB8" i="1"/>
  <c r="CV8" i="1" s="1"/>
  <c r="DS8" i="1" s="1"/>
  <c r="CB8" i="1"/>
  <c r="CA8" i="1"/>
  <c r="BZ8" i="1"/>
  <c r="BY8" i="1"/>
  <c r="BX8" i="1"/>
  <c r="BW8" i="1"/>
  <c r="BV8" i="1"/>
  <c r="BU8" i="1"/>
  <c r="BO8" i="1"/>
  <c r="BN8" i="1"/>
  <c r="AF8" i="1"/>
  <c r="AC8" i="1" s="1"/>
  <c r="AE8" i="1"/>
  <c r="AB8" i="1" s="1"/>
  <c r="AD8" i="1"/>
  <c r="Q8" i="1"/>
  <c r="H8" i="1"/>
  <c r="G8" i="1"/>
  <c r="E8" i="1"/>
  <c r="DG7" i="1"/>
  <c r="DF7" i="1"/>
  <c r="DE7" i="1"/>
  <c r="DD7" i="1"/>
  <c r="CX7" i="1" s="1"/>
  <c r="DU7" i="1" s="1"/>
  <c r="DC7" i="1"/>
  <c r="CW7" i="1" s="1"/>
  <c r="DT7" i="1" s="1"/>
  <c r="DB7" i="1"/>
  <c r="CV7" i="1" s="1"/>
  <c r="DS7" i="1" s="1"/>
  <c r="CO7" i="1"/>
  <c r="CN7" i="1"/>
  <c r="CM7" i="1"/>
  <c r="CB7" i="1"/>
  <c r="CA7" i="1"/>
  <c r="BZ7" i="1"/>
  <c r="BY7" i="1"/>
  <c r="BX7" i="1"/>
  <c r="BW7" i="1"/>
  <c r="BV7" i="1"/>
  <c r="BU7" i="1"/>
  <c r="AE7" i="1"/>
  <c r="AB7" i="1" s="1"/>
  <c r="Q7" i="1"/>
  <c r="H7" i="1"/>
  <c r="G7" i="1"/>
  <c r="DG6" i="1"/>
  <c r="DF6" i="1"/>
  <c r="DE6" i="1"/>
  <c r="DD6" i="1"/>
  <c r="CX6" i="1" s="1"/>
  <c r="DU6" i="1" s="1"/>
  <c r="DC6" i="1"/>
  <c r="CW6" i="1" s="1"/>
  <c r="DT6" i="1" s="1"/>
  <c r="DB6" i="1"/>
  <c r="CV6" i="1" s="1"/>
  <c r="DS6" i="1" s="1"/>
  <c r="CB6" i="1"/>
  <c r="CA6" i="1"/>
  <c r="BZ6" i="1"/>
  <c r="BY6" i="1"/>
  <c r="BX6" i="1"/>
  <c r="BW6" i="1"/>
  <c r="BV6" i="1"/>
  <c r="BU6" i="1"/>
  <c r="AE6" i="1"/>
  <c r="Q6" i="1"/>
  <c r="H6" i="1"/>
  <c r="G6" i="1"/>
  <c r="DG5" i="1"/>
  <c r="DF5" i="1"/>
  <c r="DE5" i="1"/>
  <c r="DD5" i="1"/>
  <c r="CX5" i="1" s="1"/>
  <c r="DU5" i="1" s="1"/>
  <c r="DC5" i="1"/>
  <c r="CW5" i="1" s="1"/>
  <c r="DT5" i="1" s="1"/>
  <c r="DB5" i="1"/>
  <c r="CV5" i="1" s="1"/>
  <c r="DS5" i="1" s="1"/>
  <c r="CT5" i="1"/>
  <c r="CT6" i="1" s="1"/>
  <c r="CT7" i="1" s="1"/>
  <c r="CT8" i="1" s="1"/>
  <c r="CT9" i="1" s="1"/>
  <c r="CT10" i="1" s="1"/>
  <c r="CT11" i="1" s="1"/>
  <c r="CT12" i="1" s="1"/>
  <c r="CT13" i="1" s="1"/>
  <c r="CT14" i="1" s="1"/>
  <c r="CT15" i="1" s="1"/>
  <c r="CT16" i="1" s="1"/>
  <c r="CT17" i="1" s="1"/>
  <c r="CT18" i="1" s="1"/>
  <c r="CT19" i="1" s="1"/>
  <c r="CT20" i="1" s="1"/>
  <c r="CT21" i="1" s="1"/>
  <c r="CT22" i="1" s="1"/>
  <c r="CT23" i="1" s="1"/>
  <c r="CT24" i="1" s="1"/>
  <c r="CT25" i="1" s="1"/>
  <c r="CT26" i="1" s="1"/>
  <c r="CT27" i="1" s="1"/>
  <c r="CT28" i="1" s="1"/>
  <c r="CT29" i="1" s="1"/>
  <c r="CT30" i="1" s="1"/>
  <c r="CT31" i="1" s="1"/>
  <c r="CT32" i="1" s="1"/>
  <c r="CT33" i="1" s="1"/>
  <c r="CT34" i="1" s="1"/>
  <c r="CT35" i="1" s="1"/>
  <c r="CB5" i="1"/>
  <c r="CA5" i="1"/>
  <c r="BZ5" i="1"/>
  <c r="BY5" i="1"/>
  <c r="BX5" i="1"/>
  <c r="BW5" i="1"/>
  <c r="BV5" i="1"/>
  <c r="BU5" i="1"/>
  <c r="AE5" i="1"/>
  <c r="AB5" i="1" s="1"/>
  <c r="Q5" i="1"/>
  <c r="H5" i="1"/>
  <c r="G5" i="1"/>
  <c r="DG4" i="1"/>
  <c r="DF4" i="1"/>
  <c r="DE4" i="1"/>
  <c r="DD4" i="1"/>
  <c r="CX4" i="1" s="1"/>
  <c r="DU4" i="1" s="1"/>
  <c r="DC4" i="1"/>
  <c r="CW4" i="1" s="1"/>
  <c r="DT4" i="1" s="1"/>
  <c r="DB4" i="1"/>
  <c r="CV4" i="1" s="1"/>
  <c r="DS4" i="1" s="1"/>
  <c r="CB4" i="1"/>
  <c r="CA4" i="1"/>
  <c r="BZ4" i="1"/>
  <c r="BY4" i="1"/>
  <c r="BJ19" i="1" s="1"/>
  <c r="BX4" i="1"/>
  <c r="BW4" i="1"/>
  <c r="BV4" i="1"/>
  <c r="BU4" i="1"/>
  <c r="BJ20" i="1" s="1"/>
  <c r="BK20" i="1" s="1"/>
  <c r="AD4" i="1"/>
  <c r="Q4" i="1"/>
  <c r="H4" i="1"/>
  <c r="G4" i="1"/>
  <c r="Z1" i="1"/>
  <c r="T1" i="1"/>
  <c r="AA9" i="1" l="1"/>
  <c r="AB11" i="1"/>
  <c r="I11" i="1" s="1"/>
  <c r="AB13" i="1"/>
  <c r="AC18" i="1"/>
  <c r="AB20" i="1"/>
  <c r="AB22" i="1"/>
  <c r="AC27" i="1"/>
  <c r="AA31" i="1"/>
  <c r="BK21" i="1"/>
  <c r="AA28" i="1"/>
  <c r="AA4" i="1"/>
  <c r="AB6" i="1"/>
  <c r="AA8" i="1"/>
  <c r="I8" i="1" s="1"/>
  <c r="AB10" i="1"/>
  <c r="AC11" i="1"/>
  <c r="BK23" i="1"/>
  <c r="BL24" i="1" s="1"/>
  <c r="AF31" i="1"/>
  <c r="AC31" i="1" s="1"/>
  <c r="AE32" i="1"/>
  <c r="AB32" i="1" s="1"/>
  <c r="AF16" i="1"/>
  <c r="AC16" i="1" s="1"/>
  <c r="AF19" i="1"/>
  <c r="AC19" i="1" s="1"/>
  <c r="AF32" i="1"/>
  <c r="AC32" i="1" s="1"/>
  <c r="AE33" i="1"/>
  <c r="AB33" i="1" s="1"/>
  <c r="E4" i="1"/>
  <c r="AF33" i="1"/>
  <c r="AC33" i="1" s="1"/>
  <c r="AF34" i="1"/>
  <c r="AE35" i="1"/>
  <c r="AB35" i="1" s="1"/>
  <c r="AE9" i="1"/>
  <c r="AB9" i="1" s="1"/>
  <c r="AE14" i="1"/>
  <c r="AB14" i="1" s="1"/>
  <c r="AE21" i="1"/>
  <c r="AB21" i="1" s="1"/>
  <c r="AE25" i="1"/>
  <c r="AB25" i="1" s="1"/>
  <c r="AE26" i="1"/>
  <c r="AB26" i="1" s="1"/>
  <c r="AD27" i="1"/>
  <c r="AE28" i="1"/>
  <c r="AB28" i="1" s="1"/>
  <c r="AE29" i="1"/>
  <c r="AE30" i="1"/>
  <c r="AB30" i="1" s="1"/>
  <c r="AE4" i="1"/>
  <c r="AB4" i="1" s="1"/>
  <c r="AE12" i="1"/>
  <c r="AB12" i="1" s="1"/>
  <c r="BL22" i="1"/>
  <c r="AF5" i="1"/>
  <c r="AC5" i="1" s="1"/>
  <c r="AC13" i="1"/>
  <c r="I13" i="1" s="1"/>
  <c r="AF15" i="1"/>
  <c r="AC15" i="1" s="1"/>
  <c r="AD16" i="1"/>
  <c r="AA16" i="1" s="1"/>
  <c r="AF17" i="1"/>
  <c r="AC17" i="1" s="1"/>
  <c r="AD18" i="1"/>
  <c r="AA18" i="1" s="1"/>
  <c r="AD19" i="1"/>
  <c r="AA19" i="1" s="1"/>
  <c r="BK19" i="1"/>
  <c r="BL20" i="1" s="1"/>
  <c r="AF20" i="1"/>
  <c r="AC20" i="1" s="1"/>
  <c r="AC21" i="1"/>
  <c r="I21" i="1" s="1"/>
  <c r="AF23" i="1"/>
  <c r="AC23" i="1" s="1"/>
  <c r="AD24" i="1"/>
  <c r="AA24" i="1" s="1"/>
  <c r="AA27" i="1"/>
  <c r="AA32" i="1"/>
  <c r="AF6" i="1"/>
  <c r="AC6" i="1" s="1"/>
  <c r="AF7" i="1"/>
  <c r="AC7" i="1" s="1"/>
  <c r="AF10" i="1"/>
  <c r="AC10" i="1" s="1"/>
  <c r="AF4" i="1"/>
  <c r="AC4" i="1" s="1"/>
  <c r="I4" i="1" s="1"/>
  <c r="E5" i="1"/>
  <c r="E6" i="1"/>
  <c r="E7" i="1"/>
  <c r="AF9" i="1"/>
  <c r="AC9" i="1" s="1"/>
  <c r="E10" i="1"/>
  <c r="AF12" i="1"/>
  <c r="AC12" i="1" s="1"/>
  <c r="I12" i="1" s="1"/>
  <c r="AF14" i="1"/>
  <c r="AC14" i="1" s="1"/>
  <c r="I14" i="1" s="1"/>
  <c r="E15" i="1"/>
  <c r="AE16" i="1"/>
  <c r="AB16" i="1" s="1"/>
  <c r="E17" i="1"/>
  <c r="AE18" i="1"/>
  <c r="AB18" i="1" s="1"/>
  <c r="AE19" i="1"/>
  <c r="AB19" i="1" s="1"/>
  <c r="E20" i="1"/>
  <c r="AF22" i="1"/>
  <c r="AC22" i="1" s="1"/>
  <c r="I22" i="1" s="1"/>
  <c r="E23" i="1"/>
  <c r="AE24" i="1"/>
  <c r="AB24" i="1" s="1"/>
  <c r="AF25" i="1"/>
  <c r="AC25" i="1" s="1"/>
  <c r="AB29" i="1"/>
  <c r="AB34" i="1"/>
  <c r="AD5" i="1"/>
  <c r="AA5" i="1" s="1"/>
  <c r="AD6" i="1"/>
  <c r="AA6" i="1" s="1"/>
  <c r="AD15" i="1"/>
  <c r="AA15" i="1" s="1"/>
  <c r="AD17" i="1"/>
  <c r="AA17" i="1" s="1"/>
  <c r="I17" i="1" s="1"/>
  <c r="AD20" i="1"/>
  <c r="AA20" i="1" s="1"/>
  <c r="I20" i="1" s="1"/>
  <c r="AD23" i="1"/>
  <c r="AA23" i="1" s="1"/>
  <c r="AC26" i="1"/>
  <c r="AA30" i="1"/>
  <c r="AB31" i="1"/>
  <c r="AC34" i="1"/>
  <c r="AD7" i="1"/>
  <c r="AA7" i="1" s="1"/>
  <c r="I7" i="1" s="1"/>
  <c r="AD10" i="1"/>
  <c r="AA10" i="1" s="1"/>
  <c r="AD26" i="1"/>
  <c r="AA26" i="1" s="1"/>
  <c r="AE27" i="1"/>
  <c r="AB27" i="1" s="1"/>
  <c r="AA29" i="1"/>
  <c r="AA33" i="1"/>
  <c r="AC35" i="1"/>
  <c r="AF28" i="1"/>
  <c r="AC28" i="1" s="1"/>
  <c r="AF29" i="1"/>
  <c r="AC29" i="1" s="1"/>
  <c r="AF30" i="1"/>
  <c r="AC30" i="1" s="1"/>
  <c r="AD35" i="1"/>
  <c r="AA35" i="1" s="1"/>
  <c r="AD34" i="1"/>
  <c r="AA34" i="1" s="1"/>
  <c r="I23" i="1" l="1"/>
  <c r="I31" i="1"/>
  <c r="I35" i="1"/>
  <c r="I9" i="1"/>
  <c r="I34" i="1"/>
  <c r="I26" i="1"/>
  <c r="I10" i="1"/>
  <c r="I25" i="1"/>
  <c r="I28" i="1"/>
  <c r="I32" i="1"/>
  <c r="I19" i="1"/>
  <c r="I15" i="1"/>
  <c r="I18" i="1"/>
  <c r="I29" i="1"/>
  <c r="I30" i="1"/>
  <c r="I6" i="1"/>
  <c r="I24" i="1"/>
  <c r="I33" i="1"/>
  <c r="I5" i="1"/>
  <c r="I27" i="1"/>
  <c r="I16" i="1"/>
  <c r="CE811" i="1" l="1"/>
  <c r="CC811" i="1"/>
  <c r="CD811" i="1"/>
  <c r="CD915" i="1"/>
  <c r="CC915" i="1"/>
  <c r="CE915" i="1"/>
  <c r="CD170" i="1"/>
  <c r="CC170" i="1"/>
  <c r="CE170" i="1"/>
  <c r="CE270" i="1"/>
  <c r="CC270" i="1"/>
  <c r="CD270" i="1"/>
  <c r="CE104" i="1"/>
  <c r="CC104" i="1"/>
  <c r="CD104" i="1"/>
  <c r="CE860" i="1"/>
  <c r="CC860" i="1"/>
  <c r="CD860" i="1"/>
  <c r="CD944" i="1"/>
  <c r="CC944" i="1"/>
  <c r="CE944" i="1"/>
  <c r="CD668" i="1"/>
  <c r="CC668" i="1"/>
  <c r="CE668" i="1"/>
  <c r="CD566" i="1"/>
  <c r="CC566" i="1"/>
  <c r="CE566" i="1"/>
  <c r="CD38" i="1"/>
  <c r="CC38" i="1"/>
  <c r="CE38" i="1"/>
  <c r="CE183" i="1"/>
  <c r="CC183" i="1"/>
  <c r="CD183" i="1"/>
  <c r="CE248" i="1"/>
  <c r="CC248" i="1"/>
  <c r="CD248" i="1"/>
  <c r="CE124" i="1"/>
  <c r="CC124" i="1"/>
  <c r="CD124" i="1"/>
  <c r="CD851" i="1"/>
  <c r="CC851" i="1"/>
  <c r="CE851" i="1"/>
  <c r="CD711" i="1"/>
  <c r="CC711" i="1"/>
  <c r="CE711" i="1"/>
  <c r="CD973" i="1"/>
  <c r="CC973" i="1"/>
  <c r="CE973" i="1"/>
  <c r="CD643" i="1"/>
  <c r="CC643" i="1"/>
  <c r="CE643" i="1"/>
  <c r="CE5" i="1"/>
  <c r="CC5" i="1"/>
  <c r="CD5" i="1"/>
  <c r="CE204" i="1"/>
  <c r="CC204" i="1"/>
  <c r="CD204" i="1"/>
  <c r="CE184" i="1"/>
  <c r="CC184" i="1"/>
  <c r="CD184" i="1"/>
  <c r="CD947" i="1"/>
  <c r="CC947" i="1"/>
  <c r="CE947" i="1"/>
  <c r="CD364" i="1"/>
  <c r="CC364" i="1"/>
  <c r="CE364" i="1"/>
  <c r="CD605" i="1"/>
  <c r="CC605" i="1"/>
  <c r="CE605" i="1"/>
  <c r="CE641" i="1"/>
  <c r="CC641" i="1"/>
  <c r="CD641" i="1"/>
  <c r="CD281" i="1"/>
  <c r="CC281" i="1"/>
  <c r="CE281" i="1"/>
  <c r="CE753" i="1"/>
  <c r="CC753" i="1"/>
  <c r="CD753" i="1"/>
  <c r="CD586" i="1"/>
  <c r="CC586" i="1"/>
  <c r="CE586" i="1"/>
  <c r="CD798" i="1"/>
  <c r="CC798" i="1"/>
  <c r="CE798" i="1"/>
  <c r="CE66" i="1"/>
  <c r="CC66" i="1"/>
  <c r="CD66" i="1"/>
  <c r="CD599" i="1"/>
  <c r="CC599" i="1"/>
  <c r="CE599" i="1"/>
  <c r="CD92" i="1"/>
  <c r="CC92" i="1"/>
  <c r="CE92" i="1"/>
  <c r="CE422" i="1"/>
  <c r="CC422" i="1"/>
  <c r="CD422" i="1"/>
  <c r="CD537" i="1"/>
  <c r="CC537" i="1"/>
  <c r="CE537" i="1"/>
  <c r="CE689" i="1"/>
  <c r="CC689" i="1"/>
  <c r="CD689" i="1"/>
  <c r="CE928" i="1"/>
  <c r="CC928" i="1"/>
  <c r="CD928" i="1"/>
  <c r="CD704" i="1"/>
  <c r="CC704" i="1"/>
  <c r="CE704" i="1"/>
  <c r="CE576" i="1"/>
  <c r="CC576" i="1"/>
  <c r="CD576" i="1"/>
  <c r="CE661" i="1"/>
  <c r="CC661" i="1"/>
  <c r="CD661" i="1"/>
  <c r="CE83" i="1"/>
  <c r="CC83" i="1"/>
  <c r="CD83" i="1"/>
  <c r="CE552" i="1"/>
  <c r="CC552" i="1"/>
  <c r="CD552" i="1"/>
  <c r="CE319" i="1"/>
  <c r="CC319" i="1"/>
  <c r="CD319" i="1"/>
  <c r="CE700" i="1"/>
  <c r="CC700" i="1"/>
  <c r="CD700" i="1"/>
  <c r="CE95" i="1"/>
  <c r="CC95" i="1"/>
  <c r="CD95" i="1"/>
  <c r="CE824" i="1"/>
  <c r="CC824" i="1"/>
  <c r="CD824" i="1"/>
  <c r="CD767" i="1"/>
  <c r="CC767" i="1"/>
  <c r="CE767" i="1"/>
  <c r="CE397" i="1"/>
  <c r="CC397" i="1"/>
  <c r="CD397" i="1"/>
  <c r="CE166" i="1"/>
  <c r="CC166" i="1"/>
  <c r="CD166" i="1"/>
  <c r="CD520" i="1"/>
  <c r="CC520" i="1"/>
  <c r="CE520" i="1"/>
  <c r="CD961" i="1"/>
  <c r="CC961" i="1"/>
  <c r="CE961" i="1"/>
  <c r="CE339" i="1"/>
  <c r="CC339" i="1"/>
  <c r="CD339" i="1"/>
  <c r="CE693" i="1"/>
  <c r="CC693" i="1"/>
  <c r="CD693" i="1"/>
  <c r="CE508" i="1"/>
  <c r="CC508" i="1"/>
  <c r="CD508" i="1"/>
  <c r="CE751" i="1"/>
  <c r="CC751" i="1"/>
  <c r="CD751" i="1"/>
  <c r="CE313" i="1"/>
  <c r="CC313" i="1"/>
  <c r="CD313" i="1"/>
  <c r="CD465" i="1"/>
  <c r="CC465" i="1"/>
  <c r="CE465" i="1"/>
  <c r="CE415" i="1"/>
  <c r="CC415" i="1"/>
  <c r="CD415" i="1"/>
  <c r="CE258" i="1"/>
  <c r="CC258" i="1"/>
  <c r="CD258" i="1"/>
  <c r="CD477" i="1"/>
  <c r="CC477" i="1"/>
  <c r="CE477" i="1"/>
  <c r="CD108" i="1"/>
  <c r="CC108" i="1"/>
  <c r="CE108" i="1"/>
  <c r="CE329" i="1"/>
  <c r="CC329" i="1"/>
  <c r="CD329" i="1"/>
  <c r="CD794" i="1"/>
  <c r="CC794" i="1"/>
  <c r="CE794" i="1"/>
  <c r="CE300" i="1"/>
  <c r="CC300" i="1"/>
  <c r="CD300" i="1"/>
  <c r="CE705" i="1"/>
  <c r="CC705" i="1"/>
  <c r="CD705" i="1"/>
  <c r="CD602" i="1"/>
  <c r="CC602" i="1"/>
  <c r="CE602" i="1"/>
  <c r="CD966" i="1"/>
  <c r="CC966" i="1"/>
  <c r="CE966" i="1"/>
  <c r="CE446" i="1"/>
  <c r="CC446" i="1"/>
  <c r="CD446" i="1"/>
  <c r="CE797" i="1"/>
  <c r="CC797" i="1"/>
  <c r="CD797" i="1"/>
  <c r="CE438" i="1"/>
  <c r="CC438" i="1"/>
  <c r="CD438" i="1"/>
  <c r="CE807" i="1"/>
  <c r="CC807" i="1"/>
  <c r="CD807" i="1"/>
  <c r="CD514" i="1"/>
  <c r="CC514" i="1"/>
  <c r="CE514" i="1"/>
  <c r="CD441" i="1"/>
  <c r="CC441" i="1"/>
  <c r="CE441" i="1"/>
  <c r="CE569" i="1"/>
  <c r="CC569" i="1"/>
  <c r="CD569" i="1"/>
  <c r="CD709" i="1"/>
  <c r="CC709" i="1"/>
  <c r="CE709" i="1"/>
  <c r="CE383" i="1"/>
  <c r="CC383" i="1"/>
  <c r="CD383" i="1"/>
  <c r="CE550" i="1"/>
  <c r="CC550" i="1"/>
  <c r="CD550" i="1"/>
  <c r="CE327" i="1"/>
  <c r="CC327" i="1"/>
  <c r="CD327" i="1"/>
  <c r="CD345" i="1"/>
  <c r="CC345" i="1"/>
  <c r="CE345" i="1"/>
  <c r="CE213" i="1"/>
  <c r="CC213" i="1"/>
  <c r="CD213" i="1"/>
  <c r="CD675" i="1"/>
  <c r="CC675" i="1"/>
  <c r="CE675" i="1"/>
  <c r="CD251" i="1"/>
  <c r="CC251" i="1"/>
  <c r="CE251" i="1"/>
  <c r="CD106" i="1"/>
  <c r="CC106" i="1"/>
  <c r="CE106" i="1"/>
  <c r="CE607" i="1"/>
  <c r="CC607" i="1"/>
  <c r="CD607" i="1"/>
  <c r="CD816" i="1"/>
  <c r="CC816" i="1"/>
  <c r="CE816" i="1"/>
  <c r="CD620" i="1"/>
  <c r="CC620" i="1"/>
  <c r="CE620" i="1"/>
  <c r="CD596" i="1"/>
  <c r="CC596" i="1"/>
  <c r="CE596" i="1"/>
  <c r="CE577" i="1"/>
  <c r="CC577" i="1"/>
  <c r="CD577" i="1"/>
  <c r="CE138" i="1"/>
  <c r="CC138" i="1"/>
  <c r="CD138" i="1"/>
  <c r="CE882" i="1"/>
  <c r="CC882" i="1"/>
  <c r="CD882" i="1"/>
  <c r="CE7" i="1"/>
  <c r="CC7" i="1"/>
  <c r="CD7" i="1"/>
  <c r="CD752" i="1"/>
  <c r="CC752" i="1"/>
  <c r="CE752" i="1"/>
  <c r="CE755" i="1"/>
  <c r="CC755" i="1"/>
  <c r="CD755" i="1"/>
  <c r="CE242" i="1"/>
  <c r="CC242" i="1"/>
  <c r="CD242" i="1"/>
  <c r="CD167" i="1"/>
  <c r="CC167" i="1"/>
  <c r="CE167" i="1"/>
  <c r="CD916" i="1"/>
  <c r="CC916" i="1"/>
  <c r="CE916" i="1"/>
  <c r="CD224" i="1"/>
  <c r="CC224" i="1"/>
  <c r="CE224" i="1"/>
  <c r="CE264" i="1"/>
  <c r="CC264" i="1"/>
  <c r="CD264" i="1"/>
  <c r="CE678" i="1"/>
  <c r="CC678" i="1"/>
  <c r="CD678" i="1"/>
  <c r="CD211" i="1"/>
  <c r="CC211" i="1"/>
  <c r="CE211" i="1"/>
  <c r="CD943" i="1"/>
  <c r="CC943" i="1"/>
  <c r="CE943" i="1"/>
  <c r="CD846" i="1"/>
  <c r="CC846" i="1"/>
  <c r="CE846" i="1"/>
  <c r="CD598" i="1"/>
  <c r="CC598" i="1"/>
  <c r="CE598" i="1"/>
  <c r="CD361" i="1"/>
  <c r="CC361" i="1"/>
  <c r="CE361" i="1"/>
  <c r="CE535" i="1"/>
  <c r="CC535" i="1"/>
  <c r="CD535" i="1"/>
  <c r="CE832" i="1"/>
  <c r="CC832" i="1"/>
  <c r="CD832" i="1"/>
  <c r="CD493" i="1"/>
  <c r="CC493" i="1"/>
  <c r="CE493" i="1"/>
  <c r="CE891" i="1"/>
  <c r="CC891" i="1"/>
  <c r="CD891" i="1"/>
  <c r="CD473" i="1"/>
  <c r="CC473" i="1"/>
  <c r="CE473" i="1"/>
  <c r="CD67" i="1"/>
  <c r="CC67" i="1"/>
  <c r="CE67" i="1"/>
  <c r="CD101" i="1"/>
  <c r="CC101" i="1"/>
  <c r="CE101" i="1"/>
  <c r="CE135" i="1"/>
  <c r="CC135" i="1"/>
  <c r="CD135" i="1"/>
  <c r="CD803" i="1"/>
  <c r="CC803" i="1"/>
  <c r="CE803" i="1"/>
  <c r="CE802" i="1"/>
  <c r="CC802" i="1"/>
  <c r="CD802" i="1"/>
  <c r="CE55" i="1"/>
  <c r="CC55" i="1"/>
  <c r="CD55" i="1"/>
  <c r="CE937" i="1"/>
  <c r="CC937" i="1"/>
  <c r="CD937" i="1"/>
  <c r="CD337" i="1"/>
  <c r="CC337" i="1"/>
  <c r="CE337" i="1"/>
  <c r="CE165" i="1"/>
  <c r="CC165" i="1"/>
  <c r="CD165" i="1"/>
  <c r="CD291" i="1"/>
  <c r="CC291" i="1"/>
  <c r="CE291" i="1"/>
  <c r="CD62" i="1"/>
  <c r="CC62" i="1"/>
  <c r="CE62" i="1"/>
  <c r="CE78" i="1"/>
  <c r="CC78" i="1"/>
  <c r="CD78" i="1"/>
  <c r="CE371" i="1"/>
  <c r="CC371" i="1"/>
  <c r="CD371" i="1"/>
  <c r="CD825" i="1"/>
  <c r="CC825" i="1"/>
  <c r="CE825" i="1"/>
  <c r="CE144" i="1"/>
  <c r="CC144" i="1"/>
  <c r="CD144" i="1"/>
  <c r="CE202" i="1"/>
  <c r="CC202" i="1"/>
  <c r="CD202" i="1"/>
  <c r="CE153" i="1"/>
  <c r="CC153" i="1"/>
  <c r="CD153" i="1"/>
  <c r="CD107" i="1"/>
  <c r="CC107" i="1"/>
  <c r="CE107" i="1"/>
  <c r="CE564" i="1"/>
  <c r="CC564" i="1"/>
  <c r="CD564" i="1"/>
  <c r="CD413" i="1"/>
  <c r="CC413" i="1"/>
  <c r="CE413" i="1"/>
  <c r="CD203" i="1"/>
  <c r="CC203" i="1"/>
  <c r="CE203" i="1"/>
  <c r="CE352" i="1"/>
  <c r="CC352" i="1"/>
  <c r="CD352" i="1"/>
  <c r="CD742" i="1"/>
  <c r="CC742" i="1"/>
  <c r="CE742" i="1"/>
  <c r="CD388" i="1"/>
  <c r="CC388" i="1"/>
  <c r="CE388" i="1"/>
  <c r="CE885" i="1"/>
  <c r="CC885" i="1"/>
  <c r="CD885" i="1"/>
  <c r="CD218" i="1"/>
  <c r="CC218" i="1"/>
  <c r="CE218" i="1"/>
  <c r="CE786" i="1"/>
  <c r="CC786" i="1"/>
  <c r="CD786" i="1"/>
  <c r="CD594" i="1"/>
  <c r="CC594" i="1"/>
  <c r="CE594" i="1"/>
  <c r="CE344" i="1"/>
  <c r="CC344" i="1"/>
  <c r="CD344" i="1"/>
  <c r="CD197" i="1"/>
  <c r="CC197" i="1"/>
  <c r="CE197" i="1"/>
  <c r="CD120" i="1"/>
  <c r="CC120" i="1"/>
  <c r="CE120" i="1"/>
  <c r="CD781" i="1"/>
  <c r="CC781" i="1"/>
  <c r="CE781" i="1"/>
  <c r="CD884" i="1"/>
  <c r="CC884" i="1"/>
  <c r="CE884" i="1"/>
  <c r="CE362" i="1"/>
  <c r="CC362" i="1"/>
  <c r="CD362" i="1"/>
  <c r="CE433" i="1"/>
  <c r="CC433" i="1"/>
  <c r="CD433" i="1"/>
  <c r="CE297" i="1"/>
  <c r="CC297" i="1"/>
  <c r="CD297" i="1"/>
  <c r="CD223" i="1"/>
  <c r="CC223" i="1"/>
  <c r="CE223" i="1"/>
  <c r="CE367" i="1"/>
  <c r="CC367" i="1"/>
  <c r="CD367" i="1"/>
  <c r="CD448" i="1"/>
  <c r="CC448" i="1"/>
  <c r="CE448" i="1"/>
  <c r="CD255" i="1"/>
  <c r="CC255" i="1"/>
  <c r="CE255" i="1"/>
  <c r="CD480" i="1"/>
  <c r="CC480" i="1"/>
  <c r="CE480" i="1"/>
  <c r="CD414" i="1"/>
  <c r="CC414" i="1"/>
  <c r="CE414" i="1"/>
  <c r="CE380" i="1"/>
  <c r="CC380" i="1"/>
  <c r="CD380" i="1"/>
  <c r="CD958" i="1"/>
  <c r="CC958" i="1"/>
  <c r="CE958" i="1"/>
  <c r="CE190" i="1"/>
  <c r="CC190" i="1"/>
  <c r="CD190" i="1"/>
  <c r="CE437" i="1"/>
  <c r="CC437" i="1"/>
  <c r="CD437" i="1"/>
  <c r="CE136" i="1"/>
  <c r="CC136" i="1"/>
  <c r="CD136" i="1"/>
  <c r="CE865" i="1"/>
  <c r="CC865" i="1"/>
  <c r="CD865" i="1"/>
  <c r="CD482" i="1"/>
  <c r="CC482" i="1"/>
  <c r="CE482" i="1"/>
  <c r="CE483" i="1"/>
  <c r="CC483" i="1"/>
  <c r="CD483" i="1"/>
  <c r="CD760" i="1"/>
  <c r="CC760" i="1"/>
  <c r="CE760" i="1"/>
  <c r="CD881" i="1"/>
  <c r="CC881" i="1"/>
  <c r="CE881" i="1"/>
  <c r="CD239" i="1"/>
  <c r="CC239" i="1"/>
  <c r="CE239" i="1"/>
  <c r="CE773" i="1"/>
  <c r="CC773" i="1"/>
  <c r="CD773" i="1"/>
  <c r="CE342" i="1"/>
  <c r="CC342" i="1"/>
  <c r="CD342" i="1"/>
  <c r="CE148" i="1"/>
  <c r="CC148" i="1"/>
  <c r="CD148" i="1"/>
  <c r="CD49" i="1"/>
  <c r="CC49" i="1"/>
  <c r="CE49" i="1"/>
  <c r="CE61" i="1"/>
  <c r="CC61" i="1"/>
  <c r="CD61" i="1"/>
  <c r="CD404" i="1"/>
  <c r="CC404" i="1"/>
  <c r="CE404" i="1"/>
  <c r="CE871" i="1"/>
  <c r="CC871" i="1"/>
  <c r="CD871" i="1"/>
  <c r="CD26" i="1"/>
  <c r="CC26" i="1"/>
  <c r="CE26" i="1"/>
  <c r="CD790" i="1"/>
  <c r="CC790" i="1"/>
  <c r="CE790" i="1"/>
  <c r="CE750" i="1"/>
  <c r="CC750" i="1"/>
  <c r="CD750" i="1"/>
  <c r="CD829" i="1"/>
  <c r="CC829" i="1"/>
  <c r="CE829" i="1"/>
  <c r="CE845" i="1"/>
  <c r="CC845" i="1"/>
  <c r="CD845" i="1"/>
  <c r="CE874" i="1"/>
  <c r="CC874" i="1"/>
  <c r="CD874" i="1"/>
  <c r="CE387" i="1"/>
  <c r="CC387" i="1"/>
  <c r="CD387" i="1"/>
  <c r="CE911" i="1"/>
  <c r="CC911" i="1"/>
  <c r="CD911" i="1"/>
  <c r="CD53" i="1"/>
  <c r="CC53" i="1"/>
  <c r="CE53" i="1"/>
  <c r="CD416" i="1"/>
  <c r="CC416" i="1"/>
  <c r="CE416" i="1"/>
  <c r="CE796" i="1"/>
  <c r="CC796" i="1"/>
  <c r="CD796" i="1"/>
  <c r="CD152" i="1"/>
  <c r="CC152" i="1"/>
  <c r="CE152" i="1"/>
  <c r="CE424" i="1"/>
  <c r="CC424" i="1"/>
  <c r="CD424" i="1"/>
  <c r="CE739" i="1"/>
  <c r="CC739" i="1"/>
  <c r="CD739" i="1"/>
  <c r="CD731" i="1"/>
  <c r="CC731" i="1"/>
  <c r="CE731" i="1"/>
  <c r="CD273" i="1"/>
  <c r="CC273" i="1"/>
  <c r="CE273" i="1"/>
  <c r="CD58" i="1"/>
  <c r="CC58" i="1"/>
  <c r="CE58" i="1"/>
  <c r="CD546" i="1"/>
  <c r="CC546" i="1"/>
  <c r="CE546" i="1"/>
  <c r="CE756" i="1"/>
  <c r="CC756" i="1"/>
  <c r="CD756" i="1"/>
  <c r="CD663" i="1"/>
  <c r="CC663" i="1"/>
  <c r="CE663" i="1"/>
  <c r="CD737" i="1"/>
  <c r="CC737" i="1"/>
  <c r="CE737" i="1"/>
  <c r="CE245" i="1"/>
  <c r="CC245" i="1"/>
  <c r="CD245" i="1"/>
  <c r="CE772" i="1"/>
  <c r="CC772" i="1"/>
  <c r="CD772" i="1"/>
  <c r="CE623" i="1"/>
  <c r="CC623" i="1"/>
  <c r="CD623" i="1"/>
  <c r="CD799" i="1"/>
  <c r="CC799" i="1"/>
  <c r="CE799" i="1"/>
  <c r="CE186" i="1"/>
  <c r="CC186" i="1"/>
  <c r="CD186" i="1"/>
  <c r="CE426" i="1"/>
  <c r="CC426" i="1"/>
  <c r="CD426" i="1"/>
  <c r="CD543" i="1"/>
  <c r="CC543" i="1"/>
  <c r="CE543" i="1"/>
  <c r="CD813" i="1"/>
  <c r="CC813" i="1"/>
  <c r="CE813" i="1"/>
  <c r="CD27" i="1"/>
  <c r="CC27" i="1"/>
  <c r="CE27" i="1"/>
  <c r="CE173" i="1"/>
  <c r="CC173" i="1"/>
  <c r="CD173" i="1"/>
  <c r="CE150" i="1"/>
  <c r="CC150" i="1"/>
  <c r="CD150" i="1"/>
  <c r="CE205" i="1"/>
  <c r="CC205" i="1"/>
  <c r="CD205" i="1"/>
  <c r="CE405" i="1"/>
  <c r="CC405" i="1"/>
  <c r="CD405" i="1"/>
  <c r="CD389" i="1"/>
  <c r="CC389" i="1"/>
  <c r="CE389" i="1"/>
  <c r="CE196" i="1"/>
  <c r="CC196" i="1"/>
  <c r="CD196" i="1"/>
  <c r="CD348" i="1"/>
  <c r="CC348" i="1"/>
  <c r="CE348" i="1"/>
  <c r="CE221" i="1"/>
  <c r="CC221" i="1"/>
  <c r="CD221" i="1"/>
  <c r="CD220" i="1"/>
  <c r="CC220" i="1"/>
  <c r="CE220" i="1"/>
  <c r="CE866" i="1"/>
  <c r="CC866" i="1"/>
  <c r="CD866" i="1"/>
  <c r="CD206" i="1"/>
  <c r="CC206" i="1"/>
  <c r="CE206" i="1"/>
  <c r="CE588" i="1"/>
  <c r="CC588" i="1"/>
  <c r="CD588" i="1"/>
  <c r="CD534" i="1"/>
  <c r="CC534" i="1"/>
  <c r="CE534" i="1"/>
  <c r="CE499" i="1"/>
  <c r="CC499" i="1"/>
  <c r="CD499" i="1"/>
  <c r="CE873" i="1"/>
  <c r="CC873" i="1"/>
  <c r="CD873" i="1"/>
  <c r="CD562" i="1"/>
  <c r="CC562" i="1"/>
  <c r="CE562" i="1"/>
  <c r="CD788" i="1"/>
  <c r="CC788" i="1"/>
  <c r="CE788" i="1"/>
  <c r="CD41" i="1"/>
  <c r="CC41" i="1"/>
  <c r="CE41" i="1"/>
  <c r="CD590" i="1"/>
  <c r="CC590" i="1"/>
  <c r="CE590" i="1"/>
  <c r="CD209" i="1"/>
  <c r="CC209" i="1"/>
  <c r="CE209" i="1"/>
  <c r="CE155" i="1"/>
  <c r="CC155" i="1"/>
  <c r="CD155" i="1"/>
  <c r="CE24" i="1"/>
  <c r="CC24" i="1"/>
  <c r="CD24" i="1"/>
  <c r="CE908" i="1"/>
  <c r="CC908" i="1"/>
  <c r="CD908" i="1"/>
  <c r="CE684" i="1"/>
  <c r="CC684" i="1"/>
  <c r="CD684" i="1"/>
  <c r="CE551" i="1"/>
  <c r="CC551" i="1"/>
  <c r="CD551" i="1"/>
  <c r="CE365" i="1"/>
  <c r="CC365" i="1"/>
  <c r="CD365" i="1"/>
  <c r="CE919" i="1"/>
  <c r="CC919" i="1"/>
  <c r="CD919" i="1"/>
  <c r="CD765" i="1"/>
  <c r="CC765" i="1"/>
  <c r="CE765" i="1"/>
  <c r="CD746" i="1"/>
  <c r="CC746" i="1"/>
  <c r="CE746" i="1"/>
  <c r="CE867" i="1"/>
  <c r="CC867" i="1"/>
  <c r="CD867" i="1"/>
  <c r="CD207" i="1"/>
  <c r="CC207" i="1"/>
  <c r="CE207" i="1"/>
  <c r="CD244" i="1"/>
  <c r="CC244" i="1"/>
  <c r="CE244" i="1"/>
  <c r="CE394" i="1"/>
  <c r="CC394" i="1"/>
  <c r="CD394" i="1"/>
  <c r="CD932" i="1"/>
  <c r="CC932" i="1"/>
  <c r="CE932" i="1"/>
  <c r="CD960" i="1"/>
  <c r="CC960" i="1"/>
  <c r="CE960" i="1"/>
  <c r="CE296" i="1"/>
  <c r="CC296" i="1"/>
  <c r="CD296" i="1"/>
  <c r="BI33" i="1"/>
  <c r="BH33" i="1"/>
  <c r="BJ33" i="1"/>
  <c r="CD563" i="1"/>
  <c r="CC563" i="1"/>
  <c r="CE563" i="1"/>
  <c r="CE298" i="1"/>
  <c r="CC298" i="1"/>
  <c r="CD298" i="1"/>
  <c r="CD670" i="1"/>
  <c r="CC670" i="1"/>
  <c r="CE670" i="1"/>
  <c r="CD311" i="1"/>
  <c r="CC311" i="1"/>
  <c r="CE311" i="1"/>
  <c r="CD618" i="1"/>
  <c r="CC618" i="1"/>
  <c r="CE618" i="1"/>
  <c r="CD452" i="1"/>
  <c r="CC452" i="1"/>
  <c r="CE452" i="1"/>
  <c r="CD266" i="1"/>
  <c r="CC266" i="1"/>
  <c r="CE266" i="1"/>
  <c r="CE922" i="1"/>
  <c r="CC922" i="1"/>
  <c r="CD922" i="1"/>
  <c r="CE521" i="1"/>
  <c r="CC521" i="1"/>
  <c r="CD521" i="1"/>
  <c r="CE983" i="1"/>
  <c r="CC983" i="1"/>
  <c r="CD983" i="1"/>
  <c r="CD648" i="1"/>
  <c r="CC648" i="1"/>
  <c r="CE648" i="1"/>
  <c r="CD572" i="1"/>
  <c r="CC572" i="1"/>
  <c r="CE572" i="1"/>
  <c r="CE222" i="1"/>
  <c r="CC222" i="1"/>
  <c r="CD222" i="1"/>
  <c r="CD474" i="1"/>
  <c r="CC474" i="1"/>
  <c r="CE474" i="1"/>
  <c r="CD116" i="1"/>
  <c r="CC116" i="1"/>
  <c r="CE116" i="1"/>
  <c r="CD950" i="1"/>
  <c r="CC950" i="1"/>
  <c r="CE950" i="1"/>
  <c r="CD30" i="1"/>
  <c r="CC30" i="1"/>
  <c r="CE30" i="1"/>
  <c r="CD76" i="1"/>
  <c r="CC76" i="1"/>
  <c r="CE76" i="1"/>
  <c r="CE527" i="1"/>
  <c r="CC527" i="1"/>
  <c r="CD527" i="1"/>
  <c r="CD674" i="1"/>
  <c r="CC674" i="1"/>
  <c r="CE674" i="1"/>
  <c r="CD872" i="1"/>
  <c r="CC872" i="1"/>
  <c r="CE872" i="1"/>
  <c r="CE382" i="1"/>
  <c r="CC382" i="1"/>
  <c r="CD382" i="1"/>
  <c r="CD127" i="1"/>
  <c r="CC127" i="1"/>
  <c r="CE127" i="1"/>
  <c r="CD970" i="1"/>
  <c r="CC970" i="1"/>
  <c r="CE970" i="1"/>
  <c r="CD935" i="1"/>
  <c r="CC935" i="1"/>
  <c r="CE935" i="1"/>
  <c r="CE814" i="1"/>
  <c r="CC814" i="1"/>
  <c r="CD814" i="1"/>
  <c r="CD712" i="1"/>
  <c r="CC712" i="1"/>
  <c r="CE712" i="1"/>
  <c r="CD614" i="1"/>
  <c r="CC614" i="1"/>
  <c r="CE614" i="1"/>
  <c r="CD880" i="1"/>
  <c r="CC880" i="1"/>
  <c r="CE880" i="1"/>
  <c r="CD201" i="1"/>
  <c r="CC201" i="1"/>
  <c r="CE201" i="1"/>
  <c r="CE839" i="1"/>
  <c r="CC839" i="1"/>
  <c r="CD839" i="1"/>
  <c r="CD627" i="1"/>
  <c r="CC627" i="1"/>
  <c r="CE627" i="1"/>
  <c r="CE21" i="1"/>
  <c r="CC21" i="1"/>
  <c r="CD21" i="1"/>
  <c r="CE938" i="1"/>
  <c r="CC938" i="1"/>
  <c r="CD938" i="1"/>
  <c r="CE636" i="1"/>
  <c r="CC636" i="1"/>
  <c r="CD636" i="1"/>
  <c r="CD579" i="1"/>
  <c r="CC579" i="1"/>
  <c r="CE579" i="1"/>
  <c r="CD427" i="1"/>
  <c r="CC427" i="1"/>
  <c r="CE427" i="1"/>
  <c r="CE528" i="1"/>
  <c r="CC528" i="1"/>
  <c r="CD528" i="1"/>
  <c r="CD553" i="1"/>
  <c r="CC553" i="1"/>
  <c r="CE553" i="1"/>
  <c r="CD764" i="1"/>
  <c r="CC764" i="1"/>
  <c r="CE764" i="1"/>
  <c r="CE515" i="1"/>
  <c r="CC515" i="1"/>
  <c r="CD515" i="1"/>
  <c r="CE71" i="1"/>
  <c r="CC71" i="1"/>
  <c r="CD71" i="1"/>
  <c r="CE676" i="1"/>
  <c r="CC676" i="1"/>
  <c r="CD676" i="1"/>
  <c r="CE630" i="1"/>
  <c r="CC630" i="1"/>
  <c r="CD630" i="1"/>
  <c r="CE785" i="1"/>
  <c r="CC785" i="1"/>
  <c r="CD785" i="1"/>
  <c r="CE37" i="1"/>
  <c r="CC37" i="1"/>
  <c r="CD37" i="1"/>
  <c r="CD853" i="1"/>
  <c r="CC853" i="1"/>
  <c r="CE853" i="1"/>
  <c r="CD487" i="1"/>
  <c r="CC487" i="1"/>
  <c r="CE487" i="1"/>
  <c r="CD862" i="1"/>
  <c r="CC862" i="1"/>
  <c r="CE862" i="1"/>
  <c r="CE111" i="1"/>
  <c r="CC111" i="1"/>
  <c r="CD111" i="1"/>
  <c r="CD469" i="1"/>
  <c r="CC469" i="1"/>
  <c r="CE469" i="1"/>
  <c r="CD573" i="1"/>
  <c r="CC573" i="1"/>
  <c r="CE573" i="1"/>
  <c r="CD612" i="1"/>
  <c r="CC612" i="1"/>
  <c r="CE612" i="1"/>
  <c r="CD619" i="1"/>
  <c r="CC619" i="1"/>
  <c r="CE619" i="1"/>
  <c r="CE274" i="1"/>
  <c r="CC274" i="1"/>
  <c r="CD274" i="1"/>
  <c r="CE6" i="1"/>
  <c r="CC6" i="1"/>
  <c r="CD6" i="1"/>
  <c r="CE280" i="1"/>
  <c r="CC280" i="1"/>
  <c r="CD280" i="1"/>
  <c r="CD691" i="1"/>
  <c r="CC691" i="1"/>
  <c r="CE691" i="1"/>
  <c r="CE378" i="1"/>
  <c r="CC378" i="1"/>
  <c r="CD378" i="1"/>
  <c r="CD77" i="1"/>
  <c r="CC77" i="1"/>
  <c r="CE77" i="1"/>
  <c r="CE591" i="1"/>
  <c r="CC591" i="1"/>
  <c r="CD591" i="1"/>
  <c r="CE621" i="1"/>
  <c r="CC621" i="1"/>
  <c r="CD621" i="1"/>
  <c r="CE719" i="1"/>
  <c r="CC719" i="1"/>
  <c r="CD719" i="1"/>
  <c r="CD351" i="1"/>
  <c r="CC351" i="1"/>
  <c r="CE351" i="1"/>
  <c r="CE90" i="1"/>
  <c r="CC90" i="1"/>
  <c r="CD90" i="1"/>
  <c r="CE828" i="1"/>
  <c r="CC828" i="1"/>
  <c r="CD828" i="1"/>
  <c r="CE554" i="1"/>
  <c r="CC554" i="1"/>
  <c r="CD554" i="1"/>
  <c r="CE347" i="1"/>
  <c r="CC347" i="1"/>
  <c r="CD347" i="1"/>
  <c r="CE733" i="1"/>
  <c r="CC733" i="1"/>
  <c r="CD733" i="1"/>
  <c r="CE589" i="1"/>
  <c r="CC589" i="1"/>
  <c r="CD589" i="1"/>
  <c r="CE134" i="1"/>
  <c r="CC134" i="1"/>
  <c r="CD134" i="1"/>
  <c r="CE453" i="1"/>
  <c r="CC453" i="1"/>
  <c r="CD453" i="1"/>
  <c r="CE784" i="1"/>
  <c r="CC784" i="1"/>
  <c r="CD784" i="1"/>
  <c r="CE431" i="1"/>
  <c r="CC431" i="1"/>
  <c r="CD431" i="1"/>
  <c r="CD390" i="1"/>
  <c r="CC390" i="1"/>
  <c r="CE390" i="1"/>
  <c r="CD366" i="1"/>
  <c r="CC366" i="1"/>
  <c r="CE366" i="1"/>
  <c r="CD445" i="1"/>
  <c r="CC445" i="1"/>
  <c r="CE445" i="1"/>
  <c r="CE492" i="1"/>
  <c r="CC492" i="1"/>
  <c r="CD492" i="1"/>
  <c r="CE600" i="1"/>
  <c r="CC600" i="1"/>
  <c r="CD600" i="1"/>
  <c r="CD532" i="1"/>
  <c r="CC532" i="1"/>
  <c r="CE532" i="1"/>
  <c r="CE963" i="1"/>
  <c r="CC963" i="1"/>
  <c r="CD963" i="1"/>
  <c r="CD490" i="1"/>
  <c r="CC490" i="1"/>
  <c r="CE490" i="1"/>
  <c r="CE706" i="1"/>
  <c r="CC706" i="1"/>
  <c r="CD706" i="1"/>
  <c r="CD457" i="1"/>
  <c r="CC457" i="1"/>
  <c r="CE457" i="1"/>
  <c r="CD409" i="1"/>
  <c r="CC409" i="1"/>
  <c r="CE409" i="1"/>
  <c r="CD272" i="1"/>
  <c r="CC272" i="1"/>
  <c r="CE272" i="1"/>
  <c r="CD597" i="1"/>
  <c r="CC597" i="1"/>
  <c r="CE597" i="1"/>
  <c r="CD611" i="1"/>
  <c r="CC611" i="1"/>
  <c r="CE611" i="1"/>
  <c r="CD718" i="1"/>
  <c r="CC718" i="1"/>
  <c r="CE718" i="1"/>
  <c r="CE530" i="1"/>
  <c r="CC530" i="1"/>
  <c r="CD530" i="1"/>
  <c r="CE450" i="1"/>
  <c r="CC450" i="1"/>
  <c r="CD450" i="1"/>
  <c r="CE631" i="1"/>
  <c r="CC631" i="1"/>
  <c r="CD631" i="1"/>
  <c r="CD548" i="1"/>
  <c r="CC548" i="1"/>
  <c r="CE548" i="1"/>
  <c r="CD664" i="1"/>
  <c r="CC664" i="1"/>
  <c r="CE664" i="1"/>
  <c r="CD181" i="1"/>
  <c r="CC181" i="1"/>
  <c r="CE181" i="1"/>
  <c r="CE468" i="1"/>
  <c r="CC468" i="1"/>
  <c r="CD468" i="1"/>
  <c r="CE929" i="1"/>
  <c r="CC929" i="1"/>
  <c r="CD929" i="1"/>
  <c r="CD819" i="1"/>
  <c r="CC819" i="1"/>
  <c r="CE819" i="1"/>
  <c r="CE31" i="1"/>
  <c r="CC31" i="1"/>
  <c r="CD31" i="1"/>
  <c r="CD523" i="1"/>
  <c r="CC523" i="1"/>
  <c r="CE523" i="1"/>
  <c r="CD977" i="1"/>
  <c r="CC977" i="1"/>
  <c r="CE977" i="1"/>
  <c r="CD308" i="1"/>
  <c r="CC308" i="1"/>
  <c r="CE308" i="1"/>
  <c r="CE359" i="1"/>
  <c r="CC359" i="1"/>
  <c r="CD359" i="1"/>
  <c r="CD79" i="1"/>
  <c r="CC79" i="1"/>
  <c r="CE79" i="1"/>
  <c r="CD109" i="1"/>
  <c r="CC109" i="1"/>
  <c r="CE109" i="1"/>
  <c r="CD504" i="1"/>
  <c r="CC504" i="1"/>
  <c r="CE504" i="1"/>
  <c r="CD50" i="1"/>
  <c r="CC50" i="1"/>
  <c r="CE50" i="1"/>
  <c r="CD40" i="1"/>
  <c r="CC40" i="1"/>
  <c r="CE40" i="1"/>
  <c r="CD302" i="1"/>
  <c r="CC302" i="1"/>
  <c r="CE302" i="1"/>
  <c r="CD624" i="1"/>
  <c r="CC624" i="1"/>
  <c r="CE624" i="1"/>
  <c r="CE587" i="1"/>
  <c r="CC587" i="1"/>
  <c r="CD587" i="1"/>
  <c r="CE246" i="1"/>
  <c r="CC246" i="1"/>
  <c r="CD246" i="1"/>
  <c r="CE278" i="1"/>
  <c r="CC278" i="1"/>
  <c r="CD278" i="1"/>
  <c r="CE286" i="1"/>
  <c r="CC286" i="1"/>
  <c r="CD286" i="1"/>
  <c r="CD247" i="1"/>
  <c r="CC247" i="1"/>
  <c r="CE247" i="1"/>
  <c r="CD522" i="1"/>
  <c r="CC522" i="1"/>
  <c r="CE522" i="1"/>
  <c r="CD804" i="1"/>
  <c r="CC804" i="1"/>
  <c r="CE804" i="1"/>
  <c r="CE666" i="1"/>
  <c r="CC666" i="1"/>
  <c r="CD666" i="1"/>
  <c r="CE776" i="1"/>
  <c r="CC776" i="1"/>
  <c r="CD776" i="1"/>
  <c r="CE406" i="1"/>
  <c r="CC406" i="1"/>
  <c r="CD406" i="1"/>
  <c r="CD72" i="1"/>
  <c r="CC72" i="1"/>
  <c r="CE72" i="1"/>
  <c r="CD592" i="1"/>
  <c r="CC592" i="1"/>
  <c r="CE592" i="1"/>
  <c r="CE982" i="1"/>
  <c r="CC982" i="1"/>
  <c r="CD982" i="1"/>
  <c r="CD303" i="1"/>
  <c r="CC303" i="1"/>
  <c r="CE303" i="1"/>
  <c r="CD102" i="1"/>
  <c r="CC102" i="1"/>
  <c r="CE102" i="1"/>
  <c r="CE649" i="1"/>
  <c r="CC649" i="1"/>
  <c r="CD649" i="1"/>
  <c r="CE708" i="1"/>
  <c r="CC708" i="1"/>
  <c r="CD708" i="1"/>
  <c r="CE637" i="1"/>
  <c r="CC637" i="1"/>
  <c r="CD637" i="1"/>
  <c r="CE593" i="1"/>
  <c r="CC593" i="1"/>
  <c r="CD593" i="1"/>
  <c r="CD957" i="1"/>
  <c r="CC957" i="1"/>
  <c r="CE957" i="1"/>
  <c r="CE146" i="1"/>
  <c r="CC146" i="1"/>
  <c r="CD146" i="1"/>
  <c r="CD9" i="1"/>
  <c r="CC9" i="1"/>
  <c r="CE9" i="1"/>
  <c r="CD578" i="1"/>
  <c r="CC578" i="1"/>
  <c r="CE578" i="1"/>
  <c r="CD454" i="1"/>
  <c r="CC454" i="1"/>
  <c r="CE454" i="1"/>
  <c r="CD233" i="1"/>
  <c r="CC233" i="1"/>
  <c r="CE233" i="1"/>
  <c r="CD685" i="1"/>
  <c r="CC685" i="1"/>
  <c r="CE685" i="1"/>
  <c r="CE986" i="1"/>
  <c r="CC986" i="1"/>
  <c r="CD986" i="1"/>
  <c r="CD580" i="1"/>
  <c r="CC580" i="1"/>
  <c r="CE580" i="1"/>
  <c r="CE662" i="1"/>
  <c r="CC662" i="1"/>
  <c r="CD662" i="1"/>
  <c r="CD877" i="1"/>
  <c r="CC877" i="1"/>
  <c r="CE877" i="1"/>
  <c r="CE571" i="1"/>
  <c r="CC571" i="1"/>
  <c r="CD571" i="1"/>
  <c r="CD462" i="1"/>
  <c r="CC462" i="1"/>
  <c r="CE462" i="1"/>
  <c r="CD858" i="1"/>
  <c r="CC858" i="1"/>
  <c r="CE858" i="1"/>
  <c r="CE322" i="1"/>
  <c r="CC322" i="1"/>
  <c r="CD322" i="1"/>
  <c r="CD22" i="1"/>
  <c r="CC22" i="1"/>
  <c r="CE22" i="1"/>
  <c r="CE879" i="1"/>
  <c r="CC879" i="1"/>
  <c r="CD879" i="1"/>
  <c r="CD410" i="1"/>
  <c r="CC410" i="1"/>
  <c r="CE410" i="1"/>
  <c r="CE782" i="1"/>
  <c r="CC782" i="1"/>
  <c r="CD782" i="1"/>
  <c r="CD161" i="1"/>
  <c r="CC161" i="1"/>
  <c r="CE161" i="1"/>
  <c r="CE13" i="1"/>
  <c r="CC13" i="1"/>
  <c r="CD13" i="1"/>
  <c r="CE97" i="1"/>
  <c r="CC97" i="1"/>
  <c r="CD97" i="1"/>
  <c r="CD732" i="1"/>
  <c r="CC732" i="1"/>
  <c r="CE732" i="1"/>
  <c r="CE411" i="1"/>
  <c r="CC411" i="1"/>
  <c r="CD411" i="1"/>
  <c r="CD575" i="1"/>
  <c r="CC575" i="1"/>
  <c r="CE575" i="1"/>
  <c r="CD384" i="1"/>
  <c r="CC384" i="1"/>
  <c r="CE384" i="1"/>
  <c r="CE392" i="1"/>
  <c r="CC392" i="1"/>
  <c r="CD392" i="1"/>
  <c r="CE710" i="1"/>
  <c r="CC710" i="1"/>
  <c r="CD710" i="1"/>
  <c r="CD228" i="1"/>
  <c r="CC228" i="1"/>
  <c r="CE228" i="1"/>
  <c r="CD536" i="1"/>
  <c r="CC536" i="1"/>
  <c r="CE536" i="1"/>
  <c r="CD559" i="1"/>
  <c r="CC559" i="1"/>
  <c r="CE559" i="1"/>
  <c r="CE357" i="1"/>
  <c r="CC357" i="1"/>
  <c r="CD357" i="1"/>
  <c r="CE743" i="1"/>
  <c r="CC743" i="1"/>
  <c r="CD743" i="1"/>
  <c r="CE526" i="1"/>
  <c r="CC526" i="1"/>
  <c r="CD526" i="1"/>
  <c r="CD791" i="1"/>
  <c r="CC791" i="1"/>
  <c r="CE791" i="1"/>
  <c r="CE771" i="1"/>
  <c r="CC771" i="1"/>
  <c r="CD771" i="1"/>
  <c r="CD886" i="1"/>
  <c r="CC886" i="1"/>
  <c r="CE886" i="1"/>
  <c r="CE157" i="1"/>
  <c r="CC157" i="1"/>
  <c r="CD157" i="1"/>
  <c r="CD122" i="1"/>
  <c r="CC122" i="1"/>
  <c r="CE122" i="1"/>
  <c r="CD295" i="1"/>
  <c r="CC295" i="1"/>
  <c r="CE295" i="1"/>
  <c r="CE149" i="1"/>
  <c r="CC149" i="1"/>
  <c r="CD149" i="1"/>
  <c r="CD539" i="1"/>
  <c r="CC539" i="1"/>
  <c r="CE539" i="1"/>
  <c r="CE568" i="1"/>
  <c r="CC568" i="1"/>
  <c r="CD568" i="1"/>
  <c r="CE694" i="1"/>
  <c r="CC694" i="1"/>
  <c r="CD694" i="1"/>
  <c r="CE358" i="1"/>
  <c r="CC358" i="1"/>
  <c r="CD358" i="1"/>
  <c r="CE407" i="1"/>
  <c r="CC407" i="1"/>
  <c r="CD407" i="1"/>
  <c r="CE479" i="1"/>
  <c r="CC479" i="1"/>
  <c r="CD479" i="1"/>
  <c r="CE969" i="1"/>
  <c r="CC969" i="1"/>
  <c r="CD969" i="1"/>
  <c r="CE533" i="1"/>
  <c r="CC533" i="1"/>
  <c r="CD533" i="1"/>
  <c r="CD761" i="1"/>
  <c r="CC761" i="1"/>
  <c r="CE761" i="1"/>
  <c r="CD921" i="1"/>
  <c r="CC921" i="1"/>
  <c r="CE921" i="1"/>
  <c r="CE309" i="1"/>
  <c r="CC309" i="1"/>
  <c r="CD309" i="1"/>
  <c r="CE603" i="1"/>
  <c r="CC603" i="1"/>
  <c r="CD603" i="1"/>
  <c r="CD214" i="1"/>
  <c r="CC214" i="1"/>
  <c r="CE214" i="1"/>
  <c r="CD985" i="1"/>
  <c r="CC985" i="1"/>
  <c r="CE985" i="1"/>
  <c r="CD44" i="1"/>
  <c r="CC44" i="1"/>
  <c r="CE44" i="1"/>
  <c r="CE833" i="1"/>
  <c r="CC833" i="1"/>
  <c r="CD833" i="1"/>
  <c r="CD466" i="1"/>
  <c r="CC466" i="1"/>
  <c r="CE466" i="1"/>
  <c r="CE615" i="1"/>
  <c r="CC615" i="1"/>
  <c r="CD615" i="1"/>
  <c r="CD690" i="1"/>
  <c r="CC690" i="1"/>
  <c r="CE690" i="1"/>
  <c r="CD749" i="1"/>
  <c r="CC749" i="1"/>
  <c r="CE749" i="1"/>
  <c r="CE230" i="1"/>
  <c r="CC230" i="1"/>
  <c r="CD230" i="1"/>
  <c r="CD131" i="1"/>
  <c r="CC131" i="1"/>
  <c r="CE131" i="1"/>
  <c r="CD340" i="1"/>
  <c r="CC340" i="1"/>
  <c r="CE340" i="1"/>
  <c r="CE837" i="1"/>
  <c r="CC837" i="1"/>
  <c r="CD837" i="1"/>
  <c r="CD628" i="1"/>
  <c r="CC628" i="1"/>
  <c r="CE628" i="1"/>
  <c r="CD376" i="1"/>
  <c r="CC376" i="1"/>
  <c r="CE376" i="1"/>
  <c r="CE657" i="1"/>
  <c r="CC657" i="1"/>
  <c r="CD657" i="1"/>
  <c r="CE160" i="1"/>
  <c r="CC160" i="1"/>
  <c r="CD160" i="1"/>
  <c r="CE85" i="1"/>
  <c r="CC85" i="1"/>
  <c r="CD85" i="1"/>
  <c r="CD974" i="1"/>
  <c r="CC974" i="1"/>
  <c r="CE974" i="1"/>
  <c r="CE654" i="1"/>
  <c r="CC654" i="1"/>
  <c r="CD654" i="1"/>
  <c r="CE987" i="1"/>
  <c r="CC987" i="1"/>
  <c r="CD987" i="1"/>
  <c r="CD271" i="1"/>
  <c r="CC271" i="1"/>
  <c r="CE271" i="1"/>
  <c r="CD988" i="1"/>
  <c r="CC988" i="1"/>
  <c r="CE988" i="1"/>
  <c r="CE556" i="1"/>
  <c r="CC556" i="1"/>
  <c r="CD556" i="1"/>
  <c r="CD805" i="1"/>
  <c r="CC805" i="1"/>
  <c r="CE805" i="1"/>
  <c r="CE229" i="1"/>
  <c r="CC229" i="1"/>
  <c r="CD229" i="1"/>
  <c r="CD686" i="1"/>
  <c r="CC686" i="1"/>
  <c r="CE686" i="1"/>
  <c r="CE821" i="1"/>
  <c r="CC821" i="1"/>
  <c r="CD821" i="1"/>
  <c r="CD269" i="1"/>
  <c r="CC269" i="1"/>
  <c r="CE269" i="1"/>
  <c r="CD956" i="1"/>
  <c r="CC956" i="1"/>
  <c r="CE956" i="1"/>
  <c r="CD933" i="1"/>
  <c r="CC933" i="1"/>
  <c r="CE933" i="1"/>
  <c r="CE277" i="1"/>
  <c r="CC277" i="1"/>
  <c r="CD277" i="1"/>
  <c r="CE137" i="1"/>
  <c r="CC137" i="1"/>
  <c r="CD137" i="1"/>
  <c r="CD688" i="1"/>
  <c r="CC688" i="1"/>
  <c r="CE688" i="1"/>
  <c r="CD402" i="1"/>
  <c r="CC402" i="1"/>
  <c r="CE402" i="1"/>
  <c r="CE140" i="1"/>
  <c r="CC140" i="1"/>
  <c r="CD140" i="1"/>
  <c r="CD906" i="1"/>
  <c r="CC906" i="1"/>
  <c r="CE906" i="1"/>
  <c r="CE391" i="1"/>
  <c r="CC391" i="1"/>
  <c r="CD391" i="1"/>
  <c r="CD667" i="1"/>
  <c r="CC667" i="1"/>
  <c r="CE667" i="1"/>
  <c r="CE778" i="1"/>
  <c r="CC778" i="1"/>
  <c r="CD778" i="1"/>
  <c r="CE538" i="1"/>
  <c r="CC538" i="1"/>
  <c r="CD538" i="1"/>
  <c r="CD420" i="1"/>
  <c r="CC420" i="1"/>
  <c r="CE420" i="1"/>
  <c r="CD513" i="1"/>
  <c r="CC513" i="1"/>
  <c r="CE513" i="1"/>
  <c r="CD730" i="1"/>
  <c r="CC730" i="1"/>
  <c r="CE730" i="1"/>
  <c r="CE840" i="1"/>
  <c r="CC840" i="1"/>
  <c r="CD840" i="1"/>
  <c r="CE835" i="1"/>
  <c r="CC835" i="1"/>
  <c r="CD835" i="1"/>
  <c r="CE734" i="1"/>
  <c r="CC734" i="1"/>
  <c r="CD734" i="1"/>
  <c r="CE893" i="1"/>
  <c r="CC893" i="1"/>
  <c r="CD893" i="1"/>
  <c r="CE321" i="1"/>
  <c r="CC321" i="1"/>
  <c r="CD321" i="1"/>
  <c r="CE396" i="1"/>
  <c r="CC396" i="1"/>
  <c r="CD396" i="1"/>
  <c r="CD98" i="1"/>
  <c r="CC98" i="1"/>
  <c r="CE98" i="1"/>
  <c r="CE529" i="1"/>
  <c r="CC529" i="1"/>
  <c r="CD529" i="1"/>
  <c r="CE121" i="1"/>
  <c r="CC121" i="1"/>
  <c r="CD121" i="1"/>
  <c r="CE660" i="1"/>
  <c r="CC660" i="1"/>
  <c r="CD660" i="1"/>
  <c r="CD910" i="1"/>
  <c r="CC910" i="1"/>
  <c r="CE910" i="1"/>
  <c r="CE23" i="1"/>
  <c r="CC23" i="1"/>
  <c r="CD23" i="1"/>
  <c r="CD163" i="1"/>
  <c r="CC163" i="1"/>
  <c r="CE163" i="1"/>
  <c r="CE843" i="1"/>
  <c r="CC843" i="1"/>
  <c r="CD843" i="1"/>
  <c r="CE439" i="1"/>
  <c r="CC439" i="1"/>
  <c r="CD439" i="1"/>
  <c r="CE168" i="1"/>
  <c r="CC168" i="1"/>
  <c r="CD168" i="1"/>
  <c r="CE323" i="1"/>
  <c r="CC323" i="1"/>
  <c r="CD323" i="1"/>
  <c r="CD162" i="1"/>
  <c r="CC162" i="1"/>
  <c r="CE162" i="1"/>
  <c r="CE385" i="1"/>
  <c r="CC385" i="1"/>
  <c r="CD385" i="1"/>
  <c r="CD953" i="1"/>
  <c r="CC953" i="1"/>
  <c r="CE953" i="1"/>
  <c r="CE766" i="1"/>
  <c r="CC766" i="1"/>
  <c r="CD766" i="1"/>
  <c r="CD65" i="1"/>
  <c r="CC65" i="1"/>
  <c r="CE65" i="1"/>
  <c r="CE238" i="1"/>
  <c r="CC238" i="1"/>
  <c r="CD238" i="1"/>
  <c r="CE125" i="1"/>
  <c r="CC125" i="1"/>
  <c r="CD125" i="1"/>
  <c r="CD936" i="1"/>
  <c r="CC936" i="1"/>
  <c r="CE936" i="1"/>
  <c r="CE489" i="1"/>
  <c r="CC489" i="1"/>
  <c r="CD489" i="1"/>
  <c r="CD35" i="1"/>
  <c r="CC35" i="1"/>
  <c r="CE35" i="1"/>
  <c r="CE185" i="1"/>
  <c r="CC185" i="1"/>
  <c r="CD185" i="1"/>
  <c r="CD669" i="1"/>
  <c r="CC669" i="1"/>
  <c r="CE669" i="1"/>
  <c r="CD924" i="1"/>
  <c r="CC924" i="1"/>
  <c r="CE924" i="1"/>
  <c r="CD975" i="1"/>
  <c r="CC975" i="1"/>
  <c r="CE975" i="1"/>
  <c r="CD64" i="1"/>
  <c r="CC64" i="1"/>
  <c r="CE64" i="1"/>
  <c r="CD59" i="1"/>
  <c r="CC59" i="1"/>
  <c r="CE59" i="1"/>
  <c r="CE314" i="1"/>
  <c r="CC314" i="1"/>
  <c r="CD314" i="1"/>
  <c r="CD861" i="1"/>
  <c r="CC861" i="1"/>
  <c r="CE861" i="1"/>
  <c r="CD941" i="1"/>
  <c r="CC941" i="1"/>
  <c r="CE941" i="1"/>
  <c r="CE243" i="1"/>
  <c r="CC243" i="1"/>
  <c r="CD243" i="1"/>
  <c r="CE375" i="1"/>
  <c r="CC375" i="1"/>
  <c r="CD375" i="1"/>
  <c r="CE180" i="1"/>
  <c r="CC180" i="1"/>
  <c r="CD180" i="1"/>
  <c r="CE949" i="1"/>
  <c r="CC949" i="1"/>
  <c r="CD949" i="1"/>
  <c r="CD724" i="1"/>
  <c r="CC724" i="1"/>
  <c r="CE724" i="1"/>
  <c r="CE984" i="1"/>
  <c r="CC984" i="1"/>
  <c r="CD984" i="1"/>
  <c r="CD478" i="1"/>
  <c r="CC478" i="1"/>
  <c r="CE478" i="1"/>
  <c r="CD848" i="1"/>
  <c r="CC848" i="1"/>
  <c r="CE848" i="1"/>
  <c r="CE931" i="1"/>
  <c r="CC931" i="1"/>
  <c r="CD931" i="1"/>
  <c r="CE440" i="1"/>
  <c r="CC440" i="1"/>
  <c r="CD440" i="1"/>
  <c r="CE179" i="1"/>
  <c r="CC179" i="1"/>
  <c r="CD179" i="1"/>
  <c r="CD570" i="1"/>
  <c r="CC570" i="1"/>
  <c r="CE570" i="1"/>
  <c r="CD354" i="1"/>
  <c r="CC354" i="1"/>
  <c r="CE354" i="1"/>
  <c r="CD878" i="1"/>
  <c r="CC878" i="1"/>
  <c r="CE878" i="1"/>
  <c r="CE795" i="1"/>
  <c r="CC795" i="1"/>
  <c r="CD795" i="1"/>
  <c r="CD665" i="1"/>
  <c r="CC665" i="1"/>
  <c r="CE665" i="1"/>
  <c r="CD175" i="1"/>
  <c r="CC175" i="1"/>
  <c r="CE175" i="1"/>
  <c r="CD292" i="1"/>
  <c r="CC292" i="1"/>
  <c r="CE292" i="1"/>
  <c r="CE549" i="1"/>
  <c r="CC549" i="1"/>
  <c r="CD549" i="1"/>
  <c r="CD847" i="1"/>
  <c r="CC847" i="1"/>
  <c r="CE847" i="1"/>
  <c r="CD856" i="1"/>
  <c r="CC856" i="1"/>
  <c r="CE856" i="1"/>
  <c r="CE299" i="1"/>
  <c r="CC299" i="1"/>
  <c r="CD299" i="1"/>
  <c r="CE980" i="1"/>
  <c r="CC980" i="1"/>
  <c r="CD980" i="1"/>
  <c r="CE235" i="1"/>
  <c r="CC235" i="1"/>
  <c r="CD235" i="1"/>
  <c r="CE959" i="1"/>
  <c r="CC959" i="1"/>
  <c r="CD959" i="1"/>
  <c r="CD257" i="1"/>
  <c r="CC257" i="1"/>
  <c r="CE257" i="1"/>
  <c r="CD126" i="1"/>
  <c r="CC126" i="1"/>
  <c r="CE126" i="1"/>
  <c r="CE495" i="1"/>
  <c r="CC495" i="1"/>
  <c r="CD495" i="1"/>
  <c r="CE130" i="1"/>
  <c r="CC130" i="1"/>
  <c r="CD130" i="1"/>
  <c r="CE368" i="1"/>
  <c r="CC368" i="1"/>
  <c r="CD368" i="1"/>
  <c r="CD659" i="1"/>
  <c r="CC659" i="1"/>
  <c r="CE659" i="1"/>
  <c r="CE639" i="1"/>
  <c r="CC639" i="1"/>
  <c r="CD639" i="1"/>
  <c r="CD962" i="1"/>
  <c r="CC962" i="1"/>
  <c r="CE962" i="1"/>
  <c r="CE525" i="1"/>
  <c r="CC525" i="1"/>
  <c r="CD525" i="1"/>
  <c r="CE159" i="1"/>
  <c r="CC159" i="1"/>
  <c r="CD159" i="1"/>
  <c r="CE826" i="1"/>
  <c r="CC826" i="1"/>
  <c r="CD826" i="1"/>
  <c r="CE518" i="1"/>
  <c r="CC518" i="1"/>
  <c r="CD518" i="1"/>
  <c r="CE609" i="1"/>
  <c r="CC609" i="1"/>
  <c r="CD609" i="1"/>
  <c r="CE263" i="1"/>
  <c r="CC263" i="1"/>
  <c r="CD263" i="1"/>
  <c r="CE651" i="1"/>
  <c r="CC651" i="1"/>
  <c r="CD651" i="1"/>
  <c r="CE699" i="1"/>
  <c r="CC699" i="1"/>
  <c r="CD699" i="1"/>
  <c r="CE870" i="1"/>
  <c r="CC870" i="1"/>
  <c r="CD870" i="1"/>
  <c r="CE918" i="1"/>
  <c r="CC918" i="1"/>
  <c r="CD918" i="1"/>
  <c r="CE306" i="1"/>
  <c r="CC306" i="1"/>
  <c r="CD306" i="1"/>
  <c r="CD713" i="1"/>
  <c r="CC713" i="1"/>
  <c r="CE713" i="1"/>
  <c r="CD625" i="1"/>
  <c r="CC625" i="1"/>
  <c r="CE625" i="1"/>
  <c r="CD288" i="1"/>
  <c r="CC288" i="1"/>
  <c r="CE288" i="1"/>
  <c r="CE254" i="1"/>
  <c r="CC254" i="1"/>
  <c r="CD254" i="1"/>
  <c r="CD968" i="1"/>
  <c r="CC968" i="1"/>
  <c r="CE968" i="1"/>
  <c r="CD629" i="1"/>
  <c r="CC629" i="1"/>
  <c r="CE629" i="1"/>
  <c r="CE634" i="1"/>
  <c r="CC634" i="1"/>
  <c r="CD634" i="1"/>
  <c r="CD39" i="1"/>
  <c r="CC39" i="1"/>
  <c r="CE39" i="1"/>
  <c r="CE99" i="1"/>
  <c r="CC99" i="1"/>
  <c r="CD99" i="1"/>
  <c r="CE496" i="1"/>
  <c r="CC496" i="1"/>
  <c r="CD496" i="1"/>
  <c r="CE762" i="1"/>
  <c r="CC762" i="1"/>
  <c r="CD762" i="1"/>
  <c r="CE139" i="1"/>
  <c r="CC139" i="1"/>
  <c r="CD139" i="1"/>
  <c r="CD481" i="1"/>
  <c r="CC481" i="1"/>
  <c r="CE481" i="1"/>
  <c r="CD374" i="1"/>
  <c r="CC374" i="1"/>
  <c r="CE374" i="1"/>
  <c r="CE757" i="1"/>
  <c r="CC757" i="1"/>
  <c r="CD757" i="1"/>
  <c r="CE156" i="1"/>
  <c r="CC156" i="1"/>
  <c r="CD156" i="1"/>
  <c r="CE715" i="1"/>
  <c r="CC715" i="1"/>
  <c r="CD715" i="1"/>
  <c r="CD16" i="1"/>
  <c r="CC16" i="1"/>
  <c r="CE16" i="1"/>
  <c r="CE316" i="1"/>
  <c r="CC316" i="1"/>
  <c r="CD316" i="1"/>
  <c r="CE443" i="1"/>
  <c r="CC443" i="1"/>
  <c r="CD443" i="1"/>
  <c r="CE69" i="1"/>
  <c r="CC69" i="1"/>
  <c r="CD69" i="1"/>
  <c r="CE491" i="1"/>
  <c r="CC491" i="1"/>
  <c r="CD491" i="1"/>
  <c r="CD11" i="1"/>
  <c r="CC11" i="1"/>
  <c r="CE11" i="1"/>
  <c r="CE326" i="1"/>
  <c r="CC326" i="1"/>
  <c r="CD326" i="1"/>
  <c r="CD178" i="1"/>
  <c r="CC178" i="1"/>
  <c r="CE178" i="1"/>
  <c r="CD748" i="1"/>
  <c r="CC748" i="1"/>
  <c r="CE748" i="1"/>
  <c r="CD744" i="1"/>
  <c r="CC744" i="1"/>
  <c r="CE744" i="1"/>
  <c r="CE80" i="1"/>
  <c r="CC80" i="1"/>
  <c r="CD80" i="1"/>
  <c r="CE460" i="1"/>
  <c r="CC460" i="1"/>
  <c r="CD460" i="1"/>
  <c r="CE444" i="1"/>
  <c r="CC444" i="1"/>
  <c r="CD444" i="1"/>
  <c r="CD193" i="1"/>
  <c r="CC193" i="1"/>
  <c r="CE193" i="1"/>
  <c r="CD703" i="1"/>
  <c r="CC703" i="1"/>
  <c r="CE703" i="1"/>
  <c r="CD119" i="1"/>
  <c r="CC119" i="1"/>
  <c r="CE119" i="1"/>
  <c r="CE455" i="1"/>
  <c r="CC455" i="1"/>
  <c r="CD455" i="1"/>
  <c r="CD28" i="1"/>
  <c r="CC28" i="1"/>
  <c r="CE28" i="1"/>
  <c r="CD355" i="1"/>
  <c r="CC355" i="1"/>
  <c r="CE355" i="1"/>
  <c r="CE114" i="1"/>
  <c r="CC114" i="1"/>
  <c r="CD114" i="1"/>
  <c r="CD331" i="1"/>
  <c r="CC331" i="1"/>
  <c r="CE331" i="1"/>
  <c r="CD920" i="1"/>
  <c r="CC920" i="1"/>
  <c r="CE920" i="1"/>
  <c r="CE226" i="1"/>
  <c r="CC226" i="1"/>
  <c r="CD226" i="1"/>
  <c r="CD793" i="1"/>
  <c r="CC793" i="1"/>
  <c r="CE793" i="1"/>
  <c r="CD4" i="1"/>
  <c r="CC4" i="1"/>
  <c r="CE4" i="1"/>
  <c r="CD70" i="1"/>
  <c r="CC70" i="1"/>
  <c r="CE70" i="1"/>
  <c r="CE194" i="1"/>
  <c r="CC194" i="1"/>
  <c r="CD194" i="1"/>
  <c r="CD948" i="1"/>
  <c r="CC948" i="1"/>
  <c r="CE948" i="1"/>
  <c r="CD540" i="1"/>
  <c r="CC540" i="1"/>
  <c r="CE540" i="1"/>
  <c r="CD275" i="1"/>
  <c r="CC275" i="1"/>
  <c r="CE275" i="1"/>
  <c r="CD325" i="1"/>
  <c r="CC325" i="1"/>
  <c r="CE325" i="1"/>
  <c r="CE217" i="1"/>
  <c r="CC217" i="1"/>
  <c r="CD217" i="1"/>
  <c r="CD917" i="1"/>
  <c r="CC917" i="1"/>
  <c r="CE917" i="1"/>
  <c r="CD328" i="1"/>
  <c r="CC328" i="1"/>
  <c r="CE328" i="1"/>
  <c r="CD373" i="1"/>
  <c r="CC373" i="1"/>
  <c r="CE373" i="1"/>
  <c r="CE177" i="1"/>
  <c r="CC177" i="1"/>
  <c r="CD177" i="1"/>
  <c r="CE486" i="1"/>
  <c r="CC486" i="1"/>
  <c r="CD486" i="1"/>
  <c r="CD419" i="1"/>
  <c r="CC419" i="1"/>
  <c r="CE419" i="1"/>
  <c r="CE850" i="1"/>
  <c r="CC850" i="1"/>
  <c r="CD850" i="1"/>
  <c r="CE29" i="1"/>
  <c r="CC29" i="1"/>
  <c r="CD29" i="1"/>
  <c r="CD857" i="1"/>
  <c r="CC857" i="1"/>
  <c r="CE857" i="1"/>
  <c r="CD582" i="1"/>
  <c r="CC582" i="1"/>
  <c r="CE582" i="1"/>
  <c r="CD253" i="1"/>
  <c r="CC253" i="1"/>
  <c r="CE253" i="1"/>
  <c r="CE671" i="1"/>
  <c r="CC671" i="1"/>
  <c r="CD671" i="1"/>
  <c r="CD952" i="1"/>
  <c r="CC952" i="1"/>
  <c r="CE952" i="1"/>
  <c r="CD174" i="1"/>
  <c r="CC174" i="1"/>
  <c r="CE174" i="1"/>
  <c r="CE172" i="1"/>
  <c r="CC172" i="1"/>
  <c r="CD172" i="1"/>
  <c r="CD54" i="1"/>
  <c r="CC54" i="1"/>
  <c r="CE54" i="1"/>
  <c r="CE393" i="1"/>
  <c r="CC393" i="1"/>
  <c r="CD393" i="1"/>
  <c r="CE859" i="1"/>
  <c r="CC859" i="1"/>
  <c r="CD859" i="1"/>
  <c r="CD33" i="1"/>
  <c r="CC33" i="1"/>
  <c r="CE33" i="1"/>
  <c r="CD232" i="1"/>
  <c r="CC232" i="1"/>
  <c r="CE232" i="1"/>
  <c r="CD642" i="1"/>
  <c r="CC642" i="1"/>
  <c r="CE642" i="1"/>
  <c r="CD729" i="1"/>
  <c r="CC729" i="1"/>
  <c r="CE729" i="1"/>
  <c r="CE304" i="1"/>
  <c r="CC304" i="1"/>
  <c r="CD304" i="1"/>
  <c r="CE595" i="1"/>
  <c r="CC595" i="1"/>
  <c r="CD595" i="1"/>
  <c r="CD88" i="1"/>
  <c r="CC88" i="1"/>
  <c r="CE88" i="1"/>
  <c r="CE909" i="1"/>
  <c r="CC909" i="1"/>
  <c r="CD909" i="1"/>
  <c r="CE283" i="1"/>
  <c r="CC283" i="1"/>
  <c r="CD283" i="1"/>
  <c r="CE545" i="1"/>
  <c r="CC545" i="1"/>
  <c r="CD545" i="1"/>
  <c r="CD645" i="1"/>
  <c r="CC645" i="1"/>
  <c r="CE645" i="1"/>
  <c r="CE36" i="1"/>
  <c r="CC36" i="1"/>
  <c r="CD36" i="1"/>
  <c r="CD505" i="1"/>
  <c r="CC505" i="1"/>
  <c r="CE505" i="1"/>
  <c r="CD265" i="1"/>
  <c r="CC265" i="1"/>
  <c r="CE265" i="1"/>
  <c r="CE531" i="1"/>
  <c r="CC531" i="1"/>
  <c r="CD531" i="1"/>
  <c r="CD343" i="1"/>
  <c r="CC343" i="1"/>
  <c r="CE343" i="1"/>
  <c r="CD449" i="1"/>
  <c r="CC449" i="1"/>
  <c r="CE449" i="1"/>
  <c r="CE290" i="1"/>
  <c r="CC290" i="1"/>
  <c r="CD290" i="1"/>
  <c r="CD188" i="1"/>
  <c r="CC188" i="1"/>
  <c r="CE188" i="1"/>
  <c r="CD51" i="1"/>
  <c r="CC51" i="1"/>
  <c r="CE51" i="1"/>
  <c r="CD330" i="1"/>
  <c r="CC330" i="1"/>
  <c r="CE330" i="1"/>
  <c r="CD716" i="1"/>
  <c r="CC716" i="1"/>
  <c r="CE716" i="1"/>
  <c r="CD132" i="1"/>
  <c r="CC132" i="1"/>
  <c r="CE132" i="1"/>
  <c r="CD8" i="1"/>
  <c r="CC8" i="1"/>
  <c r="CE8" i="1"/>
  <c r="CE284" i="1"/>
  <c r="CC284" i="1"/>
  <c r="CD284" i="1"/>
  <c r="CE632" i="1"/>
  <c r="CC632" i="1"/>
  <c r="CD632" i="1"/>
  <c r="CD907" i="1"/>
  <c r="CC907" i="1"/>
  <c r="CE907" i="1"/>
  <c r="CE673" i="1"/>
  <c r="CC673" i="1"/>
  <c r="CD673" i="1"/>
  <c r="CD701" i="1"/>
  <c r="CC701" i="1"/>
  <c r="CE701" i="1"/>
  <c r="CE511" i="1"/>
  <c r="CC511" i="1"/>
  <c r="CD511" i="1"/>
  <c r="CE471" i="1"/>
  <c r="CC471" i="1"/>
  <c r="CD471" i="1"/>
  <c r="CD723" i="1"/>
  <c r="CC723" i="1"/>
  <c r="CE723" i="1"/>
  <c r="CE307" i="1"/>
  <c r="CC307" i="1"/>
  <c r="CD307" i="1"/>
  <c r="CE875" i="1"/>
  <c r="CC875" i="1"/>
  <c r="CD875" i="1"/>
  <c r="CE524" i="1"/>
  <c r="CC524" i="1"/>
  <c r="CD524" i="1"/>
  <c r="CE584" i="1"/>
  <c r="CC584" i="1"/>
  <c r="CD584" i="1"/>
  <c r="CE635" i="1"/>
  <c r="CC635" i="1"/>
  <c r="CD635" i="1"/>
  <c r="CD608" i="1"/>
  <c r="CC608" i="1"/>
  <c r="CE608" i="1"/>
  <c r="CD32" i="1"/>
  <c r="CC32" i="1"/>
  <c r="CE32" i="1"/>
  <c r="CD68" i="1"/>
  <c r="CC68" i="1"/>
  <c r="CE68" i="1"/>
  <c r="CE747" i="1"/>
  <c r="CC747" i="1"/>
  <c r="CD747" i="1"/>
  <c r="CE401" i="1"/>
  <c r="CC401" i="1"/>
  <c r="CD401" i="1"/>
  <c r="CD320" i="1"/>
  <c r="CC320" i="1"/>
  <c r="CE320" i="1"/>
  <c r="CD189" i="1"/>
  <c r="CC189" i="1"/>
  <c r="CE189" i="1"/>
  <c r="CD430" i="1"/>
  <c r="CC430" i="1"/>
  <c r="CE430" i="1"/>
  <c r="CE971" i="1"/>
  <c r="CC971" i="1"/>
  <c r="CD971" i="1"/>
  <c r="CE738" i="1"/>
  <c r="CC738" i="1"/>
  <c r="CD738" i="1"/>
  <c r="CD20" i="1"/>
  <c r="CC20" i="1"/>
  <c r="CE20" i="1"/>
  <c r="CE335" i="1"/>
  <c r="CC335" i="1"/>
  <c r="CD335" i="1"/>
  <c r="CD34" i="1"/>
  <c r="CC34" i="1"/>
  <c r="CE34" i="1"/>
  <c r="CD616" i="1"/>
  <c r="CC616" i="1"/>
  <c r="CE616" i="1"/>
  <c r="CE892" i="1"/>
  <c r="CC892" i="1"/>
  <c r="CD892" i="1"/>
  <c r="CE894" i="1"/>
  <c r="CC894" i="1"/>
  <c r="CD894" i="1"/>
  <c r="CD897" i="1"/>
  <c r="CC897" i="1"/>
  <c r="CE897" i="1"/>
  <c r="CE73" i="1"/>
  <c r="CC73" i="1"/>
  <c r="CD73" i="1"/>
  <c r="CD820" i="1"/>
  <c r="CC820" i="1"/>
  <c r="CE820" i="1"/>
  <c r="CE96" i="1"/>
  <c r="CC96" i="1"/>
  <c r="CD96" i="1"/>
  <c r="CE769" i="1"/>
  <c r="CC769" i="1"/>
  <c r="CD769" i="1"/>
  <c r="CE506" i="1"/>
  <c r="CC506" i="1"/>
  <c r="CD506" i="1"/>
  <c r="CD324" i="1"/>
  <c r="CC324" i="1"/>
  <c r="CE324" i="1"/>
  <c r="CE842" i="1"/>
  <c r="CC842" i="1"/>
  <c r="CD842" i="1"/>
  <c r="CE516" i="1"/>
  <c r="CC516" i="1"/>
  <c r="CD516" i="1"/>
  <c r="CE305" i="1"/>
  <c r="CC305" i="1"/>
  <c r="CD305" i="1"/>
  <c r="CD353" i="1"/>
  <c r="CC353" i="1"/>
  <c r="CE353" i="1"/>
  <c r="CE541" i="1"/>
  <c r="CC541" i="1"/>
  <c r="CD541" i="1"/>
  <c r="CD583" i="1"/>
  <c r="CC583" i="1"/>
  <c r="CE583" i="1"/>
  <c r="CE644" i="1"/>
  <c r="CC644" i="1"/>
  <c r="CD644" i="1"/>
  <c r="CE333" i="1"/>
  <c r="CC333" i="1"/>
  <c r="CD333" i="1"/>
  <c r="CD656" i="1"/>
  <c r="CC656" i="1"/>
  <c r="CE656" i="1"/>
  <c r="CD626" i="1"/>
  <c r="CC626" i="1"/>
  <c r="CE626" i="1"/>
  <c r="CD312" i="1"/>
  <c r="CC312" i="1"/>
  <c r="CE312" i="1"/>
  <c r="CD834" i="1"/>
  <c r="CC834" i="1"/>
  <c r="CE834" i="1"/>
  <c r="CE423" i="1"/>
  <c r="CC423" i="1"/>
  <c r="CD423" i="1"/>
  <c r="CD293" i="1"/>
  <c r="CC293" i="1"/>
  <c r="CE293" i="1"/>
  <c r="CD212" i="1"/>
  <c r="CC212" i="1"/>
  <c r="CE212" i="1"/>
  <c r="CD262" i="1"/>
  <c r="CC262" i="1"/>
  <c r="CE262" i="1"/>
  <c r="CE447" i="1"/>
  <c r="CC447" i="1"/>
  <c r="CD447" i="1"/>
  <c r="CD702" i="1"/>
  <c r="CC702" i="1"/>
  <c r="CE702" i="1"/>
  <c r="CE519" i="1"/>
  <c r="CC519" i="1"/>
  <c r="CD519" i="1"/>
  <c r="CD783" i="1"/>
  <c r="CC783" i="1"/>
  <c r="CE783" i="1"/>
  <c r="CE195" i="1"/>
  <c r="CC195" i="1"/>
  <c r="CD195" i="1"/>
  <c r="CE500" i="1"/>
  <c r="CC500" i="1"/>
  <c r="CD500" i="1"/>
  <c r="CD458" i="1"/>
  <c r="CC458" i="1"/>
  <c r="CE458" i="1"/>
  <c r="CE252" i="1"/>
  <c r="CC252" i="1"/>
  <c r="CD252" i="1"/>
  <c r="CD118" i="1"/>
  <c r="CC118" i="1"/>
  <c r="CE118" i="1"/>
  <c r="CE133" i="1"/>
  <c r="CC133" i="1"/>
  <c r="CD133" i="1"/>
  <c r="CE779" i="1"/>
  <c r="CC779" i="1"/>
  <c r="CD779" i="1"/>
  <c r="CD841" i="1"/>
  <c r="CC841" i="1"/>
  <c r="CE841" i="1"/>
  <c r="CD800" i="1"/>
  <c r="CC800" i="1"/>
  <c r="CE800" i="1"/>
  <c r="CE341" i="1"/>
  <c r="CC341" i="1"/>
  <c r="CD341" i="1"/>
  <c r="CD84" i="1"/>
  <c r="CC84" i="1"/>
  <c r="CE84" i="1"/>
  <c r="CD17" i="1"/>
  <c r="CC17" i="1"/>
  <c r="CE17" i="1"/>
  <c r="CD864" i="1"/>
  <c r="CC864" i="1"/>
  <c r="CE864" i="1"/>
  <c r="CE256" i="1"/>
  <c r="CC256" i="1"/>
  <c r="CD256" i="1"/>
  <c r="CE171" i="1"/>
  <c r="CC171" i="1"/>
  <c r="CD171" i="1"/>
  <c r="CE913" i="1"/>
  <c r="CC913" i="1"/>
  <c r="CD913" i="1"/>
  <c r="CE210" i="1"/>
  <c r="CC210" i="1"/>
  <c r="CD210" i="1"/>
  <c r="CD435" i="1"/>
  <c r="CC435" i="1"/>
  <c r="CE435" i="1"/>
  <c r="CE945" i="1"/>
  <c r="CC945" i="1"/>
  <c r="CD945" i="1"/>
  <c r="CD158" i="1"/>
  <c r="CC158" i="1"/>
  <c r="CE158" i="1"/>
  <c r="CD47" i="1"/>
  <c r="CC47" i="1"/>
  <c r="CE47" i="1"/>
  <c r="CE815" i="1"/>
  <c r="CC815" i="1"/>
  <c r="CD815" i="1"/>
  <c r="CE425" i="1"/>
  <c r="CC425" i="1"/>
  <c r="CD425" i="1"/>
  <c r="CD14" i="1"/>
  <c r="CC14" i="1"/>
  <c r="CE14" i="1"/>
  <c r="CE225" i="1"/>
  <c r="CC225" i="1"/>
  <c r="CD225" i="1"/>
  <c r="CD672" i="1"/>
  <c r="CC672" i="1"/>
  <c r="CE672" i="1"/>
  <c r="CD475" i="1"/>
  <c r="CC475" i="1"/>
  <c r="CE475" i="1"/>
  <c r="CD610" i="1"/>
  <c r="CC610" i="1"/>
  <c r="CE610" i="1"/>
  <c r="CE883" i="1"/>
  <c r="CC883" i="1"/>
  <c r="CD883" i="1"/>
  <c r="CE976" i="1"/>
  <c r="CC976" i="1"/>
  <c r="CD976" i="1"/>
  <c r="CD855" i="1"/>
  <c r="CC855" i="1"/>
  <c r="CE855" i="1"/>
  <c r="CE714" i="1"/>
  <c r="CC714" i="1"/>
  <c r="CD714" i="1"/>
  <c r="CD740" i="1"/>
  <c r="CC740" i="1"/>
  <c r="CE740" i="1"/>
  <c r="CE421" i="1"/>
  <c r="CC421" i="1"/>
  <c r="CD421" i="1"/>
  <c r="CE844" i="1"/>
  <c r="CC844" i="1"/>
  <c r="CD844" i="1"/>
  <c r="CE219" i="1"/>
  <c r="CC219" i="1"/>
  <c r="CD219" i="1"/>
  <c r="CE896" i="1"/>
  <c r="CC896" i="1"/>
  <c r="CD896" i="1"/>
  <c r="CD336" i="1"/>
  <c r="CC336" i="1"/>
  <c r="CE336" i="1"/>
  <c r="CD658" i="1"/>
  <c r="CC658" i="1"/>
  <c r="CE658" i="1"/>
  <c r="CE285" i="1"/>
  <c r="CC285" i="1"/>
  <c r="CD285" i="1"/>
  <c r="CD854" i="1"/>
  <c r="CC854" i="1"/>
  <c r="CE854" i="1"/>
  <c r="CD310" i="1"/>
  <c r="CC310" i="1"/>
  <c r="CE310" i="1"/>
  <c r="CE63" i="1"/>
  <c r="CC63" i="1"/>
  <c r="CD63" i="1"/>
  <c r="CD381" i="1"/>
  <c r="CC381" i="1"/>
  <c r="CE381" i="1"/>
  <c r="CD315" i="1"/>
  <c r="CC315" i="1"/>
  <c r="CE315" i="1"/>
  <c r="CE57" i="1"/>
  <c r="CC57" i="1"/>
  <c r="CD57" i="1"/>
  <c r="CD777" i="1"/>
  <c r="CC777" i="1"/>
  <c r="CE777" i="1"/>
  <c r="CD633" i="1"/>
  <c r="CC633" i="1"/>
  <c r="CE633" i="1"/>
  <c r="CD182" i="1"/>
  <c r="CC182" i="1"/>
  <c r="CE182" i="1"/>
  <c r="CE923" i="1"/>
  <c r="CC923" i="1"/>
  <c r="CD923" i="1"/>
  <c r="CE93" i="1"/>
  <c r="CC93" i="1"/>
  <c r="CD93" i="1"/>
  <c r="CD736" i="1"/>
  <c r="CC736" i="1"/>
  <c r="CE736" i="1"/>
  <c r="CE74" i="1"/>
  <c r="CC74" i="1"/>
  <c r="CD74" i="1"/>
  <c r="CD428" i="1"/>
  <c r="CC428" i="1"/>
  <c r="CE428" i="1"/>
  <c r="CE94" i="1"/>
  <c r="CC94" i="1"/>
  <c r="CD94" i="1"/>
  <c r="CE774" i="1"/>
  <c r="CC774" i="1"/>
  <c r="CD774" i="1"/>
  <c r="CE356" i="1"/>
  <c r="CC356" i="1"/>
  <c r="CD356" i="1"/>
  <c r="CE687" i="1"/>
  <c r="CC687" i="1"/>
  <c r="CD687" i="1"/>
  <c r="CD470" i="1"/>
  <c r="CC470" i="1"/>
  <c r="CE470" i="1"/>
  <c r="CD682" i="1"/>
  <c r="CC682" i="1"/>
  <c r="CE682" i="1"/>
  <c r="CE429" i="1"/>
  <c r="CC429" i="1"/>
  <c r="CD429" i="1"/>
  <c r="CD12" i="1"/>
  <c r="CC12" i="1"/>
  <c r="CE12" i="1"/>
  <c r="CE585" i="1"/>
  <c r="CC585" i="1"/>
  <c r="CD585" i="1"/>
  <c r="CE679" i="1"/>
  <c r="CC679" i="1"/>
  <c r="CD679" i="1"/>
  <c r="CE467" i="1"/>
  <c r="CC467" i="1"/>
  <c r="CD467" i="1"/>
  <c r="CD852" i="1"/>
  <c r="CC852" i="1"/>
  <c r="CE852" i="1"/>
  <c r="CD456" i="1"/>
  <c r="CC456" i="1"/>
  <c r="CE456" i="1"/>
  <c r="CE147" i="1"/>
  <c r="CC147" i="1"/>
  <c r="CD147" i="1"/>
  <c r="CE695" i="1"/>
  <c r="CC695" i="1"/>
  <c r="CD695" i="1"/>
  <c r="CE117" i="1"/>
  <c r="CC117" i="1"/>
  <c r="CD117" i="1"/>
  <c r="CE199" i="1"/>
  <c r="CC199" i="1"/>
  <c r="CD199" i="1"/>
  <c r="CD912" i="1"/>
  <c r="CC912" i="1"/>
  <c r="CE912" i="1"/>
  <c r="CE463" i="1"/>
  <c r="CC463" i="1"/>
  <c r="CD463" i="1"/>
  <c r="CE249" i="1"/>
  <c r="CC249" i="1"/>
  <c r="CD249" i="1"/>
  <c r="CD722" i="1"/>
  <c r="CC722" i="1"/>
  <c r="CE722" i="1"/>
  <c r="BI34" i="1"/>
  <c r="BH34" i="1"/>
  <c r="BJ34" i="1"/>
  <c r="CE510" i="1"/>
  <c r="CC510" i="1"/>
  <c r="CD510" i="1"/>
  <c r="CD338" i="1"/>
  <c r="CC338" i="1"/>
  <c r="CE338" i="1"/>
  <c r="CD954" i="1"/>
  <c r="CC954" i="1"/>
  <c r="CE954" i="1"/>
  <c r="CD759" i="1"/>
  <c r="CC759" i="1"/>
  <c r="CE759" i="1"/>
  <c r="CE346" i="1"/>
  <c r="CC346" i="1"/>
  <c r="CD346" i="1"/>
  <c r="CE128" i="1"/>
  <c r="CC128" i="1"/>
  <c r="CD128" i="1"/>
  <c r="CD369" i="1"/>
  <c r="CC369" i="1"/>
  <c r="CE369" i="1"/>
  <c r="CE10" i="1"/>
  <c r="CC10" i="1"/>
  <c r="CD10" i="1"/>
  <c r="CD542" i="1"/>
  <c r="CC542" i="1"/>
  <c r="CE542" i="1"/>
  <c r="CD472" i="1"/>
  <c r="CC472" i="1"/>
  <c r="CE472" i="1"/>
  <c r="CE558" i="1"/>
  <c r="CC558" i="1"/>
  <c r="CD558" i="1"/>
  <c r="CE900" i="1"/>
  <c r="CC900" i="1"/>
  <c r="CD900" i="1"/>
  <c r="CD863" i="1"/>
  <c r="CC863" i="1"/>
  <c r="CE863" i="1"/>
  <c r="CE268" i="1"/>
  <c r="CC268" i="1"/>
  <c r="CD268" i="1"/>
  <c r="CE653" i="1"/>
  <c r="CC653" i="1"/>
  <c r="CD653" i="1"/>
  <c r="CD19" i="1"/>
  <c r="CC19" i="1"/>
  <c r="CE19" i="1"/>
  <c r="CE876" i="1"/>
  <c r="CC876" i="1"/>
  <c r="CD876" i="1"/>
  <c r="CD638" i="1"/>
  <c r="CC638" i="1"/>
  <c r="CE638" i="1"/>
  <c r="CE412" i="1"/>
  <c r="CC412" i="1"/>
  <c r="CD412" i="1"/>
  <c r="CD768" i="1"/>
  <c r="CC768" i="1"/>
  <c r="CE768" i="1"/>
  <c r="CE914" i="1"/>
  <c r="CC914" i="1"/>
  <c r="CD914" i="1"/>
  <c r="CE318" i="1"/>
  <c r="CC318" i="1"/>
  <c r="CD318" i="1"/>
  <c r="CE200" i="1"/>
  <c r="CC200" i="1"/>
  <c r="CD200" i="1"/>
  <c r="CD697" i="1"/>
  <c r="CC697" i="1"/>
  <c r="CE697" i="1"/>
  <c r="CE898" i="1"/>
  <c r="CC898" i="1"/>
  <c r="CD898" i="1"/>
  <c r="CE818" i="1"/>
  <c r="CC818" i="1"/>
  <c r="CD818" i="1"/>
  <c r="CD100" i="1"/>
  <c r="CC100" i="1"/>
  <c r="CE100" i="1"/>
  <c r="CD574" i="1"/>
  <c r="CC574" i="1"/>
  <c r="CE574" i="1"/>
  <c r="CD646" i="1"/>
  <c r="CC646" i="1"/>
  <c r="CE646" i="1"/>
  <c r="CE360" i="1"/>
  <c r="CC360" i="1"/>
  <c r="CD360" i="1"/>
  <c r="CE810" i="1"/>
  <c r="CC810" i="1"/>
  <c r="CD810" i="1"/>
  <c r="CE831" i="1"/>
  <c r="CC831" i="1"/>
  <c r="CD831" i="1"/>
  <c r="CE650" i="1"/>
  <c r="CC650" i="1"/>
  <c r="CD650" i="1"/>
  <c r="CE349" i="1"/>
  <c r="CC349" i="1"/>
  <c r="CD349" i="1"/>
  <c r="CD560" i="1"/>
  <c r="CC560" i="1"/>
  <c r="CE560" i="1"/>
  <c r="CE939" i="1"/>
  <c r="CC939" i="1"/>
  <c r="CD939" i="1"/>
  <c r="CE721" i="1"/>
  <c r="CC721" i="1"/>
  <c r="CD721" i="1"/>
  <c r="CE279" i="1"/>
  <c r="CC279" i="1"/>
  <c r="CD279" i="1"/>
  <c r="CD617" i="1"/>
  <c r="CC617" i="1"/>
  <c r="CE617" i="1"/>
  <c r="CE640" i="1"/>
  <c r="CC640" i="1"/>
  <c r="CD640" i="1"/>
  <c r="CD142" i="1"/>
  <c r="CC142" i="1"/>
  <c r="CE142" i="1"/>
  <c r="CD905" i="1"/>
  <c r="CC905" i="1"/>
  <c r="CE905" i="1"/>
  <c r="CE231" i="1"/>
  <c r="CC231" i="1"/>
  <c r="CD231" i="1"/>
  <c r="CE403" i="1"/>
  <c r="CC403" i="1"/>
  <c r="CD403" i="1"/>
  <c r="CD442" i="1"/>
  <c r="CC442" i="1"/>
  <c r="CE442" i="1"/>
  <c r="CD967" i="1"/>
  <c r="CC967" i="1"/>
  <c r="CE967" i="1"/>
  <c r="CE105" i="1"/>
  <c r="CC105" i="1"/>
  <c r="CD105" i="1"/>
  <c r="CD517" i="1"/>
  <c r="CC517" i="1"/>
  <c r="CE517" i="1"/>
  <c r="CE544" i="1"/>
  <c r="CC544" i="1"/>
  <c r="CD544" i="1"/>
  <c r="CD145" i="1"/>
  <c r="CC145" i="1"/>
  <c r="CE145" i="1"/>
  <c r="CE647" i="1"/>
  <c r="CC647" i="1"/>
  <c r="CD647" i="1"/>
  <c r="CD301" i="1"/>
  <c r="CC301" i="1"/>
  <c r="CE301" i="1"/>
  <c r="CE113" i="1"/>
  <c r="CC113" i="1"/>
  <c r="CD113" i="1"/>
  <c r="CD677" i="1"/>
  <c r="CC677" i="1"/>
  <c r="CE677" i="1"/>
  <c r="CD604" i="1"/>
  <c r="CC604" i="1"/>
  <c r="CE604" i="1"/>
  <c r="CD964" i="1"/>
  <c r="CC964" i="1"/>
  <c r="CE964" i="1"/>
  <c r="CD926" i="1"/>
  <c r="CC926" i="1"/>
  <c r="CE926" i="1"/>
  <c r="CE696" i="1"/>
  <c r="CC696" i="1"/>
  <c r="CD696" i="1"/>
  <c r="CE789" i="1"/>
  <c r="CC789" i="1"/>
  <c r="CD789" i="1"/>
  <c r="CD56" i="1"/>
  <c r="CC56" i="1"/>
  <c r="CE56" i="1"/>
  <c r="CE436" i="1"/>
  <c r="CC436" i="1"/>
  <c r="CD436" i="1"/>
  <c r="CD103" i="1"/>
  <c r="CC103" i="1"/>
  <c r="CE103" i="1"/>
  <c r="CD260" i="1"/>
  <c r="CC260" i="1"/>
  <c r="CE260" i="1"/>
  <c r="CD512" i="1"/>
  <c r="CC512" i="1"/>
  <c r="CE512" i="1"/>
  <c r="CE497" i="1"/>
  <c r="CC497" i="1"/>
  <c r="CD497" i="1"/>
  <c r="CD18" i="1"/>
  <c r="CC18" i="1"/>
  <c r="CE18" i="1"/>
  <c r="CD951" i="1"/>
  <c r="CC951" i="1"/>
  <c r="CE951" i="1"/>
  <c r="CE567" i="1"/>
  <c r="CC567" i="1"/>
  <c r="CD567" i="1"/>
  <c r="CD129" i="1"/>
  <c r="CC129" i="1"/>
  <c r="CE129" i="1"/>
  <c r="CE808" i="1"/>
  <c r="CC808" i="1"/>
  <c r="CD808" i="1"/>
  <c r="CE267" i="1"/>
  <c r="CC267" i="1"/>
  <c r="CD267" i="1"/>
  <c r="CD981" i="1"/>
  <c r="CC981" i="1"/>
  <c r="CE981" i="1"/>
  <c r="CE683" i="1"/>
  <c r="CC683" i="1"/>
  <c r="CD683" i="1"/>
  <c r="CD498" i="1"/>
  <c r="CC498" i="1"/>
  <c r="CE498" i="1"/>
  <c r="CD317" i="1"/>
  <c r="CC317" i="1"/>
  <c r="CE317" i="1"/>
  <c r="CD735" i="1"/>
  <c r="CC735" i="1"/>
  <c r="CE735" i="1"/>
  <c r="CD561" i="1"/>
  <c r="CC561" i="1"/>
  <c r="CE561" i="1"/>
  <c r="CD557" i="1"/>
  <c r="CC557" i="1"/>
  <c r="CE557" i="1"/>
  <c r="CD215" i="1"/>
  <c r="CC215" i="1"/>
  <c r="CE215" i="1"/>
  <c r="CD726" i="1"/>
  <c r="CC726" i="1"/>
  <c r="CE726" i="1"/>
  <c r="CE934" i="1"/>
  <c r="CC934" i="1"/>
  <c r="CD934" i="1"/>
  <c r="CD895" i="1"/>
  <c r="CC895" i="1"/>
  <c r="CE895" i="1"/>
  <c r="CD955" i="1"/>
  <c r="CC955" i="1"/>
  <c r="CE955" i="1"/>
  <c r="CD830" i="1"/>
  <c r="CC830" i="1"/>
  <c r="CE830" i="1"/>
  <c r="CE946" i="1"/>
  <c r="CC946" i="1"/>
  <c r="CD946" i="1"/>
  <c r="CD192" i="1"/>
  <c r="CC192" i="1"/>
  <c r="CE192" i="1"/>
  <c r="CE809" i="1"/>
  <c r="CC809" i="1"/>
  <c r="CD809" i="1"/>
  <c r="CE141" i="1"/>
  <c r="CC141" i="1"/>
  <c r="CD141" i="1"/>
  <c r="CE728" i="1"/>
  <c r="CC728" i="1"/>
  <c r="CD728" i="1"/>
  <c r="CD698" i="1"/>
  <c r="CC698" i="1"/>
  <c r="CE698" i="1"/>
  <c r="CD418" i="1"/>
  <c r="CC418" i="1"/>
  <c r="CE418" i="1"/>
  <c r="CE237" i="1"/>
  <c r="CC237" i="1"/>
  <c r="CD237" i="1"/>
  <c r="CE81" i="1"/>
  <c r="CC81" i="1"/>
  <c r="CD81" i="1"/>
  <c r="CE377" i="1"/>
  <c r="CC377" i="1"/>
  <c r="CD377" i="1"/>
  <c r="CD82" i="1"/>
  <c r="CC82" i="1"/>
  <c r="CE82" i="1"/>
  <c r="CE476" i="1"/>
  <c r="CC476" i="1"/>
  <c r="CD476" i="1"/>
  <c r="CE836" i="1"/>
  <c r="CC836" i="1"/>
  <c r="CD836" i="1"/>
  <c r="CE363" i="1"/>
  <c r="CC363" i="1"/>
  <c r="CD363" i="1"/>
  <c r="CD972" i="1"/>
  <c r="CC972" i="1"/>
  <c r="CE972" i="1"/>
  <c r="CE812" i="1"/>
  <c r="CC812" i="1"/>
  <c r="CD812" i="1"/>
  <c r="CD46" i="1"/>
  <c r="CC46" i="1"/>
  <c r="CE46" i="1"/>
  <c r="CE259" i="1"/>
  <c r="CC259" i="1"/>
  <c r="CD259" i="1"/>
  <c r="CE395" i="1"/>
  <c r="CC395" i="1"/>
  <c r="CD395" i="1"/>
  <c r="CD555" i="1"/>
  <c r="CC555" i="1"/>
  <c r="CE555" i="1"/>
  <c r="CE45" i="1"/>
  <c r="CC45" i="1"/>
  <c r="CD45" i="1"/>
  <c r="CD434" i="1"/>
  <c r="CC434" i="1"/>
  <c r="CE434" i="1"/>
  <c r="CE43" i="1"/>
  <c r="CC43" i="1"/>
  <c r="CD43" i="1"/>
  <c r="CD169" i="1"/>
  <c r="CC169" i="1"/>
  <c r="CE169" i="1"/>
  <c r="CE464" i="1"/>
  <c r="CC464" i="1"/>
  <c r="CD464" i="1"/>
  <c r="CE91" i="1"/>
  <c r="CC91" i="1"/>
  <c r="CD91" i="1"/>
  <c r="CD234" i="1"/>
  <c r="CC234" i="1"/>
  <c r="CE234" i="1"/>
  <c r="CE509" i="1"/>
  <c r="CC509" i="1"/>
  <c r="CD509" i="1"/>
  <c r="CD758" i="1"/>
  <c r="CC758" i="1"/>
  <c r="CE758" i="1"/>
  <c r="CD692" i="1"/>
  <c r="CC692" i="1"/>
  <c r="CE692" i="1"/>
  <c r="CE143" i="1"/>
  <c r="CC143" i="1"/>
  <c r="CD143" i="1"/>
  <c r="CE741" i="1"/>
  <c r="CC741" i="1"/>
  <c r="CD741" i="1"/>
  <c r="CE652" i="1"/>
  <c r="CC652" i="1"/>
  <c r="CD652" i="1"/>
  <c r="CE849" i="1"/>
  <c r="CC849" i="1"/>
  <c r="CD849" i="1"/>
  <c r="CD241" i="1"/>
  <c r="CC241" i="1"/>
  <c r="CE241" i="1"/>
  <c r="CD707" i="1"/>
  <c r="CC707" i="1"/>
  <c r="CE707" i="1"/>
  <c r="CD792" i="1"/>
  <c r="CC792" i="1"/>
  <c r="CE792" i="1"/>
  <c r="CD488" i="1"/>
  <c r="CC488" i="1"/>
  <c r="CE488" i="1"/>
  <c r="CD727" i="1"/>
  <c r="CC727" i="1"/>
  <c r="CE727" i="1"/>
  <c r="CD276" i="1"/>
  <c r="CC276" i="1"/>
  <c r="CE276" i="1"/>
  <c r="CE888" i="1"/>
  <c r="CC888" i="1"/>
  <c r="CD888" i="1"/>
  <c r="CD775" i="1"/>
  <c r="CC775" i="1"/>
  <c r="CE775" i="1"/>
  <c r="CD208" i="1"/>
  <c r="CC208" i="1"/>
  <c r="CE208" i="1"/>
  <c r="CE89" i="1"/>
  <c r="CC89" i="1"/>
  <c r="CD89" i="1"/>
  <c r="CE350" i="1"/>
  <c r="CC350" i="1"/>
  <c r="CD350" i="1"/>
  <c r="CE432" i="1"/>
  <c r="CC432" i="1"/>
  <c r="CD432" i="1"/>
  <c r="CE979" i="1"/>
  <c r="CC979" i="1"/>
  <c r="CD979" i="1"/>
  <c r="CE417" i="1"/>
  <c r="CC417" i="1"/>
  <c r="CD417" i="1"/>
  <c r="CE227" i="1"/>
  <c r="CC227" i="1"/>
  <c r="CD227" i="1"/>
  <c r="CE370" i="1"/>
  <c r="CC370" i="1"/>
  <c r="CD370" i="1"/>
  <c r="CD187" i="1"/>
  <c r="CC187" i="1"/>
  <c r="CE187" i="1"/>
  <c r="CE236" i="1"/>
  <c r="CC236" i="1"/>
  <c r="CD236" i="1"/>
  <c r="CD372" i="1"/>
  <c r="CC372" i="1"/>
  <c r="CE372" i="1"/>
  <c r="CE927" i="1"/>
  <c r="CC927" i="1"/>
  <c r="CD927" i="1"/>
  <c r="CD754" i="1"/>
  <c r="CC754" i="1"/>
  <c r="CE754" i="1"/>
  <c r="CD613" i="1"/>
  <c r="CC613" i="1"/>
  <c r="CE613" i="1"/>
  <c r="CD904" i="1"/>
  <c r="CC904" i="1"/>
  <c r="CE904" i="1"/>
  <c r="CE294" i="1"/>
  <c r="CC294" i="1"/>
  <c r="CD294" i="1"/>
  <c r="CD42" i="1"/>
  <c r="CC42" i="1"/>
  <c r="CE42" i="1"/>
  <c r="CD606" i="1"/>
  <c r="CC606" i="1"/>
  <c r="CE606" i="1"/>
  <c r="CD261" i="1"/>
  <c r="CC261" i="1"/>
  <c r="CE261" i="1"/>
  <c r="CD806" i="1"/>
  <c r="CC806" i="1"/>
  <c r="CE806" i="1"/>
  <c r="CD459" i="1"/>
  <c r="CC459" i="1"/>
  <c r="CE459" i="1"/>
  <c r="CE823" i="1"/>
  <c r="CC823" i="1"/>
  <c r="CD823" i="1"/>
  <c r="CE216" i="1"/>
  <c r="CC216" i="1"/>
  <c r="CD216" i="1"/>
  <c r="CE399" i="1"/>
  <c r="CC399" i="1"/>
  <c r="CD399" i="1"/>
  <c r="CD581" i="1"/>
  <c r="CC581" i="1"/>
  <c r="CE581" i="1"/>
  <c r="CD889" i="1"/>
  <c r="CC889" i="1"/>
  <c r="CE889" i="1"/>
  <c r="CD164" i="1"/>
  <c r="CC164" i="1"/>
  <c r="CE164" i="1"/>
  <c r="CD485" i="1"/>
  <c r="CC485" i="1"/>
  <c r="CE485" i="1"/>
  <c r="CE123" i="1"/>
  <c r="CC123" i="1"/>
  <c r="CD123" i="1"/>
  <c r="CD940" i="1"/>
  <c r="CC940" i="1"/>
  <c r="CE940" i="1"/>
  <c r="CD289" i="1"/>
  <c r="CC289" i="1"/>
  <c r="CE289" i="1"/>
  <c r="CE868" i="1"/>
  <c r="CC868" i="1"/>
  <c r="CD868" i="1"/>
  <c r="CE903" i="1"/>
  <c r="CC903" i="1"/>
  <c r="CD903" i="1"/>
  <c r="CD484" i="1"/>
  <c r="CC484" i="1"/>
  <c r="CE484" i="1"/>
  <c r="CE827" i="1"/>
  <c r="CC827" i="1"/>
  <c r="CD827" i="1"/>
  <c r="CD725" i="1"/>
  <c r="CC725" i="1"/>
  <c r="CE725" i="1"/>
  <c r="CD501" i="1"/>
  <c r="CC501" i="1"/>
  <c r="CE501" i="1"/>
  <c r="CD400" i="1"/>
  <c r="CC400" i="1"/>
  <c r="CE400" i="1"/>
  <c r="CD151" i="1"/>
  <c r="CC151" i="1"/>
  <c r="CE151" i="1"/>
  <c r="CE112" i="1"/>
  <c r="CC112" i="1"/>
  <c r="CD112" i="1"/>
  <c r="CD386" i="1"/>
  <c r="CC386" i="1"/>
  <c r="CE386" i="1"/>
  <c r="CE334" i="1"/>
  <c r="CC334" i="1"/>
  <c r="CD334" i="1"/>
  <c r="CD502" i="1"/>
  <c r="CC502" i="1"/>
  <c r="CE502" i="1"/>
  <c r="CE87" i="1"/>
  <c r="CC87" i="1"/>
  <c r="CD87" i="1"/>
  <c r="CE780" i="1"/>
  <c r="CC780" i="1"/>
  <c r="CD780" i="1"/>
  <c r="CD60" i="1"/>
  <c r="CC60" i="1"/>
  <c r="CE60" i="1"/>
  <c r="CE890" i="1"/>
  <c r="CC890" i="1"/>
  <c r="CD890" i="1"/>
  <c r="CD717" i="1"/>
  <c r="CC717" i="1"/>
  <c r="CE717" i="1"/>
  <c r="CD25" i="1"/>
  <c r="CC25" i="1"/>
  <c r="CE25" i="1"/>
  <c r="CD745" i="1"/>
  <c r="CC745" i="1"/>
  <c r="CE745" i="1"/>
  <c r="CD978" i="1"/>
  <c r="CC978" i="1"/>
  <c r="CE978" i="1"/>
  <c r="CE332" i="1"/>
  <c r="CC332" i="1"/>
  <c r="CD332" i="1"/>
  <c r="CE565" i="1"/>
  <c r="CC565" i="1"/>
  <c r="CD565" i="1"/>
  <c r="CD787" i="1"/>
  <c r="CC787" i="1"/>
  <c r="CE787" i="1"/>
  <c r="CE86" i="1"/>
  <c r="CC86" i="1"/>
  <c r="CD86" i="1"/>
  <c r="CE494" i="1"/>
  <c r="CC494" i="1"/>
  <c r="CD494" i="1"/>
  <c r="CD240" i="1"/>
  <c r="CC240" i="1"/>
  <c r="CE240" i="1"/>
  <c r="CE75" i="1"/>
  <c r="CC75" i="1"/>
  <c r="CD75" i="1"/>
  <c r="CE622" i="1"/>
  <c r="CC622" i="1"/>
  <c r="CD622" i="1"/>
  <c r="CE770" i="1"/>
  <c r="CC770" i="1"/>
  <c r="CD770" i="1"/>
  <c r="CE547" i="1"/>
  <c r="CC547" i="1"/>
  <c r="CD547" i="1"/>
  <c r="CE930" i="1"/>
  <c r="CC930" i="1"/>
  <c r="CD930" i="1"/>
  <c r="CD899" i="1"/>
  <c r="CC899" i="1"/>
  <c r="CE899" i="1"/>
  <c r="CE680" i="1"/>
  <c r="CC680" i="1"/>
  <c r="CD680" i="1"/>
  <c r="CD379" i="1"/>
  <c r="CC379" i="1"/>
  <c r="CE379" i="1"/>
  <c r="CE801" i="1"/>
  <c r="CC801" i="1"/>
  <c r="CD801" i="1"/>
  <c r="CE838" i="1"/>
  <c r="CC838" i="1"/>
  <c r="CD838" i="1"/>
  <c r="CD191" i="1"/>
  <c r="CC191" i="1"/>
  <c r="CE191" i="1"/>
  <c r="CD250" i="1"/>
  <c r="CC250" i="1"/>
  <c r="CE250" i="1"/>
  <c r="CD822" i="1"/>
  <c r="CC822" i="1"/>
  <c r="CE822" i="1"/>
  <c r="CD176" i="1"/>
  <c r="CC176" i="1"/>
  <c r="CE176" i="1"/>
  <c r="CD287" i="1"/>
  <c r="CC287" i="1"/>
  <c r="CE287" i="1"/>
  <c r="CD115" i="1"/>
  <c r="CC115" i="1"/>
  <c r="CE115" i="1"/>
  <c r="CE942" i="1"/>
  <c r="CC942" i="1"/>
  <c r="CD942" i="1"/>
  <c r="CD655" i="1"/>
  <c r="CC655" i="1"/>
  <c r="CE655" i="1"/>
  <c r="CD869" i="1"/>
  <c r="CC869" i="1"/>
  <c r="CE869" i="1"/>
  <c r="CD901" i="1"/>
  <c r="CC901" i="1"/>
  <c r="CE901" i="1"/>
  <c r="CE198" i="1"/>
  <c r="CC198" i="1"/>
  <c r="CD198" i="1"/>
  <c r="CD887" i="1"/>
  <c r="CC887" i="1"/>
  <c r="CE887" i="1"/>
  <c r="CE282" i="1"/>
  <c r="CC282" i="1"/>
  <c r="CD282" i="1"/>
  <c r="CD451" i="1"/>
  <c r="CC451" i="1"/>
  <c r="CE451" i="1"/>
  <c r="CD110" i="1"/>
  <c r="CC110" i="1"/>
  <c r="CE110" i="1"/>
  <c r="CD763" i="1"/>
  <c r="CC763" i="1"/>
  <c r="CE763" i="1"/>
  <c r="CE15" i="1"/>
  <c r="CC15" i="1"/>
  <c r="CD15" i="1"/>
  <c r="CE720" i="1"/>
  <c r="CC720" i="1"/>
  <c r="CD720" i="1"/>
  <c r="CE925" i="1"/>
  <c r="CC925" i="1"/>
  <c r="CD925" i="1"/>
  <c r="CD817" i="1"/>
  <c r="CC817" i="1"/>
  <c r="CE817" i="1"/>
  <c r="CE398" i="1"/>
  <c r="CC398" i="1"/>
  <c r="CD398" i="1"/>
  <c r="CD503" i="1"/>
  <c r="CC503" i="1"/>
  <c r="CE503" i="1"/>
  <c r="CD507" i="1"/>
  <c r="CC507" i="1"/>
  <c r="CE507" i="1"/>
  <c r="CE154" i="1"/>
  <c r="CC154" i="1"/>
  <c r="CD154" i="1"/>
  <c r="CD48" i="1"/>
  <c r="CC48" i="1"/>
  <c r="CE48" i="1"/>
  <c r="CE965" i="1"/>
  <c r="CC965" i="1"/>
  <c r="CD965" i="1"/>
  <c r="CD681" i="1"/>
  <c r="CC681" i="1"/>
  <c r="CE681" i="1"/>
  <c r="CD461" i="1"/>
  <c r="CC461" i="1"/>
  <c r="CE461" i="1"/>
  <c r="CE902" i="1"/>
  <c r="CC902" i="1"/>
  <c r="CD902" i="1"/>
  <c r="CD408" i="1"/>
  <c r="CC408" i="1"/>
  <c r="CE408" i="1"/>
  <c r="CD52" i="1"/>
  <c r="CC52" i="1"/>
  <c r="CE52" i="1"/>
  <c r="CD601" i="1"/>
  <c r="CC601" i="1"/>
  <c r="CE601" i="1"/>
</calcChain>
</file>

<file path=xl/sharedStrings.xml><?xml version="1.0" encoding="utf-8"?>
<sst xmlns="http://schemas.openxmlformats.org/spreadsheetml/2006/main" count="340" uniqueCount="165">
  <si>
    <t>id</t>
  </si>
  <si>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family val="3"/>
        <charset val="134"/>
      </rPr>
      <t>ype</t>
    </r>
  </si>
  <si>
    <t>rank</t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</si>
  <si>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eq_level</t>
    </r>
  </si>
  <si>
    <t>reference_power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</si>
  <si>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</si>
  <si>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</si>
  <si>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</si>
  <si>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</si>
  <si>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battle_level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</si>
  <si>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</si>
  <si>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</si>
  <si>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</si>
  <si>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</si>
  <si>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</si>
  <si>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</si>
  <si>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</si>
  <si>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</si>
  <si>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</si>
  <si>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</si>
  <si>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</si>
  <si>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类型</t>
  </si>
  <si>
    <t>等级</t>
  </si>
  <si>
    <t>需求等级</t>
  </si>
  <si>
    <t>参考战力</t>
  </si>
  <si>
    <r>
      <rPr>
        <sz val="11"/>
        <color indexed="8"/>
        <rFont val="宋体"/>
        <family val="3"/>
        <charset val="134"/>
      </rPr>
      <t>地图I</t>
    </r>
    <r>
      <rPr>
        <sz val="11"/>
        <color indexed="8"/>
        <rFont val="宋体"/>
        <family val="3"/>
        <charset val="134"/>
      </rPr>
      <t>D</t>
    </r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</si>
  <si>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</si>
  <si>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</si>
  <si>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</si>
  <si>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战斗等级</t>
  </si>
  <si>
    <t>奖励物品类型</t>
  </si>
  <si>
    <t>奖励物品参数</t>
  </si>
  <si>
    <t>奖励物品数量</t>
  </si>
  <si>
    <t>我方总战力</t>
  </si>
  <si>
    <t>总战力</t>
  </si>
  <si>
    <t>怪1</t>
  </si>
  <si>
    <t>怪2</t>
  </si>
  <si>
    <t>怪3</t>
  </si>
  <si>
    <t>怪1星级</t>
  </si>
  <si>
    <t>怪2星级</t>
  </si>
  <si>
    <t>怪3星级</t>
  </si>
  <si>
    <t>怪1等级</t>
  </si>
  <si>
    <t>怪2等级</t>
  </si>
  <si>
    <t>怪3等级</t>
  </si>
  <si>
    <t>战力1</t>
  </si>
  <si>
    <t>战力2</t>
  </si>
  <si>
    <t>战力3</t>
  </si>
  <si>
    <t>最终免伤1</t>
  </si>
  <si>
    <t>最终免伤2</t>
  </si>
  <si>
    <t>最终免伤3</t>
  </si>
  <si>
    <t>怪1护甲</t>
  </si>
  <si>
    <t>怪2护甲</t>
  </si>
  <si>
    <t>怪3护甲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</si>
  <si>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</si>
  <si>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</si>
  <si>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</si>
  <si>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</si>
  <si>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</si>
  <si>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</si>
  <si>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</si>
  <si>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</si>
  <si>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</si>
  <si>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</si>
  <si>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</si>
  <si>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</si>
  <si>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</si>
  <si>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</si>
  <si>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</si>
  <si>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需要经验</t>
  </si>
  <si>
    <r>
      <rPr>
        <sz val="11"/>
        <color theme="1"/>
        <rFont val="Helvetica Neue"/>
        <family val="2"/>
        <scheme val="minor"/>
      </rPr>
      <t>b</t>
    </r>
    <r>
      <rPr>
        <sz val="11"/>
        <color theme="1"/>
        <rFont val="Helvetica Neue"/>
        <family val="2"/>
        <scheme val="minor"/>
      </rPr>
      <t>oss1</t>
    </r>
  </si>
  <si>
    <r>
      <rPr>
        <sz val="11"/>
        <color theme="1"/>
        <rFont val="Helvetica Neue"/>
        <family val="2"/>
        <scheme val="minor"/>
      </rPr>
      <t>b</t>
    </r>
    <r>
      <rPr>
        <sz val="11"/>
        <color theme="1"/>
        <rFont val="Helvetica Neue"/>
        <family val="2"/>
        <scheme val="minor"/>
      </rPr>
      <t>oss2</t>
    </r>
  </si>
  <si>
    <r>
      <rPr>
        <sz val="11"/>
        <color theme="1"/>
        <rFont val="Helvetica Neue"/>
        <family val="2"/>
        <scheme val="minor"/>
      </rPr>
      <t>b</t>
    </r>
    <r>
      <rPr>
        <sz val="11"/>
        <color theme="1"/>
        <rFont val="Helvetica Neue"/>
        <family val="2"/>
        <scheme val="minor"/>
      </rPr>
      <t>oss3</t>
    </r>
  </si>
  <si>
    <t>星boss1</t>
  </si>
  <si>
    <t>星boss2</t>
  </si>
  <si>
    <t>星boss3</t>
  </si>
  <si>
    <t>职业1</t>
  </si>
  <si>
    <t>职业2</t>
  </si>
  <si>
    <t>职业3</t>
  </si>
  <si>
    <t>职业4</t>
  </si>
  <si>
    <t>职业5</t>
  </si>
  <si>
    <t>职业6</t>
  </si>
  <si>
    <t>初始星1</t>
  </si>
  <si>
    <t>初始星2</t>
  </si>
  <si>
    <t>初始星3</t>
  </si>
  <si>
    <t>阵营1</t>
  </si>
  <si>
    <t>阵营2</t>
  </si>
  <si>
    <t>阵营3</t>
  </si>
  <si>
    <t>验证无误后的ID（复制到文本，再从文本复制到AE4单元格）</t>
  </si>
  <si>
    <t>职业id</t>
  </si>
  <si>
    <t>免伤率</t>
  </si>
  <si>
    <t>基础攻击</t>
  </si>
  <si>
    <t>基础防御</t>
  </si>
  <si>
    <t>基础攻击力</t>
  </si>
  <si>
    <t>攻击力提升</t>
  </si>
  <si>
    <t>基础血量</t>
  </si>
  <si>
    <t>血量提升</t>
  </si>
  <si>
    <t>基础护甲</t>
  </si>
  <si>
    <t>护甲提升</t>
  </si>
  <si>
    <t>提升战力</t>
  </si>
  <si>
    <r>
      <rPr>
        <sz val="11"/>
        <color indexed="8"/>
        <rFont val="宋体"/>
        <family val="3"/>
        <charset val="134"/>
      </rPr>
      <t>3</t>
    </r>
    <r>
      <rPr>
        <sz val="11"/>
        <color indexed="8"/>
        <rFont val="宋体"/>
        <family val="3"/>
        <charset val="134"/>
      </rPr>
      <t>,12</t>
    </r>
  </si>
  <si>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,</t>
    </r>
    <r>
      <rPr>
        <sz val="11"/>
        <color indexed="8"/>
        <rFont val="宋体"/>
        <family val="3"/>
        <charset val="134"/>
      </rPr>
      <t>0</t>
    </r>
  </si>
  <si>
    <t>10000,10</t>
  </si>
  <si>
    <t>25000,15</t>
  </si>
  <si>
    <t>100000,30</t>
  </si>
  <si>
    <t>近战单ID</t>
  </si>
  <si>
    <t>近战多ID</t>
  </si>
  <si>
    <t>远战单ID</t>
  </si>
  <si>
    <t>远战多ID</t>
  </si>
  <si>
    <r>
      <rPr>
        <sz val="11"/>
        <color theme="1"/>
        <rFont val="Helvetica Neue"/>
        <family val="2"/>
        <scheme val="minor"/>
      </rPr>
      <t>牧师I</t>
    </r>
    <r>
      <rPr>
        <sz val="11"/>
        <color theme="1"/>
        <rFont val="Helvetica Neue"/>
        <family val="2"/>
        <scheme val="minor"/>
      </rPr>
      <t>D</t>
    </r>
  </si>
  <si>
    <t>真实伤害</t>
  </si>
  <si>
    <t>需要回合数</t>
  </si>
  <si>
    <t>相同攻击轮次需人数</t>
  </si>
  <si>
    <t>250000,50</t>
  </si>
  <si>
    <t>主角-小怪</t>
  </si>
  <si>
    <t>小怪-主角</t>
  </si>
  <si>
    <t>主角-精英</t>
  </si>
  <si>
    <t>6,6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</si>
  <si>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,1</t>
    </r>
  </si>
  <si>
    <r>
      <rPr>
        <sz val="11"/>
        <color indexed="8"/>
        <rFont val="宋体"/>
        <family val="3"/>
        <charset val="134"/>
      </rPr>
      <t>3</t>
    </r>
    <r>
      <rPr>
        <sz val="11"/>
        <color indexed="8"/>
        <rFont val="宋体"/>
        <family val="3"/>
        <charset val="134"/>
      </rPr>
      <t>,4</t>
    </r>
  </si>
  <si>
    <t>20,5</t>
  </si>
  <si>
    <t>精英-主角</t>
  </si>
  <si>
    <t>20,10</t>
  </si>
  <si>
    <t>20,15</t>
  </si>
  <si>
    <t>30,20</t>
  </si>
  <si>
    <t>30,25</t>
  </si>
  <si>
    <t>1星主角0级=1星小怪7级</t>
  </si>
  <si>
    <t>30,30</t>
  </si>
  <si>
    <t>1星主角0级=1星精英怪4级</t>
  </si>
  <si>
    <t>8,22</t>
  </si>
  <si>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,0</t>
    </r>
  </si>
  <si>
    <t>0,0</t>
  </si>
  <si>
    <t>2,1</t>
  </si>
  <si>
    <t>1星主角0级=1星BOSS怪1级</t>
  </si>
  <si>
    <t>4,2</t>
  </si>
  <si>
    <t>6,3</t>
  </si>
  <si>
    <t>8,4</t>
  </si>
  <si>
    <t>10,5</t>
  </si>
  <si>
    <t>12,6</t>
  </si>
  <si>
    <t>14,7</t>
  </si>
  <si>
    <t>16,8</t>
  </si>
  <si>
    <t>金币</t>
  </si>
  <si>
    <t>升级点和进阶石</t>
  </si>
  <si>
    <t>碎片</t>
  </si>
  <si>
    <r>
      <rPr>
        <sz val="11"/>
        <color theme="1"/>
        <rFont val="Helvetica Neue"/>
        <family val="2"/>
        <scheme val="minor"/>
      </rPr>
      <t>3</t>
    </r>
    <r>
      <rPr>
        <sz val="11"/>
        <color theme="1"/>
        <rFont val="Helvetica Neue"/>
        <family val="2"/>
        <scheme val="minor"/>
      </rPr>
      <t>7.8-5=32</t>
    </r>
  </si>
  <si>
    <t>技能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</si>
  <si>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</si>
  <si>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</si>
  <si>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</si>
  <si>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</si>
  <si>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</si>
  <si>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</si>
  <si>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</si>
  <si>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</si>
  <si>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</si>
  <si>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</si>
  <si>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</si>
  <si>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</si>
  <si>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6,6</t>
    <phoneticPr fontId="8" type="noConversion"/>
  </si>
  <si>
    <t>4,5</t>
    <phoneticPr fontId="8" type="noConversion"/>
  </si>
  <si>
    <t>30,2</t>
    <phoneticPr fontId="8" type="noConversion"/>
  </si>
  <si>
    <t>20,2</t>
    <phoneticPr fontId="8" type="noConversion"/>
  </si>
  <si>
    <r>
      <t>2</t>
    </r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0000,40</t>
    </r>
    <phoneticPr fontId="8" type="noConversion"/>
  </si>
  <si>
    <r>
      <t>1</t>
    </r>
    <r>
      <rPr>
        <sz val="11"/>
        <color indexed="8"/>
        <rFont val="宋体"/>
        <family val="3"/>
        <charset val="134"/>
      </rPr>
      <t>5</t>
    </r>
    <r>
      <rPr>
        <sz val="11"/>
        <color indexed="8"/>
        <rFont val="宋体"/>
        <family val="3"/>
        <charset val="134"/>
      </rPr>
      <t>0000,35</t>
    </r>
    <phoneticPr fontId="8" type="noConversion"/>
  </si>
  <si>
    <r>
      <t>7</t>
    </r>
    <r>
      <rPr>
        <sz val="11"/>
        <color indexed="8"/>
        <rFont val="宋体"/>
        <family val="3"/>
        <charset val="134"/>
      </rPr>
      <t>4</t>
    </r>
    <r>
      <rPr>
        <sz val="11"/>
        <color indexed="8"/>
        <rFont val="宋体"/>
        <family val="3"/>
        <charset val="134"/>
      </rPr>
      <t>000,25</t>
    </r>
    <phoneticPr fontId="8" type="noConversion"/>
  </si>
  <si>
    <r>
      <t>4</t>
    </r>
    <r>
      <rPr>
        <sz val="11"/>
        <color indexed="8"/>
        <rFont val="宋体"/>
        <family val="3"/>
        <charset val="134"/>
      </rPr>
      <t>5</t>
    </r>
    <r>
      <rPr>
        <sz val="11"/>
        <color indexed="8"/>
        <rFont val="宋体"/>
        <family val="3"/>
        <charset val="134"/>
      </rPr>
      <t>000,20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</si>
</sst>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indexed="8"/>
      <name val="宋体"/>
      <family val="3"/>
      <charset val="134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rgb="FF006100"/>
      <name val="Helvetica Neue"/>
      <family val="2"/>
      <scheme val="minor"/>
    </font>
    <font>
      <sz val="11"/>
      <color theme="1"/>
      <name val="Helvetica Neue"/>
      <family val="2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C6EFCE"/>
        <bgColor indexed="64"/>
      </patternFill>
    </fill>
  </fills>
  <borders count="3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 applyNumberFormat="0" applyFill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4" fillId="3" borderId="2" applyNumberFormat="0" applyAlignment="0" applyProtection="0">
      <alignment vertical="center"/>
    </xf>
    <xf numFmtId="0" fontId="6" fillId="11" borderId="0" applyNumberFormat="0" applyBorder="0" applyAlignment="0" applyProtection="0">
      <alignment vertical="center"/>
    </xf>
  </cellStyleXfs>
  <cellXfs count="45">
    <xf numFmtId="0" fontId="0" fillId="0" borderId="0" xfId="0" applyFont="1" applyAlignment="1">
      <alignment vertical="center"/>
    </xf>
    <xf numFmtId="49" fontId="0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0" fillId="0" borderId="0" xfId="0" applyAlignment="1"/>
    <xf numFmtId="49" fontId="2" fillId="0" borderId="1" xfId="0" applyNumberFormat="1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0" fillId="2" borderId="1" xfId="0" applyNumberFormat="1" applyFont="1" applyFill="1" applyBorder="1" applyAlignment="1"/>
    <xf numFmtId="0" fontId="2" fillId="2" borderId="1" xfId="0" applyNumberFormat="1" applyFont="1" applyFill="1" applyBorder="1" applyAlignment="1"/>
    <xf numFmtId="0" fontId="2" fillId="2" borderId="1" xfId="0" applyFont="1" applyFill="1" applyBorder="1" applyAlignment="1"/>
    <xf numFmtId="0" fontId="0" fillId="2" borderId="1" xfId="0" applyFont="1" applyFill="1" applyBorder="1" applyAlignment="1"/>
    <xf numFmtId="0" fontId="0" fillId="0" borderId="1" xfId="0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>
      <alignment vertical="center"/>
    </xf>
    <xf numFmtId="49" fontId="2" fillId="2" borderId="0" xfId="0" applyNumberFormat="1" applyFont="1" applyFill="1" applyBorder="1" applyAlignment="1"/>
    <xf numFmtId="49" fontId="2" fillId="0" borderId="0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0" fillId="2" borderId="0" xfId="0" applyNumberFormat="1" applyFont="1" applyFill="1" applyBorder="1" applyAlignment="1"/>
    <xf numFmtId="0" fontId="0" fillId="2" borderId="0" xfId="0" applyFont="1" applyFill="1" applyBorder="1" applyAlignment="1"/>
    <xf numFmtId="0" fontId="0" fillId="0" borderId="0" xfId="0" applyFont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0" fontId="2" fillId="0" borderId="0" xfId="0" applyFont="1">
      <alignment vertical="center"/>
    </xf>
    <xf numFmtId="0" fontId="4" fillId="3" borderId="2" xfId="2">
      <alignment vertical="center"/>
    </xf>
    <xf numFmtId="0" fontId="5" fillId="0" borderId="0" xfId="0" applyFont="1">
      <alignment vertical="center"/>
    </xf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3" fillId="8" borderId="0" xfId="0" applyFont="1" applyFill="1" applyAlignment="1"/>
    <xf numFmtId="0" fontId="0" fillId="9" borderId="0" xfId="0" applyFill="1">
      <alignment vertical="center"/>
    </xf>
    <xf numFmtId="0" fontId="0" fillId="0" borderId="0" xfId="0" applyFill="1" applyAlignment="1"/>
    <xf numFmtId="0" fontId="0" fillId="0" borderId="0" xfId="0" applyFill="1">
      <alignment vertical="center"/>
    </xf>
    <xf numFmtId="0" fontId="6" fillId="0" borderId="0" xfId="3" applyFill="1">
      <alignment vertical="center"/>
    </xf>
    <xf numFmtId="0" fontId="7" fillId="0" borderId="0" xfId="1" applyFill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49" fontId="2" fillId="2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 vertical="center"/>
    </xf>
    <xf numFmtId="0" fontId="0" fillId="2" borderId="1" xfId="0" applyNumberFormat="1" applyFont="1" applyFill="1" applyBorder="1" applyAlignment="1">
      <alignment horizontal="left"/>
    </xf>
    <xf numFmtId="0" fontId="2" fillId="2" borderId="1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2" borderId="1" xfId="0" applyFont="1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</cellXfs>
  <cellStyles count="4">
    <cellStyle name="20% - 着色 3" xfId="1" builtinId="38"/>
    <cellStyle name="常规" xfId="0" builtinId="0"/>
    <cellStyle name="好" xfId="3" builtinId="26"/>
    <cellStyle name="计算" xfId="2" builtinId="22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1.4000000000000001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1.4000000000000001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1.4000000000000001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1.4000000000000001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1.4000000000000001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1.4000000000000001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1.4000000000000001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1.4000000000000001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1.4000000000000001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1.4000000000000001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1.4000000000000001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1.4000000000000001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1.4000000000000001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1.4000000000000001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1.4000000000000001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1.4000000000000001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1.4000000000000001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1.4000000000000001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1.4000000000000001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1.4000000000000001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1.4000000000000001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1.4000000000000001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1.4000000000000001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1.4000000000000001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1.4000000000000001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1.4000000000000001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1.4000000000000001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1.4000000000000001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1.4000000000000001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1.4000000000000001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1.4000000000000001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1.4000000000000001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1.4000000000000001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1.4000000000000001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1.4000000000000001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1.4000000000000001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1.4000000000000001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1.4000000000000001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1.4000000000000001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1.4000000000000001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1.4000000000000001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1.4000000000000001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1.4000000000000001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1.4000000000000001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1.4000000000000001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1.4000000000000001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1.4000000000000001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1.4000000000000001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1.4000000000000001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1.4000000000000001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1.4000000000000001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1.4000000000000001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1.4000000000000001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1.4000000000000001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1.4000000000000001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1.4000000000000001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1.4000000000000001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1.4000000000000001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1.4000000000000001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1.4000000000000001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1.4000000000000001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1.4000000000000001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1.4000000000000001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1.4000000000000001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1.4000000000000001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1.4000000000000001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1.4000000000000001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1.4000000000000001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1.4000000000000001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1.4000000000000001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1.4000000000000001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1.4000000000000001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1.4000000000000001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1.4000000000000001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1.4000000000000001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1.4000000000000001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1.4000000000000001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1.4000000000000001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1.4000000000000001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1.4000000000000001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1.4000000000000001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1.4000000000000001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1.4000000000000001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1.4000000000000001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1.4000000000000001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1.4000000000000001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1.4000000000000001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1.4000000000000001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1.4000000000000001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1.4000000000000001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1.4000000000000001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1.4000000000000001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1.4000000000000001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1.4000000000000001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1.4000000000000001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1.4000000000000001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1.4000000000000001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1.4000000000000001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1.4000000000000001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1.4000000000000001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1.4000000000000001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1.4000000000000001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1.4000000000000001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1.4000000000000001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1.4000000000000001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1.4000000000000001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1.4000000000000001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1.4000000000000001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1.4000000000000001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1.4000000000000001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1.4000000000000001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1.4000000000000001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1.4000000000000001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1.4000000000000001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1.4000000000000001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1.4000000000000001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1.4000000000000001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1.4000000000000001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1.4000000000000001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1.4000000000000001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1.4000000000000001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1.4000000000000001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1.4000000000000001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1.4000000000000001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1.4000000000000001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1.4000000000000001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1.4000000000000001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1.4000000000000001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1.4000000000000001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1.4000000000000001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1.4000000000000001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1.4000000000000001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213.33400000000003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213.33400000000003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153.60000000000002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174.54600000000002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174.54600000000002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213.33400000000003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1.4000000000000001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1.4000000000000001</v>
          </cell>
          <cell r="N808">
            <v>67.2</v>
          </cell>
          <cell r="O808">
            <v>6.72</v>
          </cell>
          <cell r="P808">
            <v>213.33400000000003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1.4000000000000001</v>
          </cell>
          <cell r="N811">
            <v>85.87</v>
          </cell>
          <cell r="O811">
            <v>8.59</v>
          </cell>
          <cell r="P811">
            <v>166.95600000000002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213.33400000000003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213.33400000000003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153.60000000000002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174.54600000000002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174.54600000000002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213.33400000000003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1.4000000000000001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1.4000000000000001</v>
          </cell>
          <cell r="N820">
            <v>67.2</v>
          </cell>
          <cell r="O820">
            <v>6.72</v>
          </cell>
          <cell r="P820">
            <v>213.33400000000003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1.4000000000000001</v>
          </cell>
          <cell r="N823">
            <v>85.87</v>
          </cell>
          <cell r="O823">
            <v>8.59</v>
          </cell>
          <cell r="P823">
            <v>166.95600000000002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213.33400000000003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213.33400000000003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153.60000000000002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174.54600000000002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174.54600000000002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213.33400000000003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1.4000000000000001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1.4000000000000001</v>
          </cell>
          <cell r="N832">
            <v>67.2</v>
          </cell>
          <cell r="O832">
            <v>6.72</v>
          </cell>
          <cell r="P832">
            <v>213.33400000000003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1.4000000000000001</v>
          </cell>
          <cell r="N835">
            <v>85.87</v>
          </cell>
          <cell r="O835">
            <v>8.59</v>
          </cell>
          <cell r="P835">
            <v>166.95600000000002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213.33400000000003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213.33400000000003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153.60000000000002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174.54600000000002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174.54600000000002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213.33400000000003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1.4000000000000001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1.4000000000000001</v>
          </cell>
          <cell r="N844">
            <v>67.2</v>
          </cell>
          <cell r="O844">
            <v>6.72</v>
          </cell>
          <cell r="P844">
            <v>213.33400000000003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1.4000000000000001</v>
          </cell>
          <cell r="N847">
            <v>85.87</v>
          </cell>
          <cell r="O847">
            <v>8.59</v>
          </cell>
          <cell r="P847">
            <v>166.95600000000002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213.33400000000003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213.33400000000003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153.60000000000002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174.54600000000002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174.54600000000002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213.33400000000003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1.4000000000000001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1.4000000000000001</v>
          </cell>
          <cell r="N856">
            <v>67.2</v>
          </cell>
          <cell r="O856">
            <v>6.72</v>
          </cell>
          <cell r="P856">
            <v>213.33400000000003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1.4000000000000001</v>
          </cell>
          <cell r="N859">
            <v>85.87</v>
          </cell>
          <cell r="O859">
            <v>8.59</v>
          </cell>
          <cell r="P859">
            <v>166.95600000000002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1.4000000000000001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C988"/>
  <sheetViews>
    <sheetView tabSelected="1" topLeftCell="L1" workbookViewId="0">
      <selection activeCell="S28" sqref="S28:S35"/>
    </sheetView>
  </sheetViews>
  <sheetFormatPr defaultColWidth="8.875" defaultRowHeight="13.5" customHeight="1"/>
  <cols>
    <col min="1" max="3" width="6.5" style="11" bestFit="1" customWidth="1"/>
    <col min="4" max="4" width="15.125" style="11" bestFit="1" customWidth="1"/>
    <col min="5" max="5" width="17.25" style="11" bestFit="1" customWidth="1"/>
    <col min="6" max="6" width="13.125" style="11" customWidth="1"/>
    <col min="7" max="7" width="32.75" style="11" customWidth="1"/>
    <col min="8" max="8" width="12.75" style="11" customWidth="1"/>
    <col min="9" max="9" width="26.125" style="11" customWidth="1"/>
    <col min="10" max="10" width="13.875" style="11" bestFit="1" customWidth="1"/>
    <col min="11" max="11" width="12.75" style="11" customWidth="1"/>
    <col min="12" max="14" width="15" style="11" customWidth="1"/>
    <col min="15" max="15" width="15" style="41" customWidth="1"/>
    <col min="16" max="16" width="15" style="11" customWidth="1"/>
    <col min="17" max="18" width="16.25" style="11" customWidth="1"/>
    <col min="19" max="29" width="8.875" style="11" customWidth="1"/>
    <col min="30" max="30" width="11.875" style="11" customWidth="1"/>
    <col min="31" max="38" width="8.875" style="11" customWidth="1"/>
    <col min="39" max="39" width="13" style="11" customWidth="1"/>
    <col min="40" max="41" width="11" style="11" customWidth="1"/>
    <col min="42" max="45" width="9" style="11" customWidth="1"/>
    <col min="46" max="55" width="8.875" style="11" customWidth="1"/>
    <col min="57" max="57" width="11" style="12" customWidth="1"/>
    <col min="58" max="71" width="8.875" style="12"/>
    <col min="72" max="80" width="8.875" style="12" customWidth="1"/>
    <col min="81" max="83" width="13" style="12" customWidth="1"/>
    <col min="84" max="84" width="8.875" style="12" customWidth="1"/>
    <col min="85" max="85" width="10.5" style="12" customWidth="1"/>
    <col min="86" max="88" width="8.875" style="12" customWidth="1"/>
    <col min="89" max="92" width="8.875" style="12"/>
    <col min="93" max="93" width="6.5" style="12" customWidth="1"/>
    <col min="94" max="99" width="8.875" style="12"/>
    <col min="100" max="100" width="12.75" style="12" customWidth="1"/>
    <col min="101" max="125" width="8.875" style="12"/>
    <col min="126" max="263" width="8.875" style="11" customWidth="1"/>
  </cols>
  <sheetData>
    <row r="1" spans="1:127" ht="15.95" customHeigh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8</v>
      </c>
      <c r="J1" s="13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7" t="s">
        <v>14</v>
      </c>
      <c r="T1" s="11">
        <f>1600*5</f>
        <v>8000</v>
      </c>
      <c r="W1" s="12">
        <v>80</v>
      </c>
      <c r="X1" s="12">
        <v>960</v>
      </c>
      <c r="Y1" s="12">
        <v>3000</v>
      </c>
      <c r="Z1" s="12">
        <f>W1*X1/1.5*0.9*1.05/Y1</f>
        <v>16.128</v>
      </c>
    </row>
    <row r="2" spans="1:127" ht="15.95" customHeight="1">
      <c r="A2" s="1" t="s">
        <v>15</v>
      </c>
      <c r="B2" s="2" t="s">
        <v>16</v>
      </c>
      <c r="C2" s="2" t="s">
        <v>17</v>
      </c>
      <c r="D2" s="4" t="s">
        <v>16</v>
      </c>
      <c r="E2" s="4" t="s">
        <v>17</v>
      </c>
      <c r="F2" s="4" t="s">
        <v>16</v>
      </c>
      <c r="G2" s="4" t="s">
        <v>18</v>
      </c>
      <c r="H2" s="3" t="s">
        <v>19</v>
      </c>
      <c r="I2" s="3" t="s">
        <v>19</v>
      </c>
      <c r="J2" s="14" t="s">
        <v>17</v>
      </c>
      <c r="K2" s="4" t="s">
        <v>18</v>
      </c>
      <c r="L2" s="5" t="s">
        <v>19</v>
      </c>
      <c r="M2" s="5" t="s">
        <v>19</v>
      </c>
      <c r="N2" s="5" t="s">
        <v>19</v>
      </c>
      <c r="O2" s="38" t="s">
        <v>19</v>
      </c>
    </row>
    <row r="3" spans="1:127" ht="15.95" customHeight="1">
      <c r="A3" s="5" t="s">
        <v>20</v>
      </c>
      <c r="B3" s="2" t="s">
        <v>21</v>
      </c>
      <c r="C3" s="2" t="s">
        <v>22</v>
      </c>
      <c r="D3" s="2" t="s">
        <v>23</v>
      </c>
      <c r="E3" s="2" t="s">
        <v>24</v>
      </c>
      <c r="F3" s="2" t="s">
        <v>25</v>
      </c>
      <c r="G3" s="2" t="s">
        <v>26</v>
      </c>
      <c r="H3" s="3" t="s">
        <v>27</v>
      </c>
      <c r="I3" s="3" t="s">
        <v>28</v>
      </c>
      <c r="J3" s="13" t="s">
        <v>29</v>
      </c>
      <c r="K3" s="2" t="s">
        <v>30</v>
      </c>
      <c r="L3" s="2" t="s">
        <v>31</v>
      </c>
      <c r="M3" s="2" t="s">
        <v>31</v>
      </c>
      <c r="N3" s="2" t="s">
        <v>31</v>
      </c>
      <c r="O3" s="37" t="s">
        <v>32</v>
      </c>
      <c r="R3" s="16" t="s">
        <v>23</v>
      </c>
      <c r="S3" s="16" t="s">
        <v>33</v>
      </c>
      <c r="T3" s="16" t="s">
        <v>34</v>
      </c>
      <c r="U3" s="16" t="s">
        <v>35</v>
      </c>
      <c r="V3" s="16" t="s">
        <v>36</v>
      </c>
      <c r="W3" s="16" t="s">
        <v>37</v>
      </c>
      <c r="X3" s="16" t="s">
        <v>38</v>
      </c>
      <c r="Y3" s="16" t="s">
        <v>39</v>
      </c>
      <c r="Z3" s="16" t="s">
        <v>40</v>
      </c>
      <c r="AA3" s="16" t="s">
        <v>41</v>
      </c>
      <c r="AB3" s="16" t="s">
        <v>42</v>
      </c>
      <c r="AC3" s="16" t="s">
        <v>43</v>
      </c>
      <c r="AD3" s="16" t="s">
        <v>44</v>
      </c>
      <c r="AE3" s="16" t="s">
        <v>45</v>
      </c>
      <c r="AF3" s="16" t="s">
        <v>46</v>
      </c>
      <c r="AG3" s="16" t="s">
        <v>47</v>
      </c>
      <c r="AH3" s="16" t="s">
        <v>48</v>
      </c>
      <c r="AI3" s="16" t="s">
        <v>49</v>
      </c>
      <c r="AJ3" s="16" t="s">
        <v>50</v>
      </c>
      <c r="AK3" s="16" t="s">
        <v>51</v>
      </c>
      <c r="AL3" s="16" t="s">
        <v>52</v>
      </c>
      <c r="AN3" s="16"/>
      <c r="AZ3" s="3"/>
      <c r="BA3" s="3"/>
      <c r="BB3" s="3"/>
      <c r="BC3" s="3"/>
      <c r="BE3" s="21" t="s">
        <v>53</v>
      </c>
      <c r="BF3" s="12">
        <v>1</v>
      </c>
      <c r="BG3" s="3">
        <v>2</v>
      </c>
      <c r="BH3" s="3">
        <v>3</v>
      </c>
      <c r="BI3" s="3">
        <v>4</v>
      </c>
      <c r="BJ3" s="3">
        <v>5</v>
      </c>
      <c r="BK3" s="3">
        <v>6</v>
      </c>
      <c r="BL3" s="3">
        <v>7</v>
      </c>
      <c r="BM3" s="3">
        <v>8</v>
      </c>
      <c r="BN3" s="3">
        <v>9</v>
      </c>
      <c r="BO3" s="3">
        <v>10</v>
      </c>
      <c r="BP3" s="3">
        <v>11</v>
      </c>
      <c r="BQ3" s="3">
        <v>12</v>
      </c>
      <c r="BR3" s="3">
        <v>13</v>
      </c>
      <c r="BS3" s="3">
        <v>14</v>
      </c>
      <c r="BT3" s="3" t="s">
        <v>54</v>
      </c>
      <c r="BU3" s="3" t="s">
        <v>55</v>
      </c>
      <c r="BV3" s="22" t="s">
        <v>56</v>
      </c>
      <c r="BW3" s="3" t="s">
        <v>57</v>
      </c>
      <c r="BX3" s="3" t="s">
        <v>58</v>
      </c>
      <c r="BY3" s="3" t="s">
        <v>59</v>
      </c>
      <c r="BZ3" s="3" t="s">
        <v>60</v>
      </c>
      <c r="CA3" s="3" t="s">
        <v>61</v>
      </c>
      <c r="CB3" s="23" t="s">
        <v>62</v>
      </c>
      <c r="CC3" s="24" t="s">
        <v>63</v>
      </c>
      <c r="CD3" s="24" t="s">
        <v>64</v>
      </c>
      <c r="CE3" s="24" t="s">
        <v>65</v>
      </c>
      <c r="CF3" s="25" t="s">
        <v>66</v>
      </c>
      <c r="CI3" s="25" t="s">
        <v>67</v>
      </c>
      <c r="CS3" s="3" t="s">
        <v>22</v>
      </c>
      <c r="CT3" s="3" t="s">
        <v>68</v>
      </c>
      <c r="CV3" s="3" t="s">
        <v>69</v>
      </c>
      <c r="CW3" s="3" t="s">
        <v>70</v>
      </c>
      <c r="CX3" s="3" t="s">
        <v>71</v>
      </c>
      <c r="CY3" s="22" t="s">
        <v>72</v>
      </c>
      <c r="CZ3" s="22" t="s">
        <v>73</v>
      </c>
      <c r="DA3" s="22" t="s">
        <v>74</v>
      </c>
      <c r="DB3" s="22" t="s">
        <v>75</v>
      </c>
      <c r="DC3" s="22" t="s">
        <v>76</v>
      </c>
      <c r="DD3" s="22" t="s">
        <v>77</v>
      </c>
      <c r="DE3" s="22" t="s">
        <v>78</v>
      </c>
      <c r="DF3" s="22" t="s">
        <v>79</v>
      </c>
      <c r="DG3" s="22" t="s">
        <v>80</v>
      </c>
      <c r="DH3" s="22" t="s">
        <v>81</v>
      </c>
      <c r="DI3" s="22" t="s">
        <v>82</v>
      </c>
      <c r="DJ3" s="22" t="s">
        <v>83</v>
      </c>
      <c r="DK3" s="22" t="s">
        <v>84</v>
      </c>
      <c r="DL3" s="22" t="s">
        <v>85</v>
      </c>
      <c r="DM3" s="22" t="s">
        <v>86</v>
      </c>
      <c r="DS3" s="21" t="s">
        <v>87</v>
      </c>
    </row>
    <row r="4" spans="1:127" ht="15.95" customHeight="1">
      <c r="A4" s="6">
        <v>1</v>
      </c>
      <c r="B4" s="6">
        <v>1</v>
      </c>
      <c r="C4" s="6">
        <v>1</v>
      </c>
      <c r="D4" s="6">
        <v>30</v>
      </c>
      <c r="E4" s="6">
        <f>T4</f>
        <v>2422</v>
      </c>
      <c r="F4" s="6">
        <v>1001</v>
      </c>
      <c r="G4" s="7" t="str">
        <f>U4&amp;","&amp;V4&amp;","&amp;W4</f>
        <v>5201051,3401031,3401031</v>
      </c>
      <c r="H4" s="7" t="str">
        <f>X4&amp;","&amp;Y4&amp;","&amp;Z4</f>
        <v>3,3,3</v>
      </c>
      <c r="I4" s="7" t="str">
        <f>AA4&amp;","&amp;AB4&amp;","&amp;AC4</f>
        <v>43,43,43</v>
      </c>
      <c r="J4" s="6">
        <v>30</v>
      </c>
      <c r="K4" s="8">
        <v>1</v>
      </c>
      <c r="L4" s="6">
        <v>0</v>
      </c>
      <c r="M4" s="6">
        <v>0</v>
      </c>
      <c r="N4" s="6">
        <v>0</v>
      </c>
      <c r="O4" s="39">
        <v>30000</v>
      </c>
      <c r="Q4" s="11" t="str">
        <f>U4&amp;","&amp;V4&amp;","&amp;W4</f>
        <v>5201051,3401031,3401031</v>
      </c>
      <c r="R4" s="6">
        <v>15</v>
      </c>
      <c r="S4" s="11">
        <v>2422</v>
      </c>
      <c r="T4" s="11">
        <f>FLOOR(S4,1)</f>
        <v>2422</v>
      </c>
      <c r="U4" s="11">
        <v>5201051</v>
      </c>
      <c r="V4" s="11">
        <v>3401031</v>
      </c>
      <c r="W4" s="11">
        <v>3401031</v>
      </c>
      <c r="X4" s="11">
        <v>3</v>
      </c>
      <c r="Y4" s="11">
        <v>3</v>
      </c>
      <c r="Z4" s="11">
        <v>3</v>
      </c>
      <c r="AA4" s="11">
        <f>IF(AD4&gt;0,FLOOR((POWER((AD4/IF(AND(X4&gt;=2,X4&lt;4),1.2,IF(AND(X4&gt;=4,X4&lt;6),1.4,IF(X4&gt;=6,1.6,1)))/$Z$1),0.5)/INDEX($BF$4:$BS$4,MATCH(X4,$BF$3:$BS$3,0))-1)*10,1),"")</f>
        <v>43</v>
      </c>
      <c r="AB4" s="11">
        <f t="shared" ref="AB4:AC4" si="0">IF(AE4&gt;0,FLOOR((POWER((AE4/IF(AND(Y4&gt;=2,Y4&lt;4),1.2,IF(AND(Y4&gt;=4,Y4&lt;6),1.4,IF(Y4&gt;=6,1.6,1)))/$Z$1),0.5)/INDEX($BF$4:$BS$4,MATCH(Y4,$BF$3:$BS$3,0))-1)*10,1),"")</f>
        <v>43</v>
      </c>
      <c r="AC4" s="11">
        <f t="shared" si="0"/>
        <v>43</v>
      </c>
      <c r="AD4" s="11">
        <f>$T4/3</f>
        <v>807.33333333333337</v>
      </c>
      <c r="AE4" s="11">
        <f t="shared" ref="AE4:AF19" si="1">$T4/3</f>
        <v>807.33333333333337</v>
      </c>
      <c r="AF4" s="11">
        <f t="shared" si="1"/>
        <v>807.33333333333337</v>
      </c>
      <c r="AZ4" s="3"/>
      <c r="BA4" s="3"/>
      <c r="BB4" s="3"/>
      <c r="BC4" s="3"/>
      <c r="BF4" s="12">
        <v>1</v>
      </c>
      <c r="BG4" s="3">
        <v>1.1000000000000001</v>
      </c>
      <c r="BH4" s="12">
        <v>1.2</v>
      </c>
      <c r="BI4" s="3">
        <v>1.4</v>
      </c>
      <c r="BJ4" s="12">
        <v>1.6</v>
      </c>
      <c r="BK4" s="3">
        <v>2</v>
      </c>
      <c r="BL4" s="12">
        <v>2.2000000000000002</v>
      </c>
      <c r="BM4" s="3">
        <v>2.4</v>
      </c>
      <c r="BN4" s="12">
        <v>2.6</v>
      </c>
      <c r="BO4" s="3">
        <v>2.8</v>
      </c>
      <c r="BP4" s="12">
        <v>3</v>
      </c>
      <c r="BQ4" s="3">
        <v>3.2</v>
      </c>
      <c r="BR4" s="12">
        <v>3.4</v>
      </c>
      <c r="BS4" s="3">
        <v>3.6</v>
      </c>
      <c r="BT4" s="22">
        <v>3201031</v>
      </c>
      <c r="BU4" s="3">
        <f>[1]monsters!$N4</f>
        <v>103.68</v>
      </c>
      <c r="BV4" s="3">
        <f>[1]monsters!$O4</f>
        <v>10.37</v>
      </c>
      <c r="BW4" s="3">
        <f>[1]monsters!$P4</f>
        <v>1280</v>
      </c>
      <c r="BX4" s="3">
        <f>[1]monsters!$Q4</f>
        <v>128</v>
      </c>
      <c r="BY4" s="3">
        <f>[1]monsters!$R4</f>
        <v>20.74</v>
      </c>
      <c r="BZ4" s="3">
        <f>[1]monsters!$S4</f>
        <v>2.0699999999999998</v>
      </c>
      <c r="CA4" s="3">
        <f>[1]monsters!$K4</f>
        <v>1.8</v>
      </c>
      <c r="CB4" s="12">
        <f>[1]monsters!$D4</f>
        <v>2</v>
      </c>
      <c r="CC4" s="12">
        <f t="shared" ref="CC4:CC67" ca="1" si="2">INDEX($CK$5:$CK$10,MATCH($CC4,$CJ$5:$CJ$10))</f>
        <v>0.1</v>
      </c>
      <c r="CD4" s="12">
        <f ca="1">(BW4/33/(1-CC4)/(1-0)+BU4*(1+0.5*0.1)*0.9)</f>
        <v>66.591030303030294</v>
      </c>
      <c r="CE4" s="12">
        <f ca="1">(BW4/33/(1-CC4)/(1-0)+BU4*(1+0.5*0.1)*0.9)*0.1</f>
        <v>6.6591030303030303</v>
      </c>
      <c r="CF4" s="12">
        <v>1000</v>
      </c>
      <c r="CG4" s="12">
        <v>1E-4</v>
      </c>
      <c r="CI4" s="23" t="s">
        <v>88</v>
      </c>
      <c r="CJ4" s="23" t="s">
        <v>89</v>
      </c>
      <c r="CM4" s="21" t="s">
        <v>90</v>
      </c>
      <c r="CN4" s="21" t="s">
        <v>91</v>
      </c>
      <c r="CO4" s="21" t="s">
        <v>64</v>
      </c>
      <c r="CS4" s="3">
        <v>1</v>
      </c>
      <c r="CT4" s="3">
        <v>100</v>
      </c>
      <c r="CV4" s="3">
        <f t="shared" ref="CV4:CV35" ca="1" si="3">IF(CY4&lt;&gt;"",DH4*1000000+DB4*1000+CY4*10+DK4,"")</f>
        <v>3201033</v>
      </c>
      <c r="CW4" s="3">
        <f t="shared" ref="CW4:CW35" ca="1" si="4">IF(CZ4&lt;&gt;"",DI4*1000000+DC4*1000+CZ4*10+DL4,"")</f>
        <v>3500033</v>
      </c>
      <c r="CX4" s="3">
        <f t="shared" ref="CX4:CX35" ca="1" si="5">IF(DA4&lt;&gt;"",DJ4*1000000+DD4*1000+DA4*10+DM4,"")</f>
        <v>3600033</v>
      </c>
      <c r="CY4" s="11">
        <v>3</v>
      </c>
      <c r="CZ4" s="11">
        <v>3</v>
      </c>
      <c r="DA4" s="11">
        <v>3</v>
      </c>
      <c r="DB4" s="12">
        <f ca="1">INDEX($DQ$4:$DQ$18,RANDBETWEEN(1,14))</f>
        <v>201</v>
      </c>
      <c r="DC4" s="12">
        <f t="shared" ref="DC4:DD19" ca="1" si="6">INDEX($DQ$4:$DQ$18,RANDBETWEEN(1,14))</f>
        <v>500</v>
      </c>
      <c r="DD4" s="12">
        <f t="shared" ca="1" si="6"/>
        <v>600</v>
      </c>
      <c r="DE4" s="12">
        <f t="shared" ref="DE4:DG35" ca="1" si="7">INDEX($DQ$19:$DQ$32,RANDBETWEEN(1,14))</f>
        <v>0</v>
      </c>
      <c r="DF4" s="12">
        <f t="shared" ca="1" si="7"/>
        <v>0</v>
      </c>
      <c r="DG4" s="12">
        <f t="shared" ca="1" si="7"/>
        <v>0</v>
      </c>
      <c r="DH4" s="11">
        <v>3</v>
      </c>
      <c r="DI4" s="11">
        <v>3</v>
      </c>
      <c r="DJ4" s="11">
        <v>3</v>
      </c>
      <c r="DK4" s="12">
        <v>3</v>
      </c>
      <c r="DL4" s="12">
        <v>3</v>
      </c>
      <c r="DM4" s="12">
        <v>3</v>
      </c>
      <c r="DN4" s="22">
        <v>3201031</v>
      </c>
      <c r="DP4" s="12">
        <v>200</v>
      </c>
      <c r="DQ4" s="12">
        <v>200</v>
      </c>
      <c r="DS4" s="21">
        <f t="shared" ref="DS4:DS35" ca="1" si="8">IF(ISERROR(MATCH(CV4,$DO$4:$DO$988)),CV4,DH4*1000000+INDEX($DQ$19:$DQ$32,RANDBETWEEN(1,14))*1000+CY4*10+DK4)</f>
        <v>3201033</v>
      </c>
      <c r="DT4" s="21">
        <f t="shared" ref="DT4:DT35" ca="1" si="9">IF(ISERROR(MATCH(CW4,$DO$4:$DO$988)),CW4,DI4*1000000+INDEX($DQ$19:$DQ$32,RANDBETWEEN(1,14))*1000+CZ4*10+DL4)</f>
        <v>3500033</v>
      </c>
      <c r="DU4" s="21">
        <f t="shared" ref="DU4:DU35" ca="1" si="10">IF(ISERROR(MATCH(CX4,$DO$4:$DO$988)),CX4,DJ4*1000000+INDEX($DQ$19:$DQ$32,RANDBETWEEN(1,14))*1000+DA4*10+DM4)</f>
        <v>3600033</v>
      </c>
      <c r="DW4" s="6">
        <v>15</v>
      </c>
    </row>
    <row r="5" spans="1:127" ht="15.95" customHeight="1">
      <c r="A5" s="6">
        <v>2</v>
      </c>
      <c r="B5" s="6">
        <v>1</v>
      </c>
      <c r="C5" s="6">
        <v>2</v>
      </c>
      <c r="D5" s="6">
        <v>40</v>
      </c>
      <c r="E5" s="6">
        <f t="shared" ref="E5:E35" si="11">T5</f>
        <v>10449</v>
      </c>
      <c r="F5" s="6">
        <v>1001</v>
      </c>
      <c r="G5" s="7" t="str">
        <f t="shared" ref="G5:G35" si="12">U5&amp;","&amp;V5&amp;","&amp;W5</f>
        <v>5201051,3401041,3401041</v>
      </c>
      <c r="H5" s="7" t="str">
        <f t="shared" ref="H5:H35" si="13">X5&amp;","&amp;Y5&amp;","&amp;Z5</f>
        <v>4,4,4</v>
      </c>
      <c r="I5" s="7" t="str">
        <f t="shared" ref="I5:I35" si="14">AA5&amp;","&amp;AB5&amp;","&amp;AC5</f>
        <v>78,78,78</v>
      </c>
      <c r="J5" s="6">
        <v>40</v>
      </c>
      <c r="K5" s="8">
        <v>1</v>
      </c>
      <c r="L5" s="6">
        <v>0</v>
      </c>
      <c r="M5" s="6">
        <v>0</v>
      </c>
      <c r="N5" s="6">
        <v>0</v>
      </c>
      <c r="O5" s="39">
        <v>60000</v>
      </c>
      <c r="Q5" s="11" t="str">
        <f t="shared" ref="Q5:Q35" si="15">U5&amp;","&amp;V5&amp;","&amp;W5</f>
        <v>5201051,3401041,3401041</v>
      </c>
      <c r="R5" s="6">
        <v>35</v>
      </c>
      <c r="S5" s="11">
        <v>10449.6</v>
      </c>
      <c r="T5" s="11">
        <f t="shared" ref="T5:T29" si="16">FLOOR(S5,1)</f>
        <v>10449</v>
      </c>
      <c r="U5" s="11">
        <v>5201051</v>
      </c>
      <c r="V5" s="11">
        <v>3401041</v>
      </c>
      <c r="W5" s="11">
        <v>3401041</v>
      </c>
      <c r="X5" s="11">
        <v>4</v>
      </c>
      <c r="Y5" s="11">
        <v>4</v>
      </c>
      <c r="Z5" s="11">
        <v>4</v>
      </c>
      <c r="AA5" s="11">
        <f t="shared" ref="AA5:AA35" si="17">IF(AD5&gt;0,FLOOR((POWER((AD5/IF(AND(X5&gt;=2,X5&lt;4),1.2,IF(AND(X5&gt;=4,X5&lt;6),1.4,IF(X5&gt;=6,1.6,1)))/$Z$1),0.5)/INDEX($BF$4:$BS$4,MATCH(X5,$BF$3:$BS$3,0))-1)*10,1),"")</f>
        <v>78</v>
      </c>
      <c r="AB5" s="11">
        <f t="shared" ref="AB5:AB35" si="18">IF(AE5&gt;0,FLOOR((POWER((AE5/IF(AND(Y5&gt;=2,Y5&lt;4),1.2,IF(AND(Y5&gt;=4,Y5&lt;6),1.4,IF(Y5&gt;=6,1.6,1)))/$Z$1),0.5)/INDEX($BF$4:$BS$4,MATCH(Y5,$BF$3:$BS$3,0))-1)*10,1),"")</f>
        <v>78</v>
      </c>
      <c r="AC5" s="11">
        <f t="shared" ref="AC5:AC35" si="19">IF(AF5&gt;0,FLOOR((POWER((AF5/IF(AND(Z5&gt;=2,Z5&lt;4),1.2,IF(AND(Z5&gt;=4,Z5&lt;6),1.4,IF(Z5&gt;=6,1.6,1)))/$Z$1),0.5)/INDEX($BF$4:$BS$4,MATCH(Z5,$BF$3:$BS$3,0))-1)*10,1),"")</f>
        <v>78</v>
      </c>
      <c r="AD5" s="11">
        <f t="shared" ref="AD5:AF35" si="20">$T5/3</f>
        <v>3483</v>
      </c>
      <c r="AE5" s="11">
        <f t="shared" si="1"/>
        <v>3483</v>
      </c>
      <c r="AF5" s="11">
        <f t="shared" si="1"/>
        <v>3483</v>
      </c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3"/>
      <c r="BA5" s="3"/>
      <c r="BB5" s="3"/>
      <c r="BC5" s="3"/>
      <c r="BT5" s="3">
        <v>3302031</v>
      </c>
      <c r="BU5" s="3">
        <f>[1]monsters!$N5</f>
        <v>69.12</v>
      </c>
      <c r="BV5" s="3">
        <f>[1]monsters!$O5</f>
        <v>6.91</v>
      </c>
      <c r="BW5" s="3">
        <f>[1]monsters!$P5</f>
        <v>1280</v>
      </c>
      <c r="BX5" s="3">
        <f>[1]monsters!$Q5</f>
        <v>128</v>
      </c>
      <c r="BY5" s="3">
        <f>[1]monsters!$R5</f>
        <v>13.82</v>
      </c>
      <c r="BZ5" s="3">
        <f>[1]monsters!$S5</f>
        <v>1.38</v>
      </c>
      <c r="CA5" s="3">
        <f>[1]monsters!$K5</f>
        <v>1.2</v>
      </c>
      <c r="CB5" s="12">
        <f>[1]monsters!$D5</f>
        <v>3</v>
      </c>
      <c r="CC5" s="12">
        <f t="shared" ca="1" si="2"/>
        <v>0.1</v>
      </c>
      <c r="CD5" s="12">
        <f t="shared" ref="CD5:CD68" ca="1" si="21">(BW5/33/(1-CC5)/(1-0)+BU5*(1+0.5*0.1)*0.9)</f>
        <v>51.430426936026898</v>
      </c>
      <c r="CE5" s="12">
        <f t="shared" ref="CE5:CE68" ca="1" si="22">(BW5/33/(1-CC5)/(1-0)+BU5*(1+0.5*0.1)*0.9)*0.1</f>
        <v>5.1430426936026903</v>
      </c>
      <c r="CF5" s="12">
        <v>4000</v>
      </c>
      <c r="CG5" s="12">
        <v>5.0000000000000002E-5</v>
      </c>
      <c r="CI5" s="12">
        <v>1</v>
      </c>
      <c r="CJ5" s="12">
        <v>0.1</v>
      </c>
      <c r="CM5" s="12">
        <v>30</v>
      </c>
      <c r="CN5" s="12">
        <v>1200</v>
      </c>
      <c r="CS5" s="3">
        <v>2</v>
      </c>
      <c r="CT5" s="3">
        <f>CT4+POWER(CS5+2,2)+POWER(CS4+1,2)</f>
        <v>120</v>
      </c>
      <c r="CV5" s="3">
        <f t="shared" ca="1" si="3"/>
        <v>3300033</v>
      </c>
      <c r="CW5" s="3">
        <f t="shared" ca="1" si="4"/>
        <v>3402033</v>
      </c>
      <c r="CX5" s="3">
        <f t="shared" ca="1" si="5"/>
        <v>3600033</v>
      </c>
      <c r="CY5" s="11">
        <v>3</v>
      </c>
      <c r="CZ5" s="11">
        <v>3</v>
      </c>
      <c r="DA5" s="11">
        <v>3</v>
      </c>
      <c r="DB5" s="12">
        <f t="shared" ref="DB5:DD35" ca="1" si="23">INDEX($DQ$4:$DQ$18,RANDBETWEEN(1,14))</f>
        <v>300</v>
      </c>
      <c r="DC5" s="12">
        <f t="shared" ca="1" si="6"/>
        <v>402</v>
      </c>
      <c r="DD5" s="12">
        <f t="shared" ca="1" si="6"/>
        <v>600</v>
      </c>
      <c r="DE5" s="12">
        <f t="shared" ca="1" si="7"/>
        <v>0</v>
      </c>
      <c r="DF5" s="12">
        <f t="shared" ca="1" si="7"/>
        <v>0</v>
      </c>
      <c r="DG5" s="12">
        <f t="shared" ca="1" si="7"/>
        <v>0</v>
      </c>
      <c r="DH5" s="11">
        <v>3</v>
      </c>
      <c r="DI5" s="11">
        <v>3</v>
      </c>
      <c r="DJ5" s="11">
        <v>3</v>
      </c>
      <c r="DK5" s="12">
        <v>3</v>
      </c>
      <c r="DL5" s="12">
        <v>3</v>
      </c>
      <c r="DM5" s="12">
        <v>3</v>
      </c>
      <c r="DN5" s="3">
        <v>3302031</v>
      </c>
      <c r="DP5" s="12">
        <v>201</v>
      </c>
      <c r="DQ5" s="12">
        <v>201</v>
      </c>
      <c r="DS5" s="21">
        <f t="shared" ca="1" si="8"/>
        <v>3300033</v>
      </c>
      <c r="DT5" s="21">
        <f t="shared" ca="1" si="9"/>
        <v>3402033</v>
      </c>
      <c r="DU5" s="21">
        <f t="shared" ca="1" si="10"/>
        <v>3600033</v>
      </c>
      <c r="DW5" s="6">
        <v>35</v>
      </c>
    </row>
    <row r="6" spans="1:127" ht="15.95" customHeight="1">
      <c r="A6" s="6">
        <v>3</v>
      </c>
      <c r="B6" s="6">
        <v>1</v>
      </c>
      <c r="C6" s="6">
        <v>3</v>
      </c>
      <c r="D6" s="6">
        <v>55</v>
      </c>
      <c r="E6" s="6">
        <f t="shared" si="11"/>
        <v>34224</v>
      </c>
      <c r="F6" s="6">
        <v>1001</v>
      </c>
      <c r="G6" s="7" t="str">
        <f t="shared" si="12"/>
        <v>5201051,3401051,3401051</v>
      </c>
      <c r="H6" s="7" t="str">
        <f t="shared" si="13"/>
        <v>5,5,5</v>
      </c>
      <c r="I6" s="7" t="str">
        <f t="shared" si="14"/>
        <v>130,130,130</v>
      </c>
      <c r="J6" s="6">
        <v>55</v>
      </c>
      <c r="K6" s="8">
        <v>1</v>
      </c>
      <c r="L6" s="6">
        <v>0</v>
      </c>
      <c r="M6" s="6">
        <v>0</v>
      </c>
      <c r="N6" s="6">
        <v>0</v>
      </c>
      <c r="O6" s="39">
        <v>90000</v>
      </c>
      <c r="Q6" s="11" t="str">
        <f t="shared" si="15"/>
        <v>5201051,3401051,3401051</v>
      </c>
      <c r="R6" s="6">
        <v>55</v>
      </c>
      <c r="S6" s="11">
        <v>31113</v>
      </c>
      <c r="T6" s="11">
        <f>FLOOR(S6*1.1,1)</f>
        <v>34224</v>
      </c>
      <c r="U6" s="11">
        <v>5201051</v>
      </c>
      <c r="V6" s="11">
        <v>3401051</v>
      </c>
      <c r="W6" s="11">
        <v>3401051</v>
      </c>
      <c r="X6" s="11">
        <v>5</v>
      </c>
      <c r="Y6" s="11">
        <v>5</v>
      </c>
      <c r="Z6" s="11">
        <v>5</v>
      </c>
      <c r="AA6" s="11">
        <f t="shared" si="17"/>
        <v>130</v>
      </c>
      <c r="AB6" s="11">
        <f t="shared" si="18"/>
        <v>130</v>
      </c>
      <c r="AC6" s="11">
        <f t="shared" si="19"/>
        <v>130</v>
      </c>
      <c r="AD6" s="11">
        <f t="shared" si="20"/>
        <v>11408</v>
      </c>
      <c r="AE6" s="11">
        <f t="shared" si="1"/>
        <v>11408</v>
      </c>
      <c r="AF6" s="11">
        <f t="shared" si="1"/>
        <v>11408</v>
      </c>
      <c r="AT6" s="12"/>
      <c r="AU6" s="12"/>
      <c r="AV6" s="12"/>
      <c r="AW6" s="12"/>
      <c r="AX6" s="12"/>
      <c r="AY6" s="12"/>
      <c r="AZ6" s="3"/>
      <c r="BA6" s="3"/>
      <c r="BB6" s="3"/>
      <c r="BC6" s="3"/>
      <c r="BT6" s="3">
        <v>3401031</v>
      </c>
      <c r="BU6" s="3">
        <f>[1]monsters!$N6</f>
        <v>125.44</v>
      </c>
      <c r="BV6" s="3">
        <f>[1]monsters!$O6</f>
        <v>12.54</v>
      </c>
      <c r="BW6" s="3">
        <f>[1]monsters!$P6</f>
        <v>822.86</v>
      </c>
      <c r="BX6" s="3">
        <f>[1]monsters!$Q6</f>
        <v>82.29</v>
      </c>
      <c r="BY6" s="3">
        <f>[1]monsters!$R6</f>
        <v>15.68</v>
      </c>
      <c r="BZ6" s="3">
        <f>[1]monsters!$S6</f>
        <v>1.57</v>
      </c>
      <c r="CA6" s="3">
        <f>[1]monsters!$K6</f>
        <v>1.4000000000000001</v>
      </c>
      <c r="CB6" s="12">
        <f>[1]monsters!$D6</f>
        <v>5</v>
      </c>
      <c r="CC6" s="12">
        <f t="shared" ca="1" si="2"/>
        <v>0.1</v>
      </c>
      <c r="CD6" s="12">
        <f t="shared" ca="1" si="21"/>
        <v>59.460567493112897</v>
      </c>
      <c r="CE6" s="12">
        <f t="shared" ca="1" si="22"/>
        <v>5.9460567493112899</v>
      </c>
      <c r="CF6" s="12">
        <v>10000</v>
      </c>
      <c r="CG6" s="12">
        <v>2.0000000000000002E-5</v>
      </c>
      <c r="CI6" s="12">
        <v>2</v>
      </c>
      <c r="CJ6" s="12">
        <v>0.1</v>
      </c>
      <c r="CM6" s="12">
        <v>1</v>
      </c>
      <c r="CN6" s="12">
        <v>1</v>
      </c>
      <c r="CS6" s="3">
        <v>3</v>
      </c>
      <c r="CT6" s="3">
        <f t="shared" ref="CT6:CT35" si="24">CT5+POWER(CS6+2,2)+POWER(CS5+1,2)</f>
        <v>154</v>
      </c>
      <c r="CV6" s="3">
        <f t="shared" ca="1" si="3"/>
        <v>3402033</v>
      </c>
      <c r="CW6" s="3">
        <f t="shared" ca="1" si="4"/>
        <v>3300033</v>
      </c>
      <c r="CX6" s="3">
        <f t="shared" ca="1" si="5"/>
        <v>3300033</v>
      </c>
      <c r="CY6" s="11">
        <v>3</v>
      </c>
      <c r="CZ6" s="11">
        <v>3</v>
      </c>
      <c r="DA6" s="11">
        <v>3</v>
      </c>
      <c r="DB6" s="12">
        <f t="shared" ca="1" si="23"/>
        <v>402</v>
      </c>
      <c r="DC6" s="12">
        <f t="shared" ca="1" si="6"/>
        <v>300</v>
      </c>
      <c r="DD6" s="12">
        <f t="shared" ca="1" si="6"/>
        <v>300</v>
      </c>
      <c r="DE6" s="12">
        <f t="shared" ca="1" si="7"/>
        <v>0</v>
      </c>
      <c r="DF6" s="12">
        <f t="shared" ca="1" si="7"/>
        <v>0</v>
      </c>
      <c r="DG6" s="12">
        <f t="shared" ca="1" si="7"/>
        <v>0</v>
      </c>
      <c r="DH6" s="11">
        <v>3</v>
      </c>
      <c r="DI6" s="11">
        <v>3</v>
      </c>
      <c r="DJ6" s="11">
        <v>3</v>
      </c>
      <c r="DK6" s="12">
        <v>3</v>
      </c>
      <c r="DL6" s="12">
        <v>3</v>
      </c>
      <c r="DM6" s="12">
        <v>3</v>
      </c>
      <c r="DN6" s="3">
        <v>3401031</v>
      </c>
      <c r="DP6" s="12">
        <v>202</v>
      </c>
      <c r="DQ6" s="12">
        <v>202</v>
      </c>
      <c r="DS6" s="21">
        <f t="shared" ca="1" si="8"/>
        <v>3402033</v>
      </c>
      <c r="DT6" s="21">
        <f t="shared" ca="1" si="9"/>
        <v>3300033</v>
      </c>
      <c r="DU6" s="21">
        <f t="shared" ca="1" si="10"/>
        <v>3300033</v>
      </c>
      <c r="DW6" s="6">
        <v>55</v>
      </c>
    </row>
    <row r="7" spans="1:127" ht="15.95" customHeight="1">
      <c r="A7" s="6">
        <v>4</v>
      </c>
      <c r="B7" s="6">
        <v>1</v>
      </c>
      <c r="C7" s="6">
        <v>4</v>
      </c>
      <c r="D7" s="6">
        <v>70</v>
      </c>
      <c r="E7" s="6">
        <f t="shared" si="11"/>
        <v>97940</v>
      </c>
      <c r="F7" s="6">
        <v>1001</v>
      </c>
      <c r="G7" s="7" t="str">
        <f t="shared" si="12"/>
        <v>5201051,3401051,3401051</v>
      </c>
      <c r="H7" s="7" t="str">
        <f t="shared" si="13"/>
        <v>5,5,5</v>
      </c>
      <c r="I7" s="7" t="str">
        <f t="shared" si="14"/>
        <v>227,227,227</v>
      </c>
      <c r="J7" s="6">
        <v>70</v>
      </c>
      <c r="K7" s="8">
        <v>1</v>
      </c>
      <c r="L7" s="6">
        <v>0</v>
      </c>
      <c r="M7" s="6">
        <v>0</v>
      </c>
      <c r="N7" s="6">
        <v>0</v>
      </c>
      <c r="O7" s="40">
        <v>150000</v>
      </c>
      <c r="Q7" s="11" t="str">
        <f t="shared" si="15"/>
        <v>5201051,3401051,3401051</v>
      </c>
      <c r="R7" s="6">
        <v>70</v>
      </c>
      <c r="S7" s="11">
        <v>89037</v>
      </c>
      <c r="T7" s="11">
        <f t="shared" ref="T7" si="25">FLOOR(S7*1.1,1)</f>
        <v>97940</v>
      </c>
      <c r="U7" s="11">
        <v>5201051</v>
      </c>
      <c r="V7" s="11">
        <v>3401051</v>
      </c>
      <c r="W7" s="11">
        <v>3401051</v>
      </c>
      <c r="X7" s="11">
        <v>5</v>
      </c>
      <c r="Y7" s="11">
        <v>5</v>
      </c>
      <c r="Z7" s="11">
        <v>5</v>
      </c>
      <c r="AA7" s="11">
        <f t="shared" si="17"/>
        <v>227</v>
      </c>
      <c r="AB7" s="11">
        <f t="shared" si="18"/>
        <v>227</v>
      </c>
      <c r="AC7" s="11">
        <f t="shared" si="19"/>
        <v>227</v>
      </c>
      <c r="AD7" s="11">
        <f t="shared" si="20"/>
        <v>32646.666666666668</v>
      </c>
      <c r="AE7" s="11">
        <f t="shared" si="1"/>
        <v>32646.666666666668</v>
      </c>
      <c r="AF7" s="11">
        <f t="shared" si="1"/>
        <v>32646.666666666668</v>
      </c>
      <c r="AT7" s="12"/>
      <c r="AU7" s="12"/>
      <c r="AV7" s="12"/>
      <c r="AW7" s="12"/>
      <c r="AX7" s="12"/>
      <c r="AY7" s="12"/>
      <c r="AZ7" s="3"/>
      <c r="BA7" s="3"/>
      <c r="BB7" s="3"/>
      <c r="BC7" s="3"/>
      <c r="BH7" s="12" t="s">
        <v>92</v>
      </c>
      <c r="BI7" s="12" t="s">
        <v>93</v>
      </c>
      <c r="BJ7" s="12" t="s">
        <v>94</v>
      </c>
      <c r="BK7" s="12" t="s">
        <v>95</v>
      </c>
      <c r="BL7" s="12" t="s">
        <v>96</v>
      </c>
      <c r="BM7" s="12" t="s">
        <v>97</v>
      </c>
      <c r="BN7" s="21" t="s">
        <v>64</v>
      </c>
      <c r="BO7" s="21" t="s">
        <v>98</v>
      </c>
      <c r="BT7" s="3">
        <v>3500031</v>
      </c>
      <c r="BU7" s="3">
        <f>[1]monsters!$N7</f>
        <v>92.16</v>
      </c>
      <c r="BV7" s="3">
        <f>[1]monsters!$O7</f>
        <v>9.2200000000000006</v>
      </c>
      <c r="BW7" s="3">
        <f>[1]monsters!$P7</f>
        <v>1440</v>
      </c>
      <c r="BX7" s="3">
        <f>[1]monsters!$Q7</f>
        <v>144</v>
      </c>
      <c r="BY7" s="3">
        <f>[1]monsters!$R7</f>
        <v>30.72</v>
      </c>
      <c r="BZ7" s="3">
        <f>[1]monsters!$S7</f>
        <v>3.07</v>
      </c>
      <c r="CA7" s="3">
        <f>[1]monsters!$K7</f>
        <v>1.8</v>
      </c>
      <c r="CB7" s="12">
        <f>[1]monsters!$D7</f>
        <v>2</v>
      </c>
      <c r="CC7" s="12">
        <f t="shared" ca="1" si="2"/>
        <v>0.1</v>
      </c>
      <c r="CD7" s="12">
        <f t="shared" ca="1" si="21"/>
        <v>55.582820202020201</v>
      </c>
      <c r="CE7" s="12">
        <f t="shared" ca="1" si="22"/>
        <v>5.5582820202020198</v>
      </c>
      <c r="CF7" s="12">
        <v>20000</v>
      </c>
      <c r="CG7" s="12">
        <v>7.9999999999999996E-6</v>
      </c>
      <c r="CI7" s="12">
        <v>3</v>
      </c>
      <c r="CJ7" s="12">
        <v>0.1</v>
      </c>
      <c r="CM7" s="12">
        <f>CM5*CM6</f>
        <v>30</v>
      </c>
      <c r="CN7" s="12">
        <f>CN6*CN5</f>
        <v>1200</v>
      </c>
      <c r="CO7" s="31">
        <f>(CN7*CM7*0.9*1.05*1/1/1)/3000</f>
        <v>11.34</v>
      </c>
      <c r="CP7" s="21"/>
      <c r="CS7" s="3">
        <v>4</v>
      </c>
      <c r="CT7" s="3">
        <f t="shared" si="24"/>
        <v>206</v>
      </c>
      <c r="CV7" s="3">
        <f t="shared" ca="1" si="3"/>
        <v>3502043</v>
      </c>
      <c r="CW7" s="3">
        <f t="shared" ca="1" si="4"/>
        <v>3201043</v>
      </c>
      <c r="CX7" s="3">
        <f t="shared" ca="1" si="5"/>
        <v>3300043</v>
      </c>
      <c r="CY7" s="11">
        <v>4</v>
      </c>
      <c r="CZ7" s="11">
        <v>4</v>
      </c>
      <c r="DA7" s="11">
        <v>4</v>
      </c>
      <c r="DB7" s="12">
        <f t="shared" ca="1" si="23"/>
        <v>502</v>
      </c>
      <c r="DC7" s="12">
        <f t="shared" ca="1" si="6"/>
        <v>201</v>
      </c>
      <c r="DD7" s="12">
        <f t="shared" ca="1" si="6"/>
        <v>300</v>
      </c>
      <c r="DE7" s="12">
        <f t="shared" ca="1" si="7"/>
        <v>0</v>
      </c>
      <c r="DF7" s="12">
        <f t="shared" ca="1" si="7"/>
        <v>0</v>
      </c>
      <c r="DG7" s="12">
        <f t="shared" ca="1" si="7"/>
        <v>0</v>
      </c>
      <c r="DH7" s="11">
        <v>3</v>
      </c>
      <c r="DI7" s="11">
        <v>3</v>
      </c>
      <c r="DJ7" s="11">
        <v>3</v>
      </c>
      <c r="DK7" s="12">
        <v>3</v>
      </c>
      <c r="DL7" s="12">
        <v>3</v>
      </c>
      <c r="DM7" s="12">
        <v>3</v>
      </c>
      <c r="DN7" s="3">
        <v>3500031</v>
      </c>
      <c r="DP7" s="22">
        <v>300</v>
      </c>
      <c r="DQ7" s="22">
        <v>300</v>
      </c>
      <c r="DS7" s="21">
        <f t="shared" ca="1" si="8"/>
        <v>3502043</v>
      </c>
      <c r="DT7" s="21">
        <f t="shared" ca="1" si="9"/>
        <v>3201043</v>
      </c>
      <c r="DU7" s="21">
        <f t="shared" ca="1" si="10"/>
        <v>3300043</v>
      </c>
      <c r="DW7" s="6">
        <v>75</v>
      </c>
    </row>
    <row r="8" spans="1:127" ht="15.95" customHeight="1">
      <c r="A8" s="6">
        <v>5</v>
      </c>
      <c r="B8" s="6">
        <v>1</v>
      </c>
      <c r="C8" s="6">
        <v>5</v>
      </c>
      <c r="D8" s="9">
        <v>85</v>
      </c>
      <c r="E8" s="6">
        <f t="shared" si="11"/>
        <v>180731</v>
      </c>
      <c r="F8" s="6">
        <v>1001</v>
      </c>
      <c r="G8" s="7" t="str">
        <f t="shared" si="12"/>
        <v>5201061,3401061,3401061</v>
      </c>
      <c r="H8" s="7" t="str">
        <f t="shared" si="13"/>
        <v>6,6,6</v>
      </c>
      <c r="I8" s="7" t="str">
        <f t="shared" si="14"/>
        <v>231,231,231</v>
      </c>
      <c r="J8" s="9">
        <v>85</v>
      </c>
      <c r="K8" s="8">
        <v>1</v>
      </c>
      <c r="L8" s="6">
        <v>0</v>
      </c>
      <c r="M8" s="6">
        <v>0</v>
      </c>
      <c r="N8" s="6">
        <v>0</v>
      </c>
      <c r="O8" s="40">
        <v>200000</v>
      </c>
      <c r="Q8" s="11" t="str">
        <f t="shared" si="15"/>
        <v>5201061,3401061,3401061</v>
      </c>
      <c r="R8" s="9">
        <v>85</v>
      </c>
      <c r="S8" s="11">
        <v>150609.60000000001</v>
      </c>
      <c r="T8" s="11">
        <f>FLOOR(S8*1.2,1)</f>
        <v>180731</v>
      </c>
      <c r="U8" s="11">
        <v>5201061</v>
      </c>
      <c r="V8" s="11">
        <v>3401061</v>
      </c>
      <c r="W8" s="11">
        <v>3401061</v>
      </c>
      <c r="X8" s="11">
        <v>6</v>
      </c>
      <c r="Y8" s="11">
        <v>6</v>
      </c>
      <c r="Z8" s="11">
        <v>6</v>
      </c>
      <c r="AA8" s="11">
        <f t="shared" si="17"/>
        <v>231</v>
      </c>
      <c r="AB8" s="11">
        <f t="shared" si="18"/>
        <v>231</v>
      </c>
      <c r="AC8" s="11">
        <f t="shared" si="19"/>
        <v>231</v>
      </c>
      <c r="AD8" s="11">
        <f t="shared" si="20"/>
        <v>60243.666666666664</v>
      </c>
      <c r="AE8" s="11">
        <f t="shared" si="1"/>
        <v>60243.666666666664</v>
      </c>
      <c r="AF8" s="11">
        <f t="shared" si="1"/>
        <v>60243.666666666664</v>
      </c>
      <c r="AM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3"/>
      <c r="BA8" s="3"/>
      <c r="BB8" s="3"/>
      <c r="BC8" s="3"/>
      <c r="BG8" s="12">
        <v>1</v>
      </c>
      <c r="BH8" s="12">
        <v>108</v>
      </c>
      <c r="BI8" s="12">
        <v>11</v>
      </c>
      <c r="BJ8" s="12">
        <v>1124</v>
      </c>
      <c r="BK8" s="12">
        <v>113</v>
      </c>
      <c r="BL8" s="12">
        <v>39</v>
      </c>
      <c r="BM8" s="12">
        <v>4</v>
      </c>
      <c r="BN8" s="12">
        <f t="shared" ref="BN8:BN17" si="26">BH8+BJ8/6+BL8</f>
        <v>334.33333333333337</v>
      </c>
      <c r="BO8" s="12">
        <f t="shared" ref="BO8:BO17" si="27">(BI8+BK8/6+BM8)</f>
        <v>33.833333333333329</v>
      </c>
      <c r="BT8" s="3">
        <v>3601031</v>
      </c>
      <c r="BU8" s="3">
        <f>[1]monsters!$N8</f>
        <v>134.4</v>
      </c>
      <c r="BV8" s="3">
        <f>[1]monsters!$O8</f>
        <v>13.44</v>
      </c>
      <c r="BW8" s="3">
        <f>[1]monsters!$P8</f>
        <v>822.86</v>
      </c>
      <c r="BX8" s="3">
        <f>[1]monsters!$Q8</f>
        <v>82.29</v>
      </c>
      <c r="BY8" s="3">
        <f>[1]monsters!$R8</f>
        <v>16.8</v>
      </c>
      <c r="BZ8" s="3">
        <f>[1]monsters!$S8</f>
        <v>1.68</v>
      </c>
      <c r="CA8" s="3">
        <f>[1]monsters!$K8</f>
        <v>1.5</v>
      </c>
      <c r="CB8" s="12">
        <f>[1]monsters!$D8</f>
        <v>5</v>
      </c>
      <c r="CC8" s="12">
        <f t="shared" ca="1" si="2"/>
        <v>0.1</v>
      </c>
      <c r="CD8" s="12">
        <f t="shared" ca="1" si="21"/>
        <v>58.262424242424203</v>
      </c>
      <c r="CE8" s="12">
        <f t="shared" ca="1" si="22"/>
        <v>5.8262424242424196</v>
      </c>
      <c r="CF8" s="12">
        <v>40000</v>
      </c>
      <c r="CG8" s="12">
        <v>2.5000000000000002E-6</v>
      </c>
      <c r="CI8" s="12">
        <v>4</v>
      </c>
      <c r="CJ8" s="12">
        <v>0.1</v>
      </c>
      <c r="CS8" s="3">
        <v>5</v>
      </c>
      <c r="CT8" s="3">
        <f t="shared" si="24"/>
        <v>280</v>
      </c>
      <c r="CV8" s="3">
        <f t="shared" ca="1" si="3"/>
        <v>5501053</v>
      </c>
      <c r="CW8" s="3">
        <f t="shared" ca="1" si="4"/>
        <v>5301053</v>
      </c>
      <c r="CX8" s="3">
        <f t="shared" ca="1" si="5"/>
        <v>5300053</v>
      </c>
      <c r="CY8" s="11">
        <v>5</v>
      </c>
      <c r="CZ8" s="11">
        <v>5</v>
      </c>
      <c r="DA8" s="11">
        <v>5</v>
      </c>
      <c r="DB8" s="12">
        <f t="shared" ca="1" si="23"/>
        <v>501</v>
      </c>
      <c r="DC8" s="12">
        <f t="shared" ca="1" si="6"/>
        <v>301</v>
      </c>
      <c r="DD8" s="12">
        <f t="shared" ca="1" si="6"/>
        <v>300</v>
      </c>
      <c r="DE8" s="12">
        <f t="shared" ca="1" si="7"/>
        <v>0</v>
      </c>
      <c r="DF8" s="12">
        <f t="shared" ca="1" si="7"/>
        <v>0</v>
      </c>
      <c r="DG8" s="12">
        <f t="shared" ca="1" si="7"/>
        <v>0</v>
      </c>
      <c r="DH8" s="11">
        <v>5</v>
      </c>
      <c r="DI8" s="11">
        <v>5</v>
      </c>
      <c r="DJ8" s="11">
        <v>5</v>
      </c>
      <c r="DK8" s="12">
        <v>3</v>
      </c>
      <c r="DL8" s="12">
        <v>3</v>
      </c>
      <c r="DM8" s="12">
        <v>3</v>
      </c>
      <c r="DN8" s="3">
        <v>3601031</v>
      </c>
      <c r="DP8" s="12">
        <v>301</v>
      </c>
      <c r="DQ8" s="12">
        <v>301</v>
      </c>
      <c r="DS8" s="21">
        <f t="shared" ca="1" si="8"/>
        <v>5501053</v>
      </c>
      <c r="DT8" s="21">
        <f t="shared" ca="1" si="9"/>
        <v>5301053</v>
      </c>
      <c r="DU8" s="21">
        <f t="shared" ca="1" si="10"/>
        <v>5300053</v>
      </c>
      <c r="DW8" s="9">
        <v>95</v>
      </c>
    </row>
    <row r="9" spans="1:127" ht="15.95" customHeight="1">
      <c r="A9" s="6">
        <v>6</v>
      </c>
      <c r="B9" s="6">
        <v>1</v>
      </c>
      <c r="C9" s="6">
        <v>6</v>
      </c>
      <c r="D9" s="9">
        <v>100</v>
      </c>
      <c r="E9" s="6">
        <f t="shared" si="11"/>
        <v>337468</v>
      </c>
      <c r="F9" s="6">
        <v>1001</v>
      </c>
      <c r="G9" s="7" t="str">
        <f t="shared" si="12"/>
        <v>5201061,3401061,3401061</v>
      </c>
      <c r="H9" s="7" t="str">
        <f t="shared" si="13"/>
        <v>6,6,6</v>
      </c>
      <c r="I9" s="7" t="str">
        <f t="shared" si="14"/>
        <v>320,320,320</v>
      </c>
      <c r="J9" s="9">
        <v>100</v>
      </c>
      <c r="K9" s="8">
        <v>1</v>
      </c>
      <c r="L9" s="6">
        <v>0</v>
      </c>
      <c r="M9" s="6">
        <v>0</v>
      </c>
      <c r="N9" s="6">
        <v>0</v>
      </c>
      <c r="O9" s="40">
        <v>300000</v>
      </c>
      <c r="Q9" s="11" t="str">
        <f t="shared" si="15"/>
        <v>5201061,3401061,3401061</v>
      </c>
      <c r="R9" s="9">
        <v>100</v>
      </c>
      <c r="S9" s="11">
        <v>281224</v>
      </c>
      <c r="T9" s="11">
        <f>FLOOR(S9*1.2,1)</f>
        <v>337468</v>
      </c>
      <c r="U9" s="11">
        <v>5201061</v>
      </c>
      <c r="V9" s="11">
        <v>3401061</v>
      </c>
      <c r="W9" s="11">
        <v>3401061</v>
      </c>
      <c r="X9" s="11">
        <v>6</v>
      </c>
      <c r="Y9" s="11">
        <v>6</v>
      </c>
      <c r="Z9" s="11">
        <v>6</v>
      </c>
      <c r="AA9" s="11">
        <f t="shared" si="17"/>
        <v>320</v>
      </c>
      <c r="AB9" s="11">
        <f t="shared" si="18"/>
        <v>320</v>
      </c>
      <c r="AC9" s="11">
        <f t="shared" si="19"/>
        <v>320</v>
      </c>
      <c r="AD9" s="11">
        <f t="shared" si="20"/>
        <v>112489.33333333333</v>
      </c>
      <c r="AE9" s="11">
        <f t="shared" si="1"/>
        <v>112489.33333333333</v>
      </c>
      <c r="AF9" s="11">
        <f t="shared" si="1"/>
        <v>112489.33333333333</v>
      </c>
      <c r="AM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3"/>
      <c r="BA9" s="3"/>
      <c r="BB9" s="3"/>
      <c r="BC9" s="3"/>
      <c r="BG9" s="12">
        <v>2</v>
      </c>
      <c r="BH9" s="12">
        <v>126</v>
      </c>
      <c r="BI9" s="12">
        <v>13</v>
      </c>
      <c r="BJ9" s="12">
        <v>1311</v>
      </c>
      <c r="BK9" s="12">
        <v>132</v>
      </c>
      <c r="BL9" s="12">
        <v>45</v>
      </c>
      <c r="BM9" s="12">
        <v>4</v>
      </c>
      <c r="BN9" s="12">
        <f t="shared" si="26"/>
        <v>389.5</v>
      </c>
      <c r="BO9" s="12">
        <f t="shared" si="27"/>
        <v>39</v>
      </c>
      <c r="BT9" s="3">
        <v>3200032</v>
      </c>
      <c r="BU9" s="3">
        <f>[1]monsters!$N9</f>
        <v>148.80000000000001</v>
      </c>
      <c r="BV9" s="3">
        <f>[1]monsters!$O9</f>
        <v>14.88</v>
      </c>
      <c r="BW9" s="3">
        <f>[1]monsters!$P9</f>
        <v>743.23</v>
      </c>
      <c r="BX9" s="3">
        <f>[1]monsters!$Q9</f>
        <v>74.319999999999993</v>
      </c>
      <c r="BY9" s="3">
        <f>[1]monsters!$R9</f>
        <v>14.88</v>
      </c>
      <c r="BZ9" s="3">
        <f>[1]monsters!$S9</f>
        <v>1.49</v>
      </c>
      <c r="CA9" s="3">
        <f>[1]monsters!$K9</f>
        <v>1.5</v>
      </c>
      <c r="CB9" s="12">
        <f>[1]monsters!$D9</f>
        <v>6</v>
      </c>
      <c r="CC9" s="12">
        <f t="shared" ca="1" si="2"/>
        <v>0.1</v>
      </c>
      <c r="CD9" s="12">
        <f t="shared" ca="1" si="21"/>
        <v>57.519030303030299</v>
      </c>
      <c r="CE9" s="12">
        <f t="shared" ca="1" si="22"/>
        <v>5.7519030303030299</v>
      </c>
      <c r="CF9" s="12">
        <v>100000</v>
      </c>
      <c r="CG9" s="12">
        <v>9.9999999999999995E-7</v>
      </c>
      <c r="CI9" s="12">
        <v>5</v>
      </c>
      <c r="CJ9" s="12">
        <v>0.1</v>
      </c>
      <c r="CN9" s="12">
        <f>1/26/1.5</f>
        <v>2.5641025641025644E-2</v>
      </c>
      <c r="CS9" s="3">
        <v>6</v>
      </c>
      <c r="CT9" s="3">
        <f t="shared" si="24"/>
        <v>380</v>
      </c>
      <c r="CV9" s="3">
        <f t="shared" ca="1" si="3"/>
        <v>5600063</v>
      </c>
      <c r="CW9" s="3">
        <f t="shared" ca="1" si="4"/>
        <v>5300063</v>
      </c>
      <c r="CX9" s="3">
        <f t="shared" ca="1" si="5"/>
        <v>5501063</v>
      </c>
      <c r="CY9" s="11">
        <v>6</v>
      </c>
      <c r="CZ9" s="11">
        <v>6</v>
      </c>
      <c r="DA9" s="11">
        <v>6</v>
      </c>
      <c r="DB9" s="12">
        <f t="shared" ca="1" si="23"/>
        <v>600</v>
      </c>
      <c r="DC9" s="12">
        <f t="shared" ca="1" si="6"/>
        <v>300</v>
      </c>
      <c r="DD9" s="12">
        <f t="shared" ca="1" si="6"/>
        <v>501</v>
      </c>
      <c r="DE9" s="12">
        <f t="shared" ca="1" si="7"/>
        <v>0</v>
      </c>
      <c r="DF9" s="12">
        <f t="shared" ca="1" si="7"/>
        <v>0</v>
      </c>
      <c r="DG9" s="12">
        <f t="shared" ca="1" si="7"/>
        <v>0</v>
      </c>
      <c r="DH9" s="11">
        <v>5</v>
      </c>
      <c r="DI9" s="11">
        <v>5</v>
      </c>
      <c r="DJ9" s="11">
        <v>5</v>
      </c>
      <c r="DK9" s="12">
        <v>3</v>
      </c>
      <c r="DL9" s="12">
        <v>3</v>
      </c>
      <c r="DM9" s="12">
        <v>3</v>
      </c>
      <c r="DN9" s="3">
        <v>3200032</v>
      </c>
      <c r="DP9" s="12">
        <v>302</v>
      </c>
      <c r="DQ9" s="12">
        <v>302</v>
      </c>
      <c r="DS9" s="21">
        <f t="shared" ca="1" si="8"/>
        <v>5600063</v>
      </c>
      <c r="DT9" s="21">
        <f t="shared" ca="1" si="9"/>
        <v>5300063</v>
      </c>
      <c r="DU9" s="21">
        <f t="shared" ca="1" si="10"/>
        <v>5501063</v>
      </c>
      <c r="DW9" s="9">
        <v>110</v>
      </c>
    </row>
    <row r="10" spans="1:127" ht="15.95" customHeight="1">
      <c r="A10" s="6">
        <v>7</v>
      </c>
      <c r="B10" s="6">
        <v>1</v>
      </c>
      <c r="C10" s="6">
        <v>7</v>
      </c>
      <c r="D10" s="9">
        <v>115</v>
      </c>
      <c r="E10" s="6">
        <f t="shared" si="11"/>
        <v>725666</v>
      </c>
      <c r="F10" s="6">
        <v>1001</v>
      </c>
      <c r="G10" s="7" t="str">
        <f t="shared" si="12"/>
        <v>5201071,3401071,3401071</v>
      </c>
      <c r="H10" s="7" t="str">
        <f t="shared" si="13"/>
        <v>7,7,7</v>
      </c>
      <c r="I10" s="7" t="str">
        <f t="shared" si="14"/>
        <v>430,430,430</v>
      </c>
      <c r="J10" s="9">
        <v>115</v>
      </c>
      <c r="K10" s="8">
        <v>1</v>
      </c>
      <c r="L10" s="6">
        <v>0</v>
      </c>
      <c r="M10" s="6">
        <v>0</v>
      </c>
      <c r="N10" s="6">
        <v>0</v>
      </c>
      <c r="O10" s="39">
        <v>400000</v>
      </c>
      <c r="Q10" s="11" t="str">
        <f t="shared" si="15"/>
        <v>5201071,3401071,3401071</v>
      </c>
      <c r="R10" s="9">
        <v>115</v>
      </c>
      <c r="S10" s="11">
        <v>558205.19999999995</v>
      </c>
      <c r="T10" s="11">
        <f>FLOOR(S10*1.3,1)</f>
        <v>725666</v>
      </c>
      <c r="U10" s="11">
        <v>5201071</v>
      </c>
      <c r="V10" s="11">
        <v>3401071</v>
      </c>
      <c r="W10" s="11">
        <v>3401071</v>
      </c>
      <c r="X10" s="11">
        <v>7</v>
      </c>
      <c r="Y10" s="11">
        <v>7</v>
      </c>
      <c r="Z10" s="11">
        <v>7</v>
      </c>
      <c r="AA10" s="11">
        <f t="shared" si="17"/>
        <v>430</v>
      </c>
      <c r="AB10" s="11">
        <f t="shared" si="18"/>
        <v>430</v>
      </c>
      <c r="AC10" s="11">
        <f t="shared" si="19"/>
        <v>430</v>
      </c>
      <c r="AD10" s="11">
        <f t="shared" si="20"/>
        <v>241888.66666666666</v>
      </c>
      <c r="AE10" s="11">
        <f t="shared" si="1"/>
        <v>241888.66666666666</v>
      </c>
      <c r="AF10" s="11">
        <f t="shared" si="1"/>
        <v>241888.66666666666</v>
      </c>
      <c r="AM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3"/>
      <c r="BA10" s="3"/>
      <c r="BB10" s="3"/>
      <c r="BC10" s="3"/>
      <c r="BG10" s="12">
        <v>3</v>
      </c>
      <c r="BH10" s="12">
        <v>162</v>
      </c>
      <c r="BI10" s="12">
        <v>17</v>
      </c>
      <c r="BJ10" s="12">
        <v>1685</v>
      </c>
      <c r="BK10" s="12">
        <v>169</v>
      </c>
      <c r="BL10" s="12">
        <v>58</v>
      </c>
      <c r="BM10" s="12">
        <v>6</v>
      </c>
      <c r="BN10" s="12">
        <f t="shared" si="26"/>
        <v>500.83333333333331</v>
      </c>
      <c r="BO10" s="12">
        <f t="shared" si="27"/>
        <v>51.166666666666671</v>
      </c>
      <c r="BT10" s="3">
        <v>3300032</v>
      </c>
      <c r="BU10" s="3">
        <f>[1]monsters!$N10</f>
        <v>96</v>
      </c>
      <c r="BV10" s="3">
        <f>[1]monsters!$O10</f>
        <v>9.6</v>
      </c>
      <c r="BW10" s="3">
        <f>[1]monsters!$P10</f>
        <v>1152</v>
      </c>
      <c r="BX10" s="3">
        <f>[1]monsters!$Q10</f>
        <v>115.2</v>
      </c>
      <c r="BY10" s="3">
        <f>[1]monsters!$R10</f>
        <v>24</v>
      </c>
      <c r="BZ10" s="3">
        <f>[1]monsters!$S10</f>
        <v>2.4</v>
      </c>
      <c r="CA10" s="3">
        <f>[1]monsters!$K10</f>
        <v>1.5</v>
      </c>
      <c r="CB10" s="12">
        <f>[1]monsters!$D10</f>
        <v>2</v>
      </c>
      <c r="CC10" s="12">
        <f t="shared" ca="1" si="2"/>
        <v>0.1</v>
      </c>
      <c r="CD10" s="12">
        <f t="shared" ca="1" si="21"/>
        <v>53.471626936026901</v>
      </c>
      <c r="CE10" s="12">
        <f t="shared" ca="1" si="22"/>
        <v>5.3471626936026899</v>
      </c>
      <c r="CI10" s="12">
        <v>6</v>
      </c>
      <c r="CJ10" s="12">
        <v>0.1</v>
      </c>
      <c r="CN10" s="12">
        <f>1/39</f>
        <v>2.564102564102564E-2</v>
      </c>
      <c r="CS10" s="3">
        <v>7</v>
      </c>
      <c r="CT10" s="3">
        <f t="shared" si="24"/>
        <v>510</v>
      </c>
      <c r="CV10" s="3">
        <f t="shared" ca="1" si="3"/>
        <v>5400063</v>
      </c>
      <c r="CW10" s="3">
        <f t="shared" ca="1" si="4"/>
        <v>5400063</v>
      </c>
      <c r="CX10" s="3">
        <f t="shared" ca="1" si="5"/>
        <v>5601063</v>
      </c>
      <c r="CY10" s="11">
        <v>6</v>
      </c>
      <c r="CZ10" s="11">
        <v>6</v>
      </c>
      <c r="DA10" s="11">
        <v>6</v>
      </c>
      <c r="DB10" s="12">
        <f t="shared" ca="1" si="23"/>
        <v>400</v>
      </c>
      <c r="DC10" s="12">
        <f t="shared" ca="1" si="6"/>
        <v>400</v>
      </c>
      <c r="DD10" s="12">
        <f t="shared" ca="1" si="6"/>
        <v>601</v>
      </c>
      <c r="DE10" s="12">
        <f t="shared" ca="1" si="7"/>
        <v>0</v>
      </c>
      <c r="DF10" s="12">
        <f t="shared" ca="1" si="7"/>
        <v>0</v>
      </c>
      <c r="DG10" s="12">
        <f t="shared" ca="1" si="7"/>
        <v>0</v>
      </c>
      <c r="DH10" s="11">
        <v>5</v>
      </c>
      <c r="DI10" s="11">
        <v>5</v>
      </c>
      <c r="DJ10" s="11">
        <v>5</v>
      </c>
      <c r="DK10" s="12">
        <v>3</v>
      </c>
      <c r="DL10" s="12">
        <v>3</v>
      </c>
      <c r="DM10" s="12">
        <v>3</v>
      </c>
      <c r="DN10" s="3">
        <v>3300032</v>
      </c>
      <c r="DP10" s="22">
        <v>400</v>
      </c>
      <c r="DQ10" s="22">
        <v>400</v>
      </c>
      <c r="DS10" s="21">
        <f t="shared" ca="1" si="8"/>
        <v>5400063</v>
      </c>
      <c r="DT10" s="21">
        <f t="shared" ca="1" si="9"/>
        <v>5400063</v>
      </c>
      <c r="DU10" s="21">
        <f t="shared" ca="1" si="10"/>
        <v>5601063</v>
      </c>
      <c r="DW10" s="9">
        <v>130</v>
      </c>
    </row>
    <row r="11" spans="1:127" ht="15.95" customHeight="1">
      <c r="A11" s="6">
        <v>8</v>
      </c>
      <c r="B11" s="6">
        <v>1</v>
      </c>
      <c r="C11" s="6">
        <v>8</v>
      </c>
      <c r="D11" s="9">
        <v>145</v>
      </c>
      <c r="E11" s="6">
        <f t="shared" si="11"/>
        <v>1467709</v>
      </c>
      <c r="F11" s="6">
        <v>1001</v>
      </c>
      <c r="G11" s="7" t="str">
        <f t="shared" si="12"/>
        <v>5201071,3401071,3401071</v>
      </c>
      <c r="H11" s="7" t="str">
        <f t="shared" si="13"/>
        <v>7,7,7</v>
      </c>
      <c r="I11" s="7" t="str">
        <f t="shared" si="14"/>
        <v>615,615,615</v>
      </c>
      <c r="J11" s="9">
        <v>145</v>
      </c>
      <c r="K11" s="8">
        <v>1</v>
      </c>
      <c r="L11" s="6">
        <v>0</v>
      </c>
      <c r="M11" s="6">
        <v>0</v>
      </c>
      <c r="N11" s="6">
        <v>0</v>
      </c>
      <c r="O11" s="39">
        <v>500000</v>
      </c>
      <c r="Q11" s="11" t="str">
        <f t="shared" si="15"/>
        <v>5201071,3401071,3401071</v>
      </c>
      <c r="R11" s="9">
        <v>145</v>
      </c>
      <c r="S11" s="36">
        <v>1129007.3999999999</v>
      </c>
      <c r="T11" s="11">
        <f>FLOOR(S11*1.3,1)</f>
        <v>1467709</v>
      </c>
      <c r="U11" s="11">
        <v>5201071</v>
      </c>
      <c r="V11" s="11">
        <v>3401071</v>
      </c>
      <c r="W11" s="11">
        <v>3401071</v>
      </c>
      <c r="X11" s="11">
        <v>7</v>
      </c>
      <c r="Y11" s="11">
        <v>7</v>
      </c>
      <c r="Z11" s="11">
        <v>7</v>
      </c>
      <c r="AA11" s="11">
        <f t="shared" si="17"/>
        <v>615</v>
      </c>
      <c r="AB11" s="11">
        <f t="shared" si="18"/>
        <v>615</v>
      </c>
      <c r="AC11" s="11">
        <f t="shared" si="19"/>
        <v>615</v>
      </c>
      <c r="AD11" s="11">
        <f t="shared" si="20"/>
        <v>489236.33333333331</v>
      </c>
      <c r="AE11" s="11">
        <f t="shared" si="1"/>
        <v>489236.33333333331</v>
      </c>
      <c r="AF11" s="11">
        <f t="shared" si="1"/>
        <v>489236.33333333331</v>
      </c>
      <c r="AM11" s="20"/>
      <c r="AO11" s="20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3"/>
      <c r="BA11" s="3"/>
      <c r="BB11" s="3"/>
      <c r="BC11" s="3"/>
      <c r="BG11" s="12">
        <v>4</v>
      </c>
      <c r="BH11" s="12">
        <v>270</v>
      </c>
      <c r="BI11" s="12">
        <v>27</v>
      </c>
      <c r="BJ11" s="12">
        <v>2808</v>
      </c>
      <c r="BK11" s="12">
        <v>281</v>
      </c>
      <c r="BL11" s="12">
        <v>96</v>
      </c>
      <c r="BM11" s="12">
        <v>10</v>
      </c>
      <c r="BN11" s="12">
        <f t="shared" si="26"/>
        <v>834</v>
      </c>
      <c r="BO11" s="12">
        <f t="shared" si="27"/>
        <v>83.833333333333343</v>
      </c>
      <c r="BT11" s="3">
        <v>3402032</v>
      </c>
      <c r="BU11" s="3">
        <f>[1]monsters!$N11</f>
        <v>122.88</v>
      </c>
      <c r="BV11" s="3">
        <f>[1]monsters!$O11</f>
        <v>12.29</v>
      </c>
      <c r="BW11" s="3">
        <f>[1]monsters!$P11</f>
        <v>960</v>
      </c>
      <c r="BX11" s="3">
        <f>[1]monsters!$Q11</f>
        <v>96</v>
      </c>
      <c r="BY11" s="3">
        <f>[1]monsters!$R11</f>
        <v>17.55</v>
      </c>
      <c r="BZ11" s="3">
        <f>[1]monsters!$S11</f>
        <v>1.76</v>
      </c>
      <c r="CA11" s="3">
        <f>[1]monsters!$K11</f>
        <v>1.6</v>
      </c>
      <c r="CB11" s="12">
        <f>[1]monsters!$D11</f>
        <v>4</v>
      </c>
      <c r="CC11" s="12">
        <f t="shared" ca="1" si="2"/>
        <v>0.1</v>
      </c>
      <c r="CD11" s="12">
        <f t="shared" ca="1" si="21"/>
        <v>59.460567493112897</v>
      </c>
      <c r="CE11" s="12">
        <f t="shared" ca="1" si="22"/>
        <v>5.9460567493112899</v>
      </c>
      <c r="CS11" s="3">
        <v>8</v>
      </c>
      <c r="CT11" s="3">
        <f t="shared" si="24"/>
        <v>674</v>
      </c>
      <c r="CV11" s="3">
        <f t="shared" ca="1" si="3"/>
        <v>5501073</v>
      </c>
      <c r="CW11" s="3">
        <f t="shared" ca="1" si="4"/>
        <v>5400073</v>
      </c>
      <c r="CX11" s="3">
        <f t="shared" ca="1" si="5"/>
        <v>5202073</v>
      </c>
      <c r="CY11" s="11">
        <v>7</v>
      </c>
      <c r="CZ11" s="11">
        <v>7</v>
      </c>
      <c r="DA11" s="11">
        <v>7</v>
      </c>
      <c r="DB11" s="12">
        <f t="shared" ca="1" si="23"/>
        <v>501</v>
      </c>
      <c r="DC11" s="12">
        <f t="shared" ca="1" si="6"/>
        <v>400</v>
      </c>
      <c r="DD11" s="12">
        <f t="shared" ca="1" si="6"/>
        <v>202</v>
      </c>
      <c r="DE11" s="12">
        <f t="shared" ca="1" si="7"/>
        <v>0</v>
      </c>
      <c r="DF11" s="12">
        <f t="shared" ca="1" si="7"/>
        <v>0</v>
      </c>
      <c r="DG11" s="12">
        <f t="shared" ca="1" si="7"/>
        <v>0</v>
      </c>
      <c r="DH11" s="11">
        <v>5</v>
      </c>
      <c r="DI11" s="11">
        <v>5</v>
      </c>
      <c r="DJ11" s="11">
        <v>5</v>
      </c>
      <c r="DK11" s="12">
        <v>3</v>
      </c>
      <c r="DL11" s="12">
        <v>3</v>
      </c>
      <c r="DM11" s="12">
        <v>3</v>
      </c>
      <c r="DN11" s="3">
        <v>3402032</v>
      </c>
      <c r="DP11" s="12">
        <v>401</v>
      </c>
      <c r="DQ11" s="12">
        <v>401</v>
      </c>
      <c r="DS11" s="21">
        <f t="shared" ca="1" si="8"/>
        <v>5501073</v>
      </c>
      <c r="DT11" s="21">
        <f t="shared" ca="1" si="9"/>
        <v>5400073</v>
      </c>
      <c r="DU11" s="21">
        <f t="shared" ca="1" si="10"/>
        <v>5202073</v>
      </c>
      <c r="DW11" s="9">
        <v>150</v>
      </c>
    </row>
    <row r="12" spans="1:127" ht="15.95" customHeight="1">
      <c r="A12" s="6">
        <v>9</v>
      </c>
      <c r="B12" s="6">
        <v>2</v>
      </c>
      <c r="C12" s="6">
        <v>1</v>
      </c>
      <c r="D12" s="6">
        <v>30</v>
      </c>
      <c r="E12" s="6">
        <f t="shared" si="11"/>
        <v>3579</v>
      </c>
      <c r="F12" s="6">
        <v>1001</v>
      </c>
      <c r="G12" s="7" t="str">
        <f t="shared" si="12"/>
        <v>5202052,3500032,3500032</v>
      </c>
      <c r="H12" s="7" t="str">
        <f t="shared" si="13"/>
        <v>3,3,3</v>
      </c>
      <c r="I12" s="7" t="str">
        <f t="shared" si="14"/>
        <v>55,55,55</v>
      </c>
      <c r="J12" s="6">
        <v>30</v>
      </c>
      <c r="K12" s="8" t="s">
        <v>99</v>
      </c>
      <c r="L12" s="7" t="s">
        <v>100</v>
      </c>
      <c r="M12" s="7" t="s">
        <v>100</v>
      </c>
      <c r="N12" s="7" t="s">
        <v>100</v>
      </c>
      <c r="O12" s="39" t="s">
        <v>101</v>
      </c>
      <c r="Q12" s="11" t="str">
        <f t="shared" si="15"/>
        <v>5202052,3500032,3500032</v>
      </c>
      <c r="R12" s="6">
        <v>16</v>
      </c>
      <c r="S12" s="11">
        <v>3579.8</v>
      </c>
      <c r="T12" s="11">
        <f t="shared" si="16"/>
        <v>3579</v>
      </c>
      <c r="U12" s="11">
        <v>5202052</v>
      </c>
      <c r="V12" s="11">
        <v>3500032</v>
      </c>
      <c r="W12" s="11">
        <v>3500032</v>
      </c>
      <c r="X12" s="11">
        <v>3</v>
      </c>
      <c r="Y12" s="11">
        <v>3</v>
      </c>
      <c r="Z12" s="11">
        <v>3</v>
      </c>
      <c r="AA12" s="11">
        <f t="shared" si="17"/>
        <v>55</v>
      </c>
      <c r="AB12" s="11">
        <f t="shared" si="18"/>
        <v>55</v>
      </c>
      <c r="AC12" s="11">
        <f t="shared" si="19"/>
        <v>55</v>
      </c>
      <c r="AD12" s="11">
        <f t="shared" si="20"/>
        <v>1193</v>
      </c>
      <c r="AE12" s="11">
        <f t="shared" si="1"/>
        <v>1193</v>
      </c>
      <c r="AF12" s="11">
        <f t="shared" si="1"/>
        <v>1193</v>
      </c>
      <c r="AM12" s="20"/>
      <c r="AO12" s="20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3"/>
      <c r="BA12" s="3"/>
      <c r="BB12" s="3"/>
      <c r="BC12" s="3"/>
      <c r="BG12" s="12">
        <v>5</v>
      </c>
      <c r="BH12" s="12">
        <v>324</v>
      </c>
      <c r="BI12" s="12">
        <v>33</v>
      </c>
      <c r="BJ12" s="12">
        <v>3370</v>
      </c>
      <c r="BK12" s="12">
        <v>337</v>
      </c>
      <c r="BL12" s="12">
        <v>115</v>
      </c>
      <c r="BM12" s="12">
        <v>11</v>
      </c>
      <c r="BN12" s="12">
        <f t="shared" si="26"/>
        <v>1000.6666666666666</v>
      </c>
      <c r="BO12" s="12">
        <f t="shared" si="27"/>
        <v>100.16666666666666</v>
      </c>
      <c r="BT12" s="3">
        <v>3502032</v>
      </c>
      <c r="BU12" s="3">
        <f>[1]monsters!$N12</f>
        <v>115.2</v>
      </c>
      <c r="BV12" s="3">
        <f>[1]monsters!$O12</f>
        <v>11.52</v>
      </c>
      <c r="BW12" s="3">
        <f>[1]monsters!$P12</f>
        <v>960</v>
      </c>
      <c r="BX12" s="3">
        <f>[1]monsters!$Q12</f>
        <v>96</v>
      </c>
      <c r="BY12" s="3">
        <f>[1]monsters!$R12</f>
        <v>16.46</v>
      </c>
      <c r="BZ12" s="3">
        <f>[1]monsters!$S12</f>
        <v>1.65</v>
      </c>
      <c r="CA12" s="3">
        <f>[1]monsters!$K12</f>
        <v>1.5</v>
      </c>
      <c r="CB12" s="12">
        <f>[1]monsters!$D12</f>
        <v>4</v>
      </c>
      <c r="CC12" s="12">
        <f t="shared" ca="1" si="2"/>
        <v>0.1</v>
      </c>
      <c r="CD12" s="12">
        <f t="shared" ca="1" si="21"/>
        <v>55.582820202020201</v>
      </c>
      <c r="CE12" s="12">
        <f t="shared" ca="1" si="22"/>
        <v>5.5582820202020198</v>
      </c>
      <c r="CS12" s="3">
        <v>9</v>
      </c>
      <c r="CT12" s="3">
        <f t="shared" si="24"/>
        <v>876</v>
      </c>
      <c r="CV12" s="3">
        <f t="shared" ca="1" si="3"/>
        <v>3600033</v>
      </c>
      <c r="CW12" s="3">
        <f t="shared" ca="1" si="4"/>
        <v>3400033</v>
      </c>
      <c r="CX12" s="3">
        <f t="shared" ca="1" si="5"/>
        <v>3400033</v>
      </c>
      <c r="CY12" s="11">
        <v>3</v>
      </c>
      <c r="CZ12" s="11">
        <v>3</v>
      </c>
      <c r="DA12" s="11">
        <v>3</v>
      </c>
      <c r="DB12" s="12">
        <f t="shared" ca="1" si="23"/>
        <v>600</v>
      </c>
      <c r="DC12" s="12">
        <f t="shared" ca="1" si="6"/>
        <v>400</v>
      </c>
      <c r="DD12" s="12">
        <f t="shared" ca="1" si="6"/>
        <v>400</v>
      </c>
      <c r="DE12" s="12">
        <f t="shared" ca="1" si="7"/>
        <v>0</v>
      </c>
      <c r="DF12" s="12">
        <f t="shared" ca="1" si="7"/>
        <v>0</v>
      </c>
      <c r="DG12" s="12">
        <f t="shared" ca="1" si="7"/>
        <v>0</v>
      </c>
      <c r="DH12" s="11">
        <v>3</v>
      </c>
      <c r="DI12" s="11">
        <v>3</v>
      </c>
      <c r="DJ12" s="11">
        <v>3</v>
      </c>
      <c r="DK12" s="12">
        <v>3</v>
      </c>
      <c r="DL12" s="12">
        <v>3</v>
      </c>
      <c r="DM12" s="12">
        <v>3</v>
      </c>
      <c r="DN12" s="3">
        <v>3502032</v>
      </c>
      <c r="DP12" s="12">
        <v>402</v>
      </c>
      <c r="DQ12" s="12">
        <v>402</v>
      </c>
      <c r="DS12" s="21">
        <f t="shared" ca="1" si="8"/>
        <v>3600033</v>
      </c>
      <c r="DT12" s="21">
        <f t="shared" ca="1" si="9"/>
        <v>3400033</v>
      </c>
      <c r="DU12" s="21">
        <f t="shared" ca="1" si="10"/>
        <v>3400033</v>
      </c>
      <c r="DW12" s="6">
        <v>16</v>
      </c>
    </row>
    <row r="13" spans="1:127" ht="15.95" customHeight="1">
      <c r="A13" s="6">
        <v>10</v>
      </c>
      <c r="B13" s="7">
        <v>2</v>
      </c>
      <c r="C13" s="6">
        <v>2</v>
      </c>
      <c r="D13" s="6">
        <v>45</v>
      </c>
      <c r="E13" s="6">
        <f t="shared" si="11"/>
        <v>10826</v>
      </c>
      <c r="F13" s="6">
        <v>1001</v>
      </c>
      <c r="G13" s="7" t="str">
        <f t="shared" si="12"/>
        <v>5202052,3500042,3500042</v>
      </c>
      <c r="H13" s="7" t="str">
        <f t="shared" si="13"/>
        <v>4,4,4</v>
      </c>
      <c r="I13" s="7" t="str">
        <f t="shared" si="14"/>
        <v>80,80,80</v>
      </c>
      <c r="J13" s="6">
        <v>45</v>
      </c>
      <c r="K13" s="8" t="s">
        <v>99</v>
      </c>
      <c r="L13" s="7" t="s">
        <v>100</v>
      </c>
      <c r="M13" s="7" t="s">
        <v>100</v>
      </c>
      <c r="N13" s="7" t="s">
        <v>100</v>
      </c>
      <c r="O13" s="39" t="s">
        <v>102</v>
      </c>
      <c r="Q13" s="11" t="str">
        <f t="shared" si="15"/>
        <v>5202052,3500042,3500042</v>
      </c>
      <c r="R13" s="6">
        <v>40</v>
      </c>
      <c r="S13" s="11">
        <v>10826.2</v>
      </c>
      <c r="T13" s="11">
        <f t="shared" si="16"/>
        <v>10826</v>
      </c>
      <c r="U13" s="11">
        <v>5202052</v>
      </c>
      <c r="V13" s="11">
        <v>3500042</v>
      </c>
      <c r="W13" s="11">
        <v>3500042</v>
      </c>
      <c r="X13" s="11">
        <v>4</v>
      </c>
      <c r="Y13" s="11">
        <v>4</v>
      </c>
      <c r="Z13" s="11">
        <v>4</v>
      </c>
      <c r="AA13" s="11">
        <f t="shared" si="17"/>
        <v>80</v>
      </c>
      <c r="AB13" s="11">
        <f t="shared" si="18"/>
        <v>80</v>
      </c>
      <c r="AC13" s="11">
        <f t="shared" si="19"/>
        <v>80</v>
      </c>
      <c r="AD13" s="11">
        <f t="shared" si="20"/>
        <v>3608.6666666666665</v>
      </c>
      <c r="AE13" s="11">
        <f t="shared" si="1"/>
        <v>3608.6666666666665</v>
      </c>
      <c r="AF13" s="11">
        <f t="shared" si="1"/>
        <v>3608.6666666666665</v>
      </c>
      <c r="AM13" s="20"/>
      <c r="AO13" s="20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3"/>
      <c r="BA13" s="3"/>
      <c r="BB13" s="3"/>
      <c r="BC13" s="3"/>
      <c r="BG13" s="12">
        <v>6</v>
      </c>
      <c r="BH13" s="12">
        <v>396</v>
      </c>
      <c r="BI13" s="12">
        <v>40</v>
      </c>
      <c r="BJ13" s="12">
        <v>4119</v>
      </c>
      <c r="BK13" s="12">
        <v>412</v>
      </c>
      <c r="BL13" s="12">
        <v>140</v>
      </c>
      <c r="BM13" s="12">
        <v>14</v>
      </c>
      <c r="BN13" s="12">
        <f t="shared" si="26"/>
        <v>1222.5</v>
      </c>
      <c r="BO13" s="12">
        <f t="shared" si="27"/>
        <v>122.66666666666667</v>
      </c>
      <c r="BT13" s="3">
        <v>3602032</v>
      </c>
      <c r="BU13" s="3">
        <f>[1]monsters!$N13</f>
        <v>143.36000000000001</v>
      </c>
      <c r="BV13" s="3">
        <f>[1]monsters!$O13</f>
        <v>14.34</v>
      </c>
      <c r="BW13" s="3">
        <f>[1]monsters!$P13</f>
        <v>822.86</v>
      </c>
      <c r="BX13" s="3">
        <f>[1]monsters!$Q13</f>
        <v>82.29</v>
      </c>
      <c r="BY13" s="3">
        <f>[1]monsters!$R13</f>
        <v>17.920000000000002</v>
      </c>
      <c r="BZ13" s="3">
        <f>[1]monsters!$S13</f>
        <v>1.79</v>
      </c>
      <c r="CA13" s="3">
        <f>[1]monsters!$K13</f>
        <v>1.6</v>
      </c>
      <c r="CB13" s="12">
        <f>[1]monsters!$D13</f>
        <v>5</v>
      </c>
      <c r="CC13" s="12">
        <f t="shared" ca="1" si="2"/>
        <v>0.1</v>
      </c>
      <c r="CD13" s="12">
        <f t="shared" ca="1" si="21"/>
        <v>69.602424242424206</v>
      </c>
      <c r="CE13" s="12">
        <f t="shared" ca="1" si="22"/>
        <v>6.9602424242424297</v>
      </c>
      <c r="CS13" s="3">
        <v>10</v>
      </c>
      <c r="CT13" s="3">
        <f t="shared" si="24"/>
        <v>1120</v>
      </c>
      <c r="CV13" s="3">
        <f t="shared" ca="1" si="3"/>
        <v>3401033</v>
      </c>
      <c r="CW13" s="3">
        <f t="shared" ca="1" si="4"/>
        <v>3302033</v>
      </c>
      <c r="CX13" s="3">
        <f t="shared" ca="1" si="5"/>
        <v>3501033</v>
      </c>
      <c r="CY13" s="11">
        <v>3</v>
      </c>
      <c r="CZ13" s="11">
        <v>3</v>
      </c>
      <c r="DA13" s="11">
        <v>3</v>
      </c>
      <c r="DB13" s="12">
        <f t="shared" ca="1" si="23"/>
        <v>401</v>
      </c>
      <c r="DC13" s="12">
        <f t="shared" ca="1" si="6"/>
        <v>302</v>
      </c>
      <c r="DD13" s="12">
        <f t="shared" ca="1" si="6"/>
        <v>501</v>
      </c>
      <c r="DE13" s="12">
        <f t="shared" ca="1" si="7"/>
        <v>0</v>
      </c>
      <c r="DF13" s="12">
        <f t="shared" ca="1" si="7"/>
        <v>0</v>
      </c>
      <c r="DG13" s="12">
        <f t="shared" ca="1" si="7"/>
        <v>0</v>
      </c>
      <c r="DH13" s="11">
        <v>3</v>
      </c>
      <c r="DI13" s="11">
        <v>3</v>
      </c>
      <c r="DJ13" s="11">
        <v>3</v>
      </c>
      <c r="DK13" s="12">
        <v>3</v>
      </c>
      <c r="DL13" s="12">
        <v>3</v>
      </c>
      <c r="DM13" s="12">
        <v>3</v>
      </c>
      <c r="DN13" s="3">
        <v>3602032</v>
      </c>
      <c r="DP13" s="12">
        <v>500</v>
      </c>
      <c r="DQ13" s="12">
        <v>500</v>
      </c>
      <c r="DS13" s="21">
        <f t="shared" ca="1" si="8"/>
        <v>3401033</v>
      </c>
      <c r="DT13" s="21">
        <f t="shared" ca="1" si="9"/>
        <v>3302033</v>
      </c>
      <c r="DU13" s="21">
        <f t="shared" ca="1" si="10"/>
        <v>3501033</v>
      </c>
      <c r="DW13" s="6">
        <v>40</v>
      </c>
    </row>
    <row r="14" spans="1:127" ht="15.95" customHeight="1">
      <c r="A14" s="6">
        <v>11</v>
      </c>
      <c r="B14" s="7">
        <v>2</v>
      </c>
      <c r="C14" s="6">
        <v>3</v>
      </c>
      <c r="D14" s="6">
        <v>60</v>
      </c>
      <c r="E14" s="6">
        <f t="shared" si="11"/>
        <v>34909</v>
      </c>
      <c r="F14" s="6">
        <v>1001</v>
      </c>
      <c r="G14" s="7" t="str">
        <f t="shared" si="12"/>
        <v>5202052,3500052,3500052</v>
      </c>
      <c r="H14" s="7" t="str">
        <f t="shared" si="13"/>
        <v>5,5,5</v>
      </c>
      <c r="I14" s="7" t="str">
        <f t="shared" si="14"/>
        <v>131,131,131</v>
      </c>
      <c r="J14" s="6">
        <v>60</v>
      </c>
      <c r="K14" s="8" t="s">
        <v>99</v>
      </c>
      <c r="L14" s="7" t="s">
        <v>100</v>
      </c>
      <c r="M14" s="7" t="s">
        <v>100</v>
      </c>
      <c r="N14" s="7" t="s">
        <v>100</v>
      </c>
      <c r="O14" s="40" t="s">
        <v>164</v>
      </c>
      <c r="Q14" s="11" t="str">
        <f t="shared" si="15"/>
        <v>5202052,3500052,3500052</v>
      </c>
      <c r="R14" s="6">
        <v>60</v>
      </c>
      <c r="S14" s="11">
        <v>31735.5</v>
      </c>
      <c r="T14" s="11">
        <f>FLOOR(S14*1.1,1)</f>
        <v>34909</v>
      </c>
      <c r="U14" s="11">
        <v>5202052</v>
      </c>
      <c r="V14" s="11">
        <v>3500052</v>
      </c>
      <c r="W14" s="11">
        <v>3500052</v>
      </c>
      <c r="X14" s="11">
        <v>5</v>
      </c>
      <c r="Y14" s="11">
        <v>5</v>
      </c>
      <c r="Z14" s="11">
        <v>5</v>
      </c>
      <c r="AA14" s="11">
        <f t="shared" si="17"/>
        <v>131</v>
      </c>
      <c r="AB14" s="11">
        <f t="shared" si="18"/>
        <v>131</v>
      </c>
      <c r="AC14" s="11">
        <f t="shared" si="19"/>
        <v>131</v>
      </c>
      <c r="AD14" s="11">
        <f t="shared" si="20"/>
        <v>11636.333333333334</v>
      </c>
      <c r="AE14" s="11">
        <f t="shared" si="1"/>
        <v>11636.333333333334</v>
      </c>
      <c r="AF14" s="11">
        <f t="shared" si="1"/>
        <v>11636.333333333334</v>
      </c>
      <c r="AM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3"/>
      <c r="BA14" s="3"/>
      <c r="BB14" s="3"/>
      <c r="BC14" s="3"/>
      <c r="BG14" s="12">
        <v>7</v>
      </c>
      <c r="BH14" s="12">
        <v>486</v>
      </c>
      <c r="BI14" s="12">
        <v>49</v>
      </c>
      <c r="BJ14" s="12">
        <v>5055</v>
      </c>
      <c r="BK14" s="12">
        <v>506</v>
      </c>
      <c r="BL14" s="12">
        <v>172</v>
      </c>
      <c r="BM14" s="12">
        <v>17</v>
      </c>
      <c r="BN14" s="12">
        <f t="shared" si="26"/>
        <v>1500.5</v>
      </c>
      <c r="BO14" s="12">
        <f t="shared" si="27"/>
        <v>150.33333333333331</v>
      </c>
      <c r="BT14" s="3">
        <v>3202033</v>
      </c>
      <c r="BU14" s="3">
        <f>[1]monsters!$N14</f>
        <v>138.88</v>
      </c>
      <c r="BV14" s="3">
        <f>[1]monsters!$O14</f>
        <v>13.89</v>
      </c>
      <c r="BW14" s="3">
        <f>[1]monsters!$P14</f>
        <v>743.23</v>
      </c>
      <c r="BX14" s="3">
        <f>[1]monsters!$Q14</f>
        <v>74.319999999999993</v>
      </c>
      <c r="BY14" s="3">
        <f>[1]monsters!$R14</f>
        <v>13.89</v>
      </c>
      <c r="BZ14" s="3">
        <f>[1]monsters!$S14</f>
        <v>1.39</v>
      </c>
      <c r="CA14" s="3">
        <f>[1]monsters!$K14</f>
        <v>1.4000000000000001</v>
      </c>
      <c r="CB14" s="12">
        <f>[1]monsters!$D14</f>
        <v>6</v>
      </c>
      <c r="CC14" s="12">
        <f t="shared" ca="1" si="2"/>
        <v>0.1</v>
      </c>
      <c r="CD14" s="12">
        <f t="shared" ca="1" si="21"/>
        <v>66.591030303030294</v>
      </c>
      <c r="CE14" s="12">
        <f t="shared" ca="1" si="22"/>
        <v>6.6591030303030303</v>
      </c>
      <c r="CL14" s="12">
        <v>66</v>
      </c>
      <c r="CM14" s="12">
        <v>2700</v>
      </c>
      <c r="CN14" s="12">
        <f>(CM14*(1/26+0.1/10)/2.5+CL14)</f>
        <v>118.33846153846154</v>
      </c>
      <c r="CS14" s="3">
        <v>11</v>
      </c>
      <c r="CT14" s="3">
        <f t="shared" si="24"/>
        <v>1410</v>
      </c>
      <c r="CV14" s="3">
        <f t="shared" ca="1" si="3"/>
        <v>3500033</v>
      </c>
      <c r="CW14" s="3">
        <f t="shared" ca="1" si="4"/>
        <v>3500033</v>
      </c>
      <c r="CX14" s="3">
        <f t="shared" ca="1" si="5"/>
        <v>3401033</v>
      </c>
      <c r="CY14" s="11">
        <v>3</v>
      </c>
      <c r="CZ14" s="11">
        <v>3</v>
      </c>
      <c r="DA14" s="11">
        <v>3</v>
      </c>
      <c r="DB14" s="12">
        <f t="shared" ca="1" si="23"/>
        <v>500</v>
      </c>
      <c r="DC14" s="12">
        <f t="shared" ca="1" si="6"/>
        <v>500</v>
      </c>
      <c r="DD14" s="12">
        <f t="shared" ca="1" si="6"/>
        <v>401</v>
      </c>
      <c r="DE14" s="12">
        <f t="shared" ca="1" si="7"/>
        <v>0</v>
      </c>
      <c r="DF14" s="12">
        <f t="shared" ca="1" si="7"/>
        <v>0</v>
      </c>
      <c r="DG14" s="12">
        <f t="shared" ca="1" si="7"/>
        <v>0</v>
      </c>
      <c r="DH14" s="11">
        <v>3</v>
      </c>
      <c r="DI14" s="11">
        <v>3</v>
      </c>
      <c r="DJ14" s="11">
        <v>3</v>
      </c>
      <c r="DK14" s="12">
        <v>3</v>
      </c>
      <c r="DL14" s="12">
        <v>3</v>
      </c>
      <c r="DM14" s="12">
        <v>3</v>
      </c>
      <c r="DN14" s="3">
        <v>3202033</v>
      </c>
      <c r="DP14" s="12">
        <v>501</v>
      </c>
      <c r="DQ14" s="12">
        <v>501</v>
      </c>
      <c r="DS14" s="21">
        <f t="shared" ca="1" si="8"/>
        <v>3500033</v>
      </c>
      <c r="DT14" s="21">
        <f t="shared" ca="1" si="9"/>
        <v>3500033</v>
      </c>
      <c r="DU14" s="21">
        <f t="shared" ca="1" si="10"/>
        <v>3401033</v>
      </c>
      <c r="DW14" s="6">
        <v>60</v>
      </c>
    </row>
    <row r="15" spans="1:127" ht="15.95" customHeight="1">
      <c r="A15" s="6">
        <v>12</v>
      </c>
      <c r="B15" s="7">
        <v>2</v>
      </c>
      <c r="C15" s="6">
        <v>4</v>
      </c>
      <c r="D15" s="6">
        <v>75</v>
      </c>
      <c r="E15" s="6">
        <f t="shared" si="11"/>
        <v>98955</v>
      </c>
      <c r="F15" s="6">
        <v>1001</v>
      </c>
      <c r="G15" s="7" t="str">
        <f t="shared" si="12"/>
        <v>5202052,3500052,3500052</v>
      </c>
      <c r="H15" s="7" t="str">
        <f t="shared" si="13"/>
        <v>5,5,5</v>
      </c>
      <c r="I15" s="7" t="str">
        <f t="shared" si="14"/>
        <v>228,228,228</v>
      </c>
      <c r="J15" s="6">
        <v>75</v>
      </c>
      <c r="K15" s="8" t="s">
        <v>99</v>
      </c>
      <c r="L15" s="7" t="s">
        <v>100</v>
      </c>
      <c r="M15" s="7" t="s">
        <v>100</v>
      </c>
      <c r="N15" s="7" t="s">
        <v>100</v>
      </c>
      <c r="O15" s="40" t="s">
        <v>163</v>
      </c>
      <c r="Q15" s="11" t="str">
        <f t="shared" si="15"/>
        <v>5202052,3500052,3500052</v>
      </c>
      <c r="R15" s="6">
        <v>75</v>
      </c>
      <c r="S15" s="11">
        <v>89959.5</v>
      </c>
      <c r="T15" s="11">
        <f t="shared" ref="T15" si="28">FLOOR(S15*1.1,1)</f>
        <v>98955</v>
      </c>
      <c r="U15" s="11">
        <v>5202052</v>
      </c>
      <c r="V15" s="11">
        <v>3500052</v>
      </c>
      <c r="W15" s="11">
        <v>3500052</v>
      </c>
      <c r="X15" s="11">
        <v>5</v>
      </c>
      <c r="Y15" s="11">
        <v>5</v>
      </c>
      <c r="Z15" s="11">
        <v>5</v>
      </c>
      <c r="AA15" s="11">
        <f t="shared" si="17"/>
        <v>228</v>
      </c>
      <c r="AB15" s="11">
        <f t="shared" si="18"/>
        <v>228</v>
      </c>
      <c r="AC15" s="11">
        <f t="shared" si="19"/>
        <v>228</v>
      </c>
      <c r="AD15" s="11">
        <f t="shared" si="20"/>
        <v>32985</v>
      </c>
      <c r="AE15" s="11">
        <f t="shared" si="1"/>
        <v>32985</v>
      </c>
      <c r="AF15" s="11">
        <f t="shared" si="1"/>
        <v>32985</v>
      </c>
      <c r="AM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3"/>
      <c r="BA15" s="3"/>
      <c r="BB15" s="3"/>
      <c r="BC15" s="3"/>
      <c r="BG15" s="12">
        <v>8</v>
      </c>
      <c r="BH15" s="12">
        <v>585</v>
      </c>
      <c r="BI15" s="12">
        <v>59</v>
      </c>
      <c r="BJ15" s="12">
        <v>6084</v>
      </c>
      <c r="BK15" s="12">
        <v>609</v>
      </c>
      <c r="BL15" s="12">
        <v>206</v>
      </c>
      <c r="BM15" s="12">
        <v>21</v>
      </c>
      <c r="BN15" s="12">
        <f t="shared" si="26"/>
        <v>1805</v>
      </c>
      <c r="BO15" s="12">
        <f t="shared" si="27"/>
        <v>181.5</v>
      </c>
      <c r="BT15" s="3">
        <v>3302033</v>
      </c>
      <c r="BU15" s="3">
        <f>[1]monsters!$N15</f>
        <v>178.56</v>
      </c>
      <c r="BV15" s="3">
        <f>[1]monsters!$O15</f>
        <v>17.86</v>
      </c>
      <c r="BW15" s="3">
        <f>[1]monsters!$P15</f>
        <v>743.23</v>
      </c>
      <c r="BX15" s="3">
        <f>[1]monsters!$Q15</f>
        <v>74.319999999999993</v>
      </c>
      <c r="BY15" s="3">
        <f>[1]monsters!$R15</f>
        <v>17.86</v>
      </c>
      <c r="BZ15" s="3">
        <f>[1]monsters!$S15</f>
        <v>1.79</v>
      </c>
      <c r="CA15" s="3">
        <f>[1]monsters!$K15</f>
        <v>1.8</v>
      </c>
      <c r="CB15" s="12">
        <f>[1]monsters!$D15</f>
        <v>6</v>
      </c>
      <c r="CC15" s="12">
        <f t="shared" ca="1" si="2"/>
        <v>0.1</v>
      </c>
      <c r="CD15" s="12">
        <f t="shared" ca="1" si="21"/>
        <v>51.430426936026898</v>
      </c>
      <c r="CE15" s="12">
        <f t="shared" ca="1" si="22"/>
        <v>5.1430426936026903</v>
      </c>
      <c r="CS15" s="3">
        <v>12</v>
      </c>
      <c r="CT15" s="3">
        <f t="shared" si="24"/>
        <v>1750</v>
      </c>
      <c r="CV15" s="3">
        <f t="shared" ca="1" si="3"/>
        <v>3301043</v>
      </c>
      <c r="CW15" s="3">
        <f t="shared" ca="1" si="4"/>
        <v>3600043</v>
      </c>
      <c r="CX15" s="3">
        <f t="shared" ca="1" si="5"/>
        <v>3600043</v>
      </c>
      <c r="CY15" s="11">
        <v>4</v>
      </c>
      <c r="CZ15" s="11">
        <v>4</v>
      </c>
      <c r="DA15" s="11">
        <v>4</v>
      </c>
      <c r="DB15" s="12">
        <f t="shared" ca="1" si="23"/>
        <v>301</v>
      </c>
      <c r="DC15" s="12">
        <f t="shared" ca="1" si="6"/>
        <v>600</v>
      </c>
      <c r="DD15" s="12">
        <f t="shared" ca="1" si="6"/>
        <v>600</v>
      </c>
      <c r="DE15" s="12">
        <f t="shared" ca="1" si="7"/>
        <v>0</v>
      </c>
      <c r="DF15" s="12">
        <f t="shared" ca="1" si="7"/>
        <v>0</v>
      </c>
      <c r="DG15" s="12">
        <f t="shared" ca="1" si="7"/>
        <v>0</v>
      </c>
      <c r="DH15" s="11">
        <v>3</v>
      </c>
      <c r="DI15" s="11">
        <v>3</v>
      </c>
      <c r="DJ15" s="11">
        <v>3</v>
      </c>
      <c r="DK15" s="12">
        <v>3</v>
      </c>
      <c r="DL15" s="12">
        <v>3</v>
      </c>
      <c r="DM15" s="12">
        <v>3</v>
      </c>
      <c r="DN15" s="3">
        <v>3302033</v>
      </c>
      <c r="DP15" s="12">
        <v>502</v>
      </c>
      <c r="DQ15" s="12">
        <v>502</v>
      </c>
      <c r="DS15" s="21">
        <f t="shared" ca="1" si="8"/>
        <v>3301043</v>
      </c>
      <c r="DT15" s="21">
        <f t="shared" ca="1" si="9"/>
        <v>3600043</v>
      </c>
      <c r="DU15" s="21">
        <f t="shared" ca="1" si="10"/>
        <v>3600043</v>
      </c>
      <c r="DW15" s="6">
        <v>75</v>
      </c>
    </row>
    <row r="16" spans="1:127" ht="15.95" customHeight="1">
      <c r="A16" s="6">
        <v>13</v>
      </c>
      <c r="B16" s="7">
        <v>2</v>
      </c>
      <c r="C16" s="6">
        <v>5</v>
      </c>
      <c r="D16" s="9">
        <v>90</v>
      </c>
      <c r="E16" s="6">
        <f t="shared" si="11"/>
        <v>229013</v>
      </c>
      <c r="F16" s="6">
        <v>1001</v>
      </c>
      <c r="G16" s="7" t="str">
        <f t="shared" si="12"/>
        <v>5202062,3500062,3500062</v>
      </c>
      <c r="H16" s="7" t="str">
        <f t="shared" si="13"/>
        <v>6,6,6</v>
      </c>
      <c r="I16" s="7" t="str">
        <f t="shared" si="14"/>
        <v>261,261,261</v>
      </c>
      <c r="J16" s="9">
        <v>90</v>
      </c>
      <c r="K16" s="8" t="s">
        <v>99</v>
      </c>
      <c r="L16" s="7" t="s">
        <v>100</v>
      </c>
      <c r="M16" s="7" t="s">
        <v>100</v>
      </c>
      <c r="N16" s="7" t="s">
        <v>100</v>
      </c>
      <c r="O16" s="39" t="s">
        <v>103</v>
      </c>
      <c r="Q16" s="11" t="str">
        <f t="shared" si="15"/>
        <v>5202062,3500062,3500062</v>
      </c>
      <c r="R16" s="9">
        <v>90</v>
      </c>
      <c r="S16" s="11">
        <v>190844.79999999999</v>
      </c>
      <c r="T16" s="11">
        <f>FLOOR(S16*1.2,1)</f>
        <v>229013</v>
      </c>
      <c r="U16" s="11">
        <v>5202062</v>
      </c>
      <c r="V16" s="11">
        <v>3500062</v>
      </c>
      <c r="W16" s="11">
        <v>3500062</v>
      </c>
      <c r="X16" s="11">
        <v>6</v>
      </c>
      <c r="Y16" s="11">
        <v>6</v>
      </c>
      <c r="Z16" s="11">
        <v>6</v>
      </c>
      <c r="AA16" s="11">
        <f t="shared" si="17"/>
        <v>261</v>
      </c>
      <c r="AB16" s="11">
        <f t="shared" si="18"/>
        <v>261</v>
      </c>
      <c r="AC16" s="11">
        <f t="shared" si="19"/>
        <v>261</v>
      </c>
      <c r="AD16" s="11">
        <f t="shared" si="20"/>
        <v>76337.666666666672</v>
      </c>
      <c r="AE16" s="11">
        <f t="shared" si="1"/>
        <v>76337.666666666672</v>
      </c>
      <c r="AF16" s="11">
        <f t="shared" si="1"/>
        <v>76337.666666666672</v>
      </c>
      <c r="AM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3"/>
      <c r="BA16" s="3"/>
      <c r="BB16" s="3"/>
      <c r="BC16" s="3"/>
      <c r="BG16" s="12">
        <v>9</v>
      </c>
      <c r="BH16" s="12">
        <v>684</v>
      </c>
      <c r="BI16" s="12">
        <v>69</v>
      </c>
      <c r="BJ16" s="12">
        <v>7114</v>
      </c>
      <c r="BK16" s="12">
        <v>712</v>
      </c>
      <c r="BL16" s="12">
        <v>241</v>
      </c>
      <c r="BM16" s="12">
        <v>24</v>
      </c>
      <c r="BN16" s="12">
        <f t="shared" si="26"/>
        <v>2110.666666666667</v>
      </c>
      <c r="BO16" s="12">
        <f t="shared" si="27"/>
        <v>211.66666666666669</v>
      </c>
      <c r="BT16" s="3">
        <v>3400033</v>
      </c>
      <c r="BU16" s="3">
        <f>[1]monsters!$N16</f>
        <v>74.88</v>
      </c>
      <c r="BV16" s="3">
        <f>[1]monsters!$O16</f>
        <v>7.49</v>
      </c>
      <c r="BW16" s="3">
        <f>[1]monsters!$P16</f>
        <v>1280</v>
      </c>
      <c r="BX16" s="3">
        <f>[1]monsters!$Q16</f>
        <v>128</v>
      </c>
      <c r="BY16" s="3">
        <f>[1]monsters!$R16</f>
        <v>14.98</v>
      </c>
      <c r="BZ16" s="3">
        <f>[1]monsters!$S16</f>
        <v>1.5</v>
      </c>
      <c r="CA16" s="3">
        <f>[1]monsters!$K16</f>
        <v>1.3</v>
      </c>
      <c r="CB16" s="12">
        <f>[1]monsters!$D16</f>
        <v>3</v>
      </c>
      <c r="CC16" s="12">
        <f t="shared" ca="1" si="2"/>
        <v>0.1</v>
      </c>
      <c r="CD16" s="12">
        <f t="shared" ca="1" si="21"/>
        <v>51.976167493112897</v>
      </c>
      <c r="CE16" s="12">
        <f t="shared" ca="1" si="22"/>
        <v>5.1976167493112904</v>
      </c>
      <c r="CF16" s="21" t="s">
        <v>104</v>
      </c>
      <c r="CH16" s="21" t="s">
        <v>105</v>
      </c>
      <c r="CJ16" s="21" t="s">
        <v>106</v>
      </c>
      <c r="CL16" s="21" t="s">
        <v>107</v>
      </c>
      <c r="CN16" s="21" t="s">
        <v>108</v>
      </c>
      <c r="CS16" s="3">
        <v>13</v>
      </c>
      <c r="CT16" s="3">
        <f t="shared" si="24"/>
        <v>2144</v>
      </c>
      <c r="CV16" s="3">
        <f t="shared" ca="1" si="3"/>
        <v>5302053</v>
      </c>
      <c r="CW16" s="3">
        <f t="shared" ca="1" si="4"/>
        <v>5201053</v>
      </c>
      <c r="CX16" s="3">
        <f t="shared" ca="1" si="5"/>
        <v>5400053</v>
      </c>
      <c r="CY16" s="11">
        <v>5</v>
      </c>
      <c r="CZ16" s="11">
        <v>5</v>
      </c>
      <c r="DA16" s="11">
        <v>5</v>
      </c>
      <c r="DB16" s="12">
        <f t="shared" ca="1" si="23"/>
        <v>302</v>
      </c>
      <c r="DC16" s="12">
        <f t="shared" ca="1" si="6"/>
        <v>201</v>
      </c>
      <c r="DD16" s="12">
        <f t="shared" ca="1" si="6"/>
        <v>400</v>
      </c>
      <c r="DE16" s="12">
        <f t="shared" ca="1" si="7"/>
        <v>0</v>
      </c>
      <c r="DF16" s="12">
        <f t="shared" ca="1" si="7"/>
        <v>0</v>
      </c>
      <c r="DG16" s="12">
        <f t="shared" ca="1" si="7"/>
        <v>0</v>
      </c>
      <c r="DH16" s="11">
        <v>5</v>
      </c>
      <c r="DI16" s="11">
        <v>5</v>
      </c>
      <c r="DJ16" s="11">
        <v>5</v>
      </c>
      <c r="DK16" s="12">
        <v>3</v>
      </c>
      <c r="DL16" s="12">
        <v>3</v>
      </c>
      <c r="DM16" s="12">
        <v>3</v>
      </c>
      <c r="DN16" s="3">
        <v>3400033</v>
      </c>
      <c r="DP16" s="12">
        <v>600</v>
      </c>
      <c r="DQ16" s="12">
        <v>600</v>
      </c>
      <c r="DS16" s="21">
        <f t="shared" ca="1" si="8"/>
        <v>5302053</v>
      </c>
      <c r="DT16" s="21">
        <f t="shared" ca="1" si="9"/>
        <v>5201053</v>
      </c>
      <c r="DU16" s="21">
        <f t="shared" ca="1" si="10"/>
        <v>5400053</v>
      </c>
      <c r="DW16" s="9">
        <v>90</v>
      </c>
    </row>
    <row r="17" spans="1:127" ht="15.95" customHeight="1">
      <c r="A17" s="6">
        <v>14</v>
      </c>
      <c r="B17" s="11">
        <v>2</v>
      </c>
      <c r="C17" s="6">
        <v>6</v>
      </c>
      <c r="D17" s="9">
        <v>105</v>
      </c>
      <c r="E17" s="6">
        <f t="shared" si="11"/>
        <v>529931</v>
      </c>
      <c r="F17" s="6">
        <v>1001</v>
      </c>
      <c r="G17" s="7" t="str">
        <f t="shared" si="12"/>
        <v>5202062,3500062,3500062</v>
      </c>
      <c r="H17" s="7" t="str">
        <f t="shared" si="13"/>
        <v>6,6,6</v>
      </c>
      <c r="I17" s="7" t="str">
        <f t="shared" si="14"/>
        <v>403,403,403</v>
      </c>
      <c r="J17" s="9">
        <v>105</v>
      </c>
      <c r="K17" s="8" t="s">
        <v>99</v>
      </c>
      <c r="L17" s="7" t="s">
        <v>100</v>
      </c>
      <c r="M17" s="7" t="s">
        <v>100</v>
      </c>
      <c r="N17" s="7" t="s">
        <v>100</v>
      </c>
      <c r="O17" s="40" t="s">
        <v>162</v>
      </c>
      <c r="Q17" s="11" t="str">
        <f t="shared" si="15"/>
        <v>5202062,3500062,3500062</v>
      </c>
      <c r="R17" s="9">
        <v>105</v>
      </c>
      <c r="S17" s="11">
        <v>441609.6</v>
      </c>
      <c r="T17" s="11">
        <f>FLOOR(S17*1.2,1)</f>
        <v>529931</v>
      </c>
      <c r="U17" s="11">
        <v>5202062</v>
      </c>
      <c r="V17" s="11">
        <v>3500062</v>
      </c>
      <c r="W17" s="11">
        <v>3500062</v>
      </c>
      <c r="X17" s="11">
        <v>6</v>
      </c>
      <c r="Y17" s="11">
        <v>6</v>
      </c>
      <c r="Z17" s="11">
        <v>6</v>
      </c>
      <c r="AA17" s="11">
        <f t="shared" si="17"/>
        <v>403</v>
      </c>
      <c r="AB17" s="11">
        <f t="shared" si="18"/>
        <v>403</v>
      </c>
      <c r="AC17" s="11">
        <f t="shared" si="19"/>
        <v>403</v>
      </c>
      <c r="AD17" s="11">
        <f t="shared" si="20"/>
        <v>176643.66666666666</v>
      </c>
      <c r="AE17" s="11">
        <f t="shared" si="1"/>
        <v>176643.66666666666</v>
      </c>
      <c r="AF17" s="11">
        <f t="shared" si="1"/>
        <v>176643.66666666666</v>
      </c>
      <c r="AM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3"/>
      <c r="BA17" s="3"/>
      <c r="BB17" s="3"/>
      <c r="BC17" s="3"/>
      <c r="BG17" s="12">
        <v>10</v>
      </c>
      <c r="BH17" s="12">
        <v>810</v>
      </c>
      <c r="BI17" s="12">
        <v>81</v>
      </c>
      <c r="BJ17" s="12">
        <v>8424</v>
      </c>
      <c r="BK17" s="12">
        <v>843</v>
      </c>
      <c r="BL17" s="12">
        <v>286</v>
      </c>
      <c r="BM17" s="12">
        <v>29</v>
      </c>
      <c r="BN17" s="12">
        <f t="shared" si="26"/>
        <v>2500</v>
      </c>
      <c r="BO17" s="12">
        <f t="shared" si="27"/>
        <v>250.5</v>
      </c>
      <c r="BT17" s="3">
        <v>3501033</v>
      </c>
      <c r="BU17" s="3">
        <f>[1]monsters!$N17</f>
        <v>80.64</v>
      </c>
      <c r="BV17" s="3">
        <f>[1]monsters!$O17</f>
        <v>8.06</v>
      </c>
      <c r="BW17" s="3">
        <f>[1]monsters!$P17</f>
        <v>1280</v>
      </c>
      <c r="BX17" s="3">
        <f>[1]monsters!$Q17</f>
        <v>128</v>
      </c>
      <c r="BY17" s="3">
        <f>[1]monsters!$R17</f>
        <v>16.13</v>
      </c>
      <c r="BZ17" s="3">
        <f>[1]monsters!$S17</f>
        <v>1.61</v>
      </c>
      <c r="CA17" s="3">
        <f>[1]monsters!$K17</f>
        <v>1.4000000000000001</v>
      </c>
      <c r="CB17" s="12">
        <f>[1]monsters!$D17</f>
        <v>3</v>
      </c>
      <c r="CC17" s="12">
        <f t="shared" ca="1" si="2"/>
        <v>0.1</v>
      </c>
      <c r="CD17" s="12">
        <f t="shared" ca="1" si="21"/>
        <v>63.747620202020201</v>
      </c>
      <c r="CE17" s="12">
        <f t="shared" ca="1" si="22"/>
        <v>6.3747620202020201</v>
      </c>
      <c r="CF17" s="12">
        <v>1001</v>
      </c>
      <c r="CG17" s="26">
        <v>1</v>
      </c>
      <c r="CH17" s="12">
        <v>1002</v>
      </c>
      <c r="CI17" s="26">
        <v>1</v>
      </c>
      <c r="CJ17" s="12">
        <v>1004</v>
      </c>
      <c r="CK17" s="26">
        <v>1</v>
      </c>
      <c r="CL17" s="12">
        <v>1003</v>
      </c>
      <c r="CM17" s="26">
        <v>1</v>
      </c>
      <c r="CN17" s="3">
        <v>1005</v>
      </c>
      <c r="CO17" s="26">
        <v>1</v>
      </c>
      <c r="CS17" s="3">
        <v>14</v>
      </c>
      <c r="CT17" s="3">
        <f t="shared" si="24"/>
        <v>2596</v>
      </c>
      <c r="CV17" s="3">
        <f t="shared" ca="1" si="3"/>
        <v>5402063</v>
      </c>
      <c r="CW17" s="3">
        <f t="shared" ca="1" si="4"/>
        <v>5500063</v>
      </c>
      <c r="CX17" s="3">
        <f t="shared" ca="1" si="5"/>
        <v>5500063</v>
      </c>
      <c r="CY17" s="11">
        <v>6</v>
      </c>
      <c r="CZ17" s="11">
        <v>6</v>
      </c>
      <c r="DA17" s="11">
        <v>6</v>
      </c>
      <c r="DB17" s="12">
        <f t="shared" ca="1" si="23"/>
        <v>402</v>
      </c>
      <c r="DC17" s="12">
        <f t="shared" ca="1" si="6"/>
        <v>500</v>
      </c>
      <c r="DD17" s="12">
        <f t="shared" ca="1" si="6"/>
        <v>500</v>
      </c>
      <c r="DE17" s="12">
        <f t="shared" ca="1" si="7"/>
        <v>0</v>
      </c>
      <c r="DF17" s="12">
        <f t="shared" ca="1" si="7"/>
        <v>0</v>
      </c>
      <c r="DG17" s="12">
        <f t="shared" ca="1" si="7"/>
        <v>0</v>
      </c>
      <c r="DH17" s="11">
        <v>5</v>
      </c>
      <c r="DI17" s="11">
        <v>5</v>
      </c>
      <c r="DJ17" s="11">
        <v>5</v>
      </c>
      <c r="DK17" s="12">
        <v>3</v>
      </c>
      <c r="DL17" s="12">
        <v>3</v>
      </c>
      <c r="DM17" s="12">
        <v>3</v>
      </c>
      <c r="DN17" s="3">
        <v>3501033</v>
      </c>
      <c r="DP17" s="12">
        <v>601</v>
      </c>
      <c r="DQ17" s="12">
        <v>601</v>
      </c>
      <c r="DS17" s="21">
        <f t="shared" ca="1" si="8"/>
        <v>5402063</v>
      </c>
      <c r="DT17" s="21">
        <f t="shared" ca="1" si="9"/>
        <v>5500063</v>
      </c>
      <c r="DU17" s="21">
        <f t="shared" ca="1" si="10"/>
        <v>5500063</v>
      </c>
      <c r="DW17" s="9">
        <v>105</v>
      </c>
    </row>
    <row r="18" spans="1:127" ht="15.95" customHeight="1">
      <c r="A18" s="6">
        <v>15</v>
      </c>
      <c r="B18" s="11">
        <v>2</v>
      </c>
      <c r="C18" s="6">
        <v>7</v>
      </c>
      <c r="D18" s="9">
        <v>120</v>
      </c>
      <c r="E18" s="6">
        <f t="shared" si="11"/>
        <v>1099574</v>
      </c>
      <c r="F18" s="6">
        <v>1001</v>
      </c>
      <c r="G18" s="7" t="str">
        <f t="shared" si="12"/>
        <v>5202072,3500072,3500072</v>
      </c>
      <c r="H18" s="7" t="str">
        <f t="shared" si="13"/>
        <v>7,7,7</v>
      </c>
      <c r="I18" s="7" t="str">
        <f t="shared" si="14"/>
        <v>531,531,531</v>
      </c>
      <c r="J18" s="9">
        <v>120</v>
      </c>
      <c r="K18" s="8" t="s">
        <v>99</v>
      </c>
      <c r="L18" s="7" t="s">
        <v>100</v>
      </c>
      <c r="M18" s="7" t="s">
        <v>100</v>
      </c>
      <c r="N18" s="7" t="s">
        <v>100</v>
      </c>
      <c r="O18" s="40" t="s">
        <v>161</v>
      </c>
      <c r="Q18" s="11" t="str">
        <f t="shared" si="15"/>
        <v>5202072,3500072,3500072</v>
      </c>
      <c r="R18" s="9">
        <v>120</v>
      </c>
      <c r="S18" s="11">
        <v>845826.5</v>
      </c>
      <c r="T18" s="11">
        <f>FLOOR(S18*1.3,1)</f>
        <v>1099574</v>
      </c>
      <c r="U18" s="11">
        <v>5202072</v>
      </c>
      <c r="V18" s="11">
        <v>3500072</v>
      </c>
      <c r="W18" s="11">
        <v>3500072</v>
      </c>
      <c r="X18" s="11">
        <v>7</v>
      </c>
      <c r="Y18" s="11">
        <v>7</v>
      </c>
      <c r="Z18" s="11">
        <v>7</v>
      </c>
      <c r="AA18" s="11">
        <f t="shared" si="17"/>
        <v>531</v>
      </c>
      <c r="AB18" s="11">
        <f t="shared" si="18"/>
        <v>531</v>
      </c>
      <c r="AC18" s="11">
        <f t="shared" si="19"/>
        <v>531</v>
      </c>
      <c r="AD18" s="11">
        <f t="shared" si="20"/>
        <v>366524.66666666669</v>
      </c>
      <c r="AE18" s="11">
        <f t="shared" si="1"/>
        <v>366524.66666666669</v>
      </c>
      <c r="AF18" s="11">
        <f t="shared" si="1"/>
        <v>366524.66666666669</v>
      </c>
      <c r="AM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3"/>
      <c r="BA18" s="3"/>
      <c r="BB18" s="3"/>
      <c r="BC18" s="3"/>
      <c r="BJ18" s="21" t="s">
        <v>109</v>
      </c>
      <c r="BK18" s="21" t="s">
        <v>110</v>
      </c>
      <c r="BL18" s="21" t="s">
        <v>111</v>
      </c>
      <c r="BT18" s="3">
        <v>3600033</v>
      </c>
      <c r="BU18" s="3">
        <f>[1]monsters!$N18</f>
        <v>107.52</v>
      </c>
      <c r="BV18" s="3">
        <f>[1]monsters!$O18</f>
        <v>10.75</v>
      </c>
      <c r="BW18" s="3">
        <f>[1]monsters!$P18</f>
        <v>960</v>
      </c>
      <c r="BX18" s="3">
        <f>[1]monsters!$Q18</f>
        <v>96</v>
      </c>
      <c r="BY18" s="3">
        <f>[1]monsters!$R18</f>
        <v>15.36</v>
      </c>
      <c r="BZ18" s="3">
        <f>[1]monsters!$S18</f>
        <v>1.54</v>
      </c>
      <c r="CA18" s="3">
        <f>[1]monsters!$K18</f>
        <v>1.4000000000000001</v>
      </c>
      <c r="CB18" s="12">
        <f>[1]monsters!$D18</f>
        <v>4</v>
      </c>
      <c r="CC18" s="12">
        <f t="shared" ca="1" si="2"/>
        <v>0.1</v>
      </c>
      <c r="CD18" s="12">
        <f t="shared" ca="1" si="21"/>
        <v>53.726424242424201</v>
      </c>
      <c r="CE18" s="12">
        <f t="shared" ca="1" si="22"/>
        <v>5.3726424242424198</v>
      </c>
      <c r="CF18" s="12">
        <v>1026</v>
      </c>
      <c r="CG18" s="26">
        <v>1</v>
      </c>
      <c r="CH18" s="12">
        <v>1029</v>
      </c>
      <c r="CI18" s="26">
        <v>1</v>
      </c>
      <c r="CJ18" s="12">
        <v>1028</v>
      </c>
      <c r="CK18" s="26">
        <v>1</v>
      </c>
      <c r="CL18" s="12">
        <v>1040</v>
      </c>
      <c r="CM18" s="27">
        <v>2</v>
      </c>
      <c r="CN18" s="3">
        <v>1010</v>
      </c>
      <c r="CO18" s="27">
        <v>2</v>
      </c>
      <c r="CS18" s="3">
        <v>15</v>
      </c>
      <c r="CT18" s="3">
        <f t="shared" si="24"/>
        <v>3110</v>
      </c>
      <c r="CV18" s="3">
        <f t="shared" ca="1" si="3"/>
        <v>5501063</v>
      </c>
      <c r="CW18" s="3">
        <f t="shared" ca="1" si="4"/>
        <v>5300063</v>
      </c>
      <c r="CX18" s="3">
        <f t="shared" ca="1" si="5"/>
        <v>5202063</v>
      </c>
      <c r="CY18" s="11">
        <v>6</v>
      </c>
      <c r="CZ18" s="11">
        <v>6</v>
      </c>
      <c r="DA18" s="11">
        <v>6</v>
      </c>
      <c r="DB18" s="12">
        <f t="shared" ca="1" si="23"/>
        <v>501</v>
      </c>
      <c r="DC18" s="12">
        <f t="shared" ca="1" si="6"/>
        <v>300</v>
      </c>
      <c r="DD18" s="12">
        <f t="shared" ca="1" si="6"/>
        <v>202</v>
      </c>
      <c r="DE18" s="12">
        <f t="shared" ca="1" si="7"/>
        <v>0</v>
      </c>
      <c r="DF18" s="12">
        <f t="shared" ca="1" si="7"/>
        <v>0</v>
      </c>
      <c r="DG18" s="12">
        <f t="shared" ca="1" si="7"/>
        <v>0</v>
      </c>
      <c r="DH18" s="11">
        <v>5</v>
      </c>
      <c r="DI18" s="11">
        <v>5</v>
      </c>
      <c r="DJ18" s="11">
        <v>5</v>
      </c>
      <c r="DK18" s="12">
        <v>3</v>
      </c>
      <c r="DL18" s="12">
        <v>3</v>
      </c>
      <c r="DM18" s="12">
        <v>3</v>
      </c>
      <c r="DN18" s="3">
        <v>3600033</v>
      </c>
      <c r="DP18" s="12">
        <v>602</v>
      </c>
      <c r="DQ18" s="12">
        <v>602</v>
      </c>
      <c r="DS18" s="21">
        <f t="shared" ca="1" si="8"/>
        <v>5501063</v>
      </c>
      <c r="DT18" s="21">
        <f t="shared" ca="1" si="9"/>
        <v>5300063</v>
      </c>
      <c r="DU18" s="21">
        <f t="shared" ca="1" si="10"/>
        <v>5202063</v>
      </c>
      <c r="DW18" s="9">
        <v>120</v>
      </c>
    </row>
    <row r="19" spans="1:127" ht="15.95" customHeight="1">
      <c r="A19" s="6">
        <v>16</v>
      </c>
      <c r="B19" s="11">
        <v>2</v>
      </c>
      <c r="C19" s="6">
        <v>8</v>
      </c>
      <c r="D19" s="9">
        <v>150</v>
      </c>
      <c r="E19" s="6">
        <f t="shared" si="11"/>
        <v>1995367</v>
      </c>
      <c r="F19" s="6">
        <v>1001</v>
      </c>
      <c r="G19" s="7" t="str">
        <f t="shared" si="12"/>
        <v>5202072,3500072,3500072</v>
      </c>
      <c r="H19" s="7" t="str">
        <f t="shared" si="13"/>
        <v>7,7,7</v>
      </c>
      <c r="I19" s="7" t="str">
        <f t="shared" si="14"/>
        <v>719,719,719</v>
      </c>
      <c r="J19" s="9">
        <v>150</v>
      </c>
      <c r="K19" s="8" t="s">
        <v>99</v>
      </c>
      <c r="L19" s="7" t="s">
        <v>100</v>
      </c>
      <c r="M19" s="7" t="s">
        <v>100</v>
      </c>
      <c r="N19" s="7" t="s">
        <v>100</v>
      </c>
      <c r="O19" s="40" t="s">
        <v>112</v>
      </c>
      <c r="Q19" s="11" t="str">
        <f t="shared" si="15"/>
        <v>5202072,3500072,3500072</v>
      </c>
      <c r="R19" s="9">
        <v>150</v>
      </c>
      <c r="S19" s="11">
        <v>1534897.7</v>
      </c>
      <c r="T19" s="11">
        <f>FLOOR(S19*1.3,1)</f>
        <v>1995367</v>
      </c>
      <c r="U19" s="11">
        <v>5202072</v>
      </c>
      <c r="V19" s="11">
        <v>3500072</v>
      </c>
      <c r="W19" s="11">
        <v>3500072</v>
      </c>
      <c r="X19" s="11">
        <v>7</v>
      </c>
      <c r="Y19" s="11">
        <v>7</v>
      </c>
      <c r="Z19" s="11">
        <v>7</v>
      </c>
      <c r="AA19" s="11">
        <f t="shared" si="17"/>
        <v>719</v>
      </c>
      <c r="AB19" s="11">
        <f t="shared" si="18"/>
        <v>719</v>
      </c>
      <c r="AC19" s="11">
        <f t="shared" si="19"/>
        <v>719</v>
      </c>
      <c r="AD19" s="11">
        <f t="shared" si="20"/>
        <v>665122.33333333337</v>
      </c>
      <c r="AE19" s="11">
        <f t="shared" si="1"/>
        <v>665122.33333333337</v>
      </c>
      <c r="AF19" s="11">
        <f t="shared" si="1"/>
        <v>665122.33333333337</v>
      </c>
      <c r="AM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3"/>
      <c r="BA19" s="3"/>
      <c r="BB19" s="3"/>
      <c r="BC19" s="3"/>
      <c r="BI19" s="21" t="s">
        <v>113</v>
      </c>
      <c r="BJ19" s="12">
        <f>BH8+BI8-(BY4+80*0.1*1)</f>
        <v>90.26</v>
      </c>
      <c r="BK19" s="12">
        <f>BW4/BJ19</f>
        <v>14.181254154664302</v>
      </c>
      <c r="BT19" s="3">
        <v>3201034</v>
      </c>
      <c r="BU19" s="3">
        <f>[1]monsters!$N19</f>
        <v>120.96</v>
      </c>
      <c r="BV19" s="3">
        <f>[1]monsters!$O19</f>
        <v>12.1</v>
      </c>
      <c r="BW19" s="3">
        <f>[1]monsters!$P19</f>
        <v>1493.33</v>
      </c>
      <c r="BX19" s="3">
        <f>[1]monsters!$Q19</f>
        <v>149.33000000000001</v>
      </c>
      <c r="BY19" s="3">
        <f>[1]monsters!$R19</f>
        <v>24.19</v>
      </c>
      <c r="BZ19" s="3">
        <f>[1]monsters!$S19</f>
        <v>2.42</v>
      </c>
      <c r="CA19" s="3">
        <f>[1]monsters!$K19</f>
        <v>1.8</v>
      </c>
      <c r="CB19" s="12">
        <f>[1]monsters!$D19</f>
        <v>2</v>
      </c>
      <c r="CC19" s="12">
        <f t="shared" ca="1" si="2"/>
        <v>0.1</v>
      </c>
      <c r="CD19" s="12">
        <f t="shared" ca="1" si="21"/>
        <v>66.591030303030294</v>
      </c>
      <c r="CE19" s="12">
        <f t="shared" ca="1" si="22"/>
        <v>6.6591030303030303</v>
      </c>
      <c r="CF19" s="12">
        <v>1027</v>
      </c>
      <c r="CG19" s="26">
        <v>1</v>
      </c>
      <c r="CH19" s="12">
        <v>1039</v>
      </c>
      <c r="CI19" s="27">
        <v>2</v>
      </c>
      <c r="CJ19" s="12">
        <v>1030</v>
      </c>
      <c r="CK19" s="26">
        <v>1</v>
      </c>
      <c r="CL19" s="12">
        <v>1045</v>
      </c>
      <c r="CM19" s="27">
        <v>2</v>
      </c>
      <c r="CN19" s="3">
        <v>1015</v>
      </c>
      <c r="CO19" s="28">
        <v>3</v>
      </c>
      <c r="CS19" s="3">
        <v>16</v>
      </c>
      <c r="CT19" s="3">
        <f t="shared" si="24"/>
        <v>3690</v>
      </c>
      <c r="CV19" s="3">
        <f t="shared" ca="1" si="3"/>
        <v>5302073</v>
      </c>
      <c r="CW19" s="3">
        <f t="shared" ca="1" si="4"/>
        <v>5601073</v>
      </c>
      <c r="CX19" s="3">
        <f t="shared" ca="1" si="5"/>
        <v>5401073</v>
      </c>
      <c r="CY19" s="11">
        <v>7</v>
      </c>
      <c r="CZ19" s="11">
        <v>7</v>
      </c>
      <c r="DA19" s="11">
        <v>7</v>
      </c>
      <c r="DB19" s="12">
        <f t="shared" ca="1" si="23"/>
        <v>302</v>
      </c>
      <c r="DC19" s="12">
        <f t="shared" ca="1" si="6"/>
        <v>601</v>
      </c>
      <c r="DD19" s="12">
        <f t="shared" ca="1" si="6"/>
        <v>401</v>
      </c>
      <c r="DE19" s="12">
        <f t="shared" ca="1" si="7"/>
        <v>0</v>
      </c>
      <c r="DF19" s="12">
        <f t="shared" ca="1" si="7"/>
        <v>0</v>
      </c>
      <c r="DG19" s="12">
        <f t="shared" ca="1" si="7"/>
        <v>0</v>
      </c>
      <c r="DH19" s="11">
        <v>5</v>
      </c>
      <c r="DI19" s="11">
        <v>5</v>
      </c>
      <c r="DJ19" s="11">
        <v>5</v>
      </c>
      <c r="DK19" s="12">
        <v>3</v>
      </c>
      <c r="DL19" s="12">
        <v>3</v>
      </c>
      <c r="DM19" s="12">
        <v>3</v>
      </c>
      <c r="DN19" s="3">
        <v>3201034</v>
      </c>
      <c r="DP19" s="12">
        <v>203</v>
      </c>
      <c r="DS19" s="21">
        <f t="shared" ca="1" si="8"/>
        <v>5302073</v>
      </c>
      <c r="DT19" s="21">
        <f t="shared" ca="1" si="9"/>
        <v>5601073</v>
      </c>
      <c r="DU19" s="21">
        <f t="shared" ca="1" si="10"/>
        <v>5401073</v>
      </c>
      <c r="DW19" s="9">
        <v>150</v>
      </c>
    </row>
    <row r="20" spans="1:127" ht="15.95" customHeight="1">
      <c r="A20" s="6">
        <v>17</v>
      </c>
      <c r="B20" s="11">
        <v>3</v>
      </c>
      <c r="C20" s="6">
        <v>1</v>
      </c>
      <c r="D20" s="9">
        <v>30</v>
      </c>
      <c r="E20" s="6">
        <f t="shared" si="11"/>
        <v>5947</v>
      </c>
      <c r="F20" s="6">
        <v>1001</v>
      </c>
      <c r="G20" s="7" t="str">
        <f t="shared" si="12"/>
        <v>5200053,3501033,3501033</v>
      </c>
      <c r="H20" s="7" t="str">
        <f t="shared" si="13"/>
        <v>3,3,3</v>
      </c>
      <c r="I20" s="7" t="str">
        <f t="shared" si="14"/>
        <v>74,74,74</v>
      </c>
      <c r="J20" s="9">
        <v>30</v>
      </c>
      <c r="K20" s="15" t="s">
        <v>116</v>
      </c>
      <c r="L20" s="15" t="s">
        <v>117</v>
      </c>
      <c r="M20" s="7" t="s">
        <v>100</v>
      </c>
      <c r="N20" s="15" t="s">
        <v>118</v>
      </c>
      <c r="O20" s="40" t="s">
        <v>160</v>
      </c>
      <c r="Q20" s="11" t="str">
        <f t="shared" si="15"/>
        <v>5200053,3501033,3501033</v>
      </c>
      <c r="R20" s="9">
        <v>25</v>
      </c>
      <c r="S20" s="11">
        <v>5947.2</v>
      </c>
      <c r="T20" s="11">
        <f t="shared" si="16"/>
        <v>5947</v>
      </c>
      <c r="U20" s="11">
        <v>5200053</v>
      </c>
      <c r="V20" s="11">
        <v>3501033</v>
      </c>
      <c r="W20" s="11">
        <v>3501033</v>
      </c>
      <c r="X20" s="11">
        <v>3</v>
      </c>
      <c r="Y20" s="11">
        <v>3</v>
      </c>
      <c r="Z20" s="11">
        <v>3</v>
      </c>
      <c r="AA20" s="11">
        <f t="shared" si="17"/>
        <v>74</v>
      </c>
      <c r="AB20" s="11">
        <f t="shared" si="18"/>
        <v>74</v>
      </c>
      <c r="AC20" s="11">
        <f t="shared" si="19"/>
        <v>74</v>
      </c>
      <c r="AD20" s="11">
        <f t="shared" si="20"/>
        <v>1982.3333333333333</v>
      </c>
      <c r="AE20" s="11">
        <f t="shared" si="20"/>
        <v>1982.3333333333333</v>
      </c>
      <c r="AF20" s="11">
        <f t="shared" si="20"/>
        <v>1982.3333333333333</v>
      </c>
      <c r="AM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3"/>
      <c r="BA20" s="3"/>
      <c r="BB20" s="3"/>
      <c r="BC20" s="3"/>
      <c r="BI20" s="21" t="s">
        <v>114</v>
      </c>
      <c r="BJ20" s="12">
        <f>(BU4+190*0.1*1)-(BL8+BM8)</f>
        <v>79.680000000000007</v>
      </c>
      <c r="BK20" s="12">
        <f>BJ8/BJ20</f>
        <v>14.106425702811244</v>
      </c>
      <c r="BL20" s="12">
        <f>BK20/BK19</f>
        <v>0.99472342494979915</v>
      </c>
      <c r="BT20" s="3">
        <v>3301034</v>
      </c>
      <c r="BU20" s="3">
        <f>[1]monsters!$N20</f>
        <v>80.64</v>
      </c>
      <c r="BV20" s="3">
        <f>[1]monsters!$O20</f>
        <v>8.06</v>
      </c>
      <c r="BW20" s="3">
        <f>[1]monsters!$P20</f>
        <v>1493.33</v>
      </c>
      <c r="BX20" s="3">
        <f>[1]monsters!$Q20</f>
        <v>149.33000000000001</v>
      </c>
      <c r="BY20" s="3">
        <f>[1]monsters!$R20</f>
        <v>16.13</v>
      </c>
      <c r="BZ20" s="3">
        <f>[1]monsters!$S20</f>
        <v>1.61</v>
      </c>
      <c r="CA20" s="3">
        <f>[1]monsters!$K20</f>
        <v>1.2</v>
      </c>
      <c r="CB20" s="12">
        <f>[1]monsters!$D20</f>
        <v>3</v>
      </c>
      <c r="CC20" s="12">
        <f t="shared" ca="1" si="2"/>
        <v>0.1</v>
      </c>
      <c r="CD20" s="12">
        <f t="shared" ca="1" si="21"/>
        <v>53.471626936026901</v>
      </c>
      <c r="CE20" s="12">
        <f t="shared" ca="1" si="22"/>
        <v>5.3471626936026899</v>
      </c>
      <c r="CF20" s="12">
        <v>1032</v>
      </c>
      <c r="CG20" s="26">
        <v>1</v>
      </c>
      <c r="CH20" s="12">
        <v>1012</v>
      </c>
      <c r="CI20" s="28">
        <v>3</v>
      </c>
      <c r="CJ20" s="12">
        <v>1033</v>
      </c>
      <c r="CK20" s="26">
        <v>1</v>
      </c>
      <c r="CL20" s="12">
        <v>1013</v>
      </c>
      <c r="CM20" s="28">
        <v>3</v>
      </c>
      <c r="CN20" s="3">
        <v>1020</v>
      </c>
      <c r="CO20" s="29">
        <v>4</v>
      </c>
      <c r="CS20" s="3">
        <v>17</v>
      </c>
      <c r="CT20" s="3">
        <f t="shared" si="24"/>
        <v>4340</v>
      </c>
      <c r="CV20" s="3">
        <f t="shared" ca="1" si="3"/>
        <v>3501033</v>
      </c>
      <c r="CW20" s="3">
        <f t="shared" ca="1" si="4"/>
        <v>3502033</v>
      </c>
      <c r="CX20" s="3">
        <f t="shared" ca="1" si="5"/>
        <v>3501033</v>
      </c>
      <c r="CY20" s="11">
        <v>3</v>
      </c>
      <c r="CZ20" s="11">
        <v>3</v>
      </c>
      <c r="DA20" s="11">
        <v>3</v>
      </c>
      <c r="DB20" s="12">
        <f t="shared" ca="1" si="23"/>
        <v>501</v>
      </c>
      <c r="DC20" s="12">
        <f t="shared" ca="1" si="23"/>
        <v>502</v>
      </c>
      <c r="DD20" s="12">
        <f t="shared" ca="1" si="23"/>
        <v>501</v>
      </c>
      <c r="DE20" s="12">
        <f t="shared" ca="1" si="7"/>
        <v>0</v>
      </c>
      <c r="DF20" s="12">
        <f t="shared" ca="1" si="7"/>
        <v>0</v>
      </c>
      <c r="DG20" s="12">
        <f t="shared" ca="1" si="7"/>
        <v>0</v>
      </c>
      <c r="DH20" s="11">
        <v>3</v>
      </c>
      <c r="DI20" s="11">
        <v>3</v>
      </c>
      <c r="DJ20" s="11">
        <v>3</v>
      </c>
      <c r="DK20" s="12">
        <v>3</v>
      </c>
      <c r="DL20" s="12">
        <v>3</v>
      </c>
      <c r="DM20" s="12">
        <v>3</v>
      </c>
      <c r="DN20" s="3">
        <v>3301034</v>
      </c>
      <c r="DP20" s="12">
        <v>204</v>
      </c>
      <c r="DS20" s="21">
        <f t="shared" ca="1" si="8"/>
        <v>3501033</v>
      </c>
      <c r="DT20" s="21">
        <f t="shared" ca="1" si="9"/>
        <v>3502033</v>
      </c>
      <c r="DU20" s="21">
        <f t="shared" ca="1" si="10"/>
        <v>3501033</v>
      </c>
      <c r="DW20" s="9">
        <v>25</v>
      </c>
    </row>
    <row r="21" spans="1:127" ht="15.95" customHeight="1">
      <c r="A21" s="6">
        <v>18</v>
      </c>
      <c r="B21" s="11">
        <v>3</v>
      </c>
      <c r="C21" s="6">
        <v>2</v>
      </c>
      <c r="D21" s="9">
        <v>50</v>
      </c>
      <c r="E21" s="6">
        <f t="shared" si="11"/>
        <v>21691</v>
      </c>
      <c r="F21" s="6">
        <v>1001</v>
      </c>
      <c r="G21" s="7" t="str">
        <f t="shared" si="12"/>
        <v>5200053,3501043,3501043</v>
      </c>
      <c r="H21" s="7" t="str">
        <f t="shared" si="13"/>
        <v>4,4,4</v>
      </c>
      <c r="I21" s="7" t="str">
        <f t="shared" si="14"/>
        <v>117,117,117</v>
      </c>
      <c r="J21" s="9">
        <v>50</v>
      </c>
      <c r="K21" s="15" t="s">
        <v>116</v>
      </c>
      <c r="L21" s="15" t="s">
        <v>117</v>
      </c>
      <c r="M21" s="7" t="s">
        <v>100</v>
      </c>
      <c r="N21" s="15" t="s">
        <v>118</v>
      </c>
      <c r="O21" s="39" t="s">
        <v>119</v>
      </c>
      <c r="Q21" s="11" t="str">
        <f t="shared" si="15"/>
        <v>5200053,3501043,3501043</v>
      </c>
      <c r="R21" s="9">
        <v>45</v>
      </c>
      <c r="S21" s="11">
        <v>21691.5</v>
      </c>
      <c r="T21" s="11">
        <f t="shared" si="16"/>
        <v>21691</v>
      </c>
      <c r="U21" s="11">
        <v>5200053</v>
      </c>
      <c r="V21" s="11">
        <v>3501043</v>
      </c>
      <c r="W21" s="11">
        <v>3501043</v>
      </c>
      <c r="X21" s="11">
        <v>4</v>
      </c>
      <c r="Y21" s="11">
        <v>4</v>
      </c>
      <c r="Z21" s="11">
        <v>4</v>
      </c>
      <c r="AA21" s="11">
        <f t="shared" si="17"/>
        <v>117</v>
      </c>
      <c r="AB21" s="11">
        <f t="shared" si="18"/>
        <v>117</v>
      </c>
      <c r="AC21" s="11">
        <f t="shared" si="19"/>
        <v>117</v>
      </c>
      <c r="AD21" s="11">
        <f t="shared" si="20"/>
        <v>7230.333333333333</v>
      </c>
      <c r="AE21" s="11">
        <f t="shared" si="20"/>
        <v>7230.333333333333</v>
      </c>
      <c r="AF21" s="11">
        <f t="shared" si="20"/>
        <v>7230.333333333333</v>
      </c>
      <c r="AM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3"/>
      <c r="BA21" s="3"/>
      <c r="BB21" s="3"/>
      <c r="BC21" s="3"/>
      <c r="BI21" s="21" t="s">
        <v>115</v>
      </c>
      <c r="BJ21" s="12">
        <f>BH8+BI8-(BY34+80*0.1*1)</f>
        <v>83.35</v>
      </c>
      <c r="BK21" s="12">
        <f>BW34/BJ21</f>
        <v>20.475944811037795</v>
      </c>
      <c r="BT21" s="3">
        <v>3402034</v>
      </c>
      <c r="BU21" s="3">
        <f>[1]monsters!$N21</f>
        <v>146.35</v>
      </c>
      <c r="BV21" s="3">
        <f>[1]monsters!$O21</f>
        <v>14.63</v>
      </c>
      <c r="BW21" s="3">
        <f>[1]monsters!$P21</f>
        <v>960</v>
      </c>
      <c r="BX21" s="3">
        <f>[1]monsters!$Q21</f>
        <v>96</v>
      </c>
      <c r="BY21" s="3">
        <f>[1]monsters!$R21</f>
        <v>18.29</v>
      </c>
      <c r="BZ21" s="3">
        <f>[1]monsters!$S21</f>
        <v>1.83</v>
      </c>
      <c r="CA21" s="3">
        <f>[1]monsters!$K21</f>
        <v>1.4000000000000001</v>
      </c>
      <c r="CB21" s="12">
        <f>[1]monsters!$D21</f>
        <v>5</v>
      </c>
      <c r="CC21" s="12">
        <f t="shared" ca="1" si="2"/>
        <v>0.1</v>
      </c>
      <c r="CD21" s="12">
        <f t="shared" ca="1" si="21"/>
        <v>59.460567493112897</v>
      </c>
      <c r="CE21" s="12">
        <f t="shared" ca="1" si="22"/>
        <v>5.9460567493112899</v>
      </c>
      <c r="CF21" s="12">
        <v>1034</v>
      </c>
      <c r="CG21" s="26">
        <v>1</v>
      </c>
      <c r="CH21" s="12">
        <v>1049</v>
      </c>
      <c r="CI21" s="28">
        <v>3</v>
      </c>
      <c r="CJ21" s="12">
        <v>1035</v>
      </c>
      <c r="CK21" s="26">
        <v>1</v>
      </c>
      <c r="CL21" s="12">
        <v>1055</v>
      </c>
      <c r="CM21" s="28">
        <v>3</v>
      </c>
      <c r="CN21" s="3">
        <v>1025</v>
      </c>
      <c r="CO21" s="30">
        <v>5</v>
      </c>
      <c r="CS21" s="3">
        <v>18</v>
      </c>
      <c r="CT21" s="3">
        <f t="shared" si="24"/>
        <v>5064</v>
      </c>
      <c r="CV21" s="3">
        <f t="shared" ca="1" si="3"/>
        <v>3500033</v>
      </c>
      <c r="CW21" s="3">
        <f t="shared" ca="1" si="4"/>
        <v>3400033</v>
      </c>
      <c r="CX21" s="3">
        <f t="shared" ca="1" si="5"/>
        <v>3300033</v>
      </c>
      <c r="CY21" s="11">
        <v>3</v>
      </c>
      <c r="CZ21" s="11">
        <v>3</v>
      </c>
      <c r="DA21" s="11">
        <v>3</v>
      </c>
      <c r="DB21" s="12">
        <f t="shared" ca="1" si="23"/>
        <v>500</v>
      </c>
      <c r="DC21" s="12">
        <f t="shared" ca="1" si="23"/>
        <v>400</v>
      </c>
      <c r="DD21" s="12">
        <f t="shared" ca="1" si="23"/>
        <v>300</v>
      </c>
      <c r="DE21" s="12">
        <f t="shared" ca="1" si="7"/>
        <v>0</v>
      </c>
      <c r="DF21" s="12">
        <f t="shared" ca="1" si="7"/>
        <v>0</v>
      </c>
      <c r="DG21" s="12">
        <f t="shared" ca="1" si="7"/>
        <v>0</v>
      </c>
      <c r="DH21" s="11">
        <v>3</v>
      </c>
      <c r="DI21" s="11">
        <v>3</v>
      </c>
      <c r="DJ21" s="11">
        <v>3</v>
      </c>
      <c r="DK21" s="12">
        <v>3</v>
      </c>
      <c r="DL21" s="12">
        <v>3</v>
      </c>
      <c r="DM21" s="12">
        <v>3</v>
      </c>
      <c r="DN21" s="3">
        <v>3402034</v>
      </c>
      <c r="DP21" s="12">
        <v>205</v>
      </c>
      <c r="DS21" s="21">
        <f t="shared" ca="1" si="8"/>
        <v>3500033</v>
      </c>
      <c r="DT21" s="21">
        <f t="shared" ca="1" si="9"/>
        <v>3400033</v>
      </c>
      <c r="DU21" s="21">
        <f t="shared" ca="1" si="10"/>
        <v>3300033</v>
      </c>
      <c r="DW21" s="9">
        <v>45</v>
      </c>
    </row>
    <row r="22" spans="1:127" ht="15.95" customHeight="1">
      <c r="A22" s="6">
        <v>19</v>
      </c>
      <c r="B22" s="11">
        <v>3</v>
      </c>
      <c r="C22" s="6">
        <v>3</v>
      </c>
      <c r="D22" s="10">
        <v>65</v>
      </c>
      <c r="E22" s="6">
        <f t="shared" si="11"/>
        <v>63594</v>
      </c>
      <c r="F22" s="6">
        <v>1001</v>
      </c>
      <c r="G22" s="7" t="str">
        <f t="shared" si="12"/>
        <v>5200053,3501053,3501053</v>
      </c>
      <c r="H22" s="7" t="str">
        <f t="shared" si="13"/>
        <v>5,5,5</v>
      </c>
      <c r="I22" s="7" t="str">
        <f t="shared" si="14"/>
        <v>181,181,181</v>
      </c>
      <c r="J22" s="10">
        <v>65</v>
      </c>
      <c r="K22" s="15" t="s">
        <v>116</v>
      </c>
      <c r="L22" s="15" t="s">
        <v>117</v>
      </c>
      <c r="M22" s="7" t="s">
        <v>100</v>
      </c>
      <c r="N22" s="15" t="s">
        <v>118</v>
      </c>
      <c r="O22" s="39" t="s">
        <v>121</v>
      </c>
      <c r="Q22" s="11" t="str">
        <f t="shared" si="15"/>
        <v>5200053,3501053,3501053</v>
      </c>
      <c r="R22" s="10">
        <v>65</v>
      </c>
      <c r="S22" s="11">
        <v>57812.800000000003</v>
      </c>
      <c r="T22" s="11">
        <f>FLOOR(S22*1.1,1)</f>
        <v>63594</v>
      </c>
      <c r="U22" s="11">
        <v>5200053</v>
      </c>
      <c r="V22" s="11">
        <v>3501053</v>
      </c>
      <c r="W22" s="11">
        <v>3501053</v>
      </c>
      <c r="X22" s="11">
        <v>5</v>
      </c>
      <c r="Y22" s="11">
        <v>5</v>
      </c>
      <c r="Z22" s="11">
        <v>5</v>
      </c>
      <c r="AA22" s="11">
        <f t="shared" si="17"/>
        <v>181</v>
      </c>
      <c r="AB22" s="11">
        <f t="shared" si="18"/>
        <v>181</v>
      </c>
      <c r="AC22" s="11">
        <f t="shared" si="19"/>
        <v>181</v>
      </c>
      <c r="AD22" s="11">
        <f t="shared" si="20"/>
        <v>21198</v>
      </c>
      <c r="AE22" s="11">
        <f t="shared" si="20"/>
        <v>21198</v>
      </c>
      <c r="AF22" s="11">
        <f t="shared" si="20"/>
        <v>21198</v>
      </c>
      <c r="AM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3"/>
      <c r="BA22" s="3"/>
      <c r="BB22" s="3"/>
      <c r="BC22" s="3"/>
      <c r="BI22" s="21" t="s">
        <v>120</v>
      </c>
      <c r="BJ22" s="12">
        <f>(BU34+190*0.1*1)-(BL8+BM8)</f>
        <v>114.24000000000001</v>
      </c>
      <c r="BK22" s="12">
        <f>BJ8/BJ22</f>
        <v>9.8389355742296907</v>
      </c>
      <c r="BL22" s="12">
        <f>BK22/BK21</f>
        <v>0.48051192094080553</v>
      </c>
      <c r="BT22" s="3">
        <v>3502034</v>
      </c>
      <c r="BU22" s="3">
        <f>[1]monsters!$N22</f>
        <v>107.52</v>
      </c>
      <c r="BV22" s="3">
        <f>[1]monsters!$O22</f>
        <v>10.75</v>
      </c>
      <c r="BW22" s="3">
        <f>[1]monsters!$P22</f>
        <v>1680</v>
      </c>
      <c r="BX22" s="3">
        <f>[1]monsters!$Q22</f>
        <v>168</v>
      </c>
      <c r="BY22" s="3">
        <f>[1]monsters!$R22</f>
        <v>35.840000000000003</v>
      </c>
      <c r="BZ22" s="3">
        <f>[1]monsters!$S22</f>
        <v>3.58</v>
      </c>
      <c r="CA22" s="3">
        <f>[1]monsters!$K22</f>
        <v>1.8</v>
      </c>
      <c r="CB22" s="12">
        <f>[1]monsters!$D22</f>
        <v>2</v>
      </c>
      <c r="CC22" s="12">
        <f t="shared" ca="1" si="2"/>
        <v>0.1</v>
      </c>
      <c r="CD22" s="12">
        <f t="shared" ca="1" si="21"/>
        <v>55.582820202020201</v>
      </c>
      <c r="CE22" s="12">
        <f t="shared" ca="1" si="22"/>
        <v>5.5582820202020198</v>
      </c>
      <c r="CF22" s="12">
        <v>1006</v>
      </c>
      <c r="CG22" s="27">
        <v>2</v>
      </c>
      <c r="CH22" s="12">
        <v>1016</v>
      </c>
      <c r="CI22" s="29">
        <v>4</v>
      </c>
      <c r="CJ22" s="12">
        <v>1008</v>
      </c>
      <c r="CK22" s="27">
        <v>2</v>
      </c>
      <c r="CL22" s="12">
        <v>1018</v>
      </c>
      <c r="CM22" s="29">
        <v>4</v>
      </c>
      <c r="CN22" s="3">
        <v>10005</v>
      </c>
      <c r="CO22" s="26">
        <v>1</v>
      </c>
      <c r="CS22" s="3">
        <v>19</v>
      </c>
      <c r="CT22" s="3">
        <f t="shared" si="24"/>
        <v>5866</v>
      </c>
      <c r="CV22" s="3">
        <f t="shared" ca="1" si="3"/>
        <v>3202033</v>
      </c>
      <c r="CW22" s="3">
        <f t="shared" ca="1" si="4"/>
        <v>3501033</v>
      </c>
      <c r="CX22" s="3">
        <f t="shared" ca="1" si="5"/>
        <v>3402033</v>
      </c>
      <c r="CY22" s="11">
        <v>3</v>
      </c>
      <c r="CZ22" s="11">
        <v>3</v>
      </c>
      <c r="DA22" s="11">
        <v>3</v>
      </c>
      <c r="DB22" s="12">
        <f t="shared" ca="1" si="23"/>
        <v>202</v>
      </c>
      <c r="DC22" s="12">
        <f t="shared" ca="1" si="23"/>
        <v>501</v>
      </c>
      <c r="DD22" s="12">
        <f t="shared" ca="1" si="23"/>
        <v>402</v>
      </c>
      <c r="DE22" s="12">
        <f t="shared" ca="1" si="7"/>
        <v>0</v>
      </c>
      <c r="DF22" s="12">
        <f t="shared" ca="1" si="7"/>
        <v>0</v>
      </c>
      <c r="DG22" s="12">
        <f t="shared" ca="1" si="7"/>
        <v>0</v>
      </c>
      <c r="DH22" s="11">
        <v>3</v>
      </c>
      <c r="DI22" s="11">
        <v>3</v>
      </c>
      <c r="DJ22" s="11">
        <v>3</v>
      </c>
      <c r="DK22" s="12">
        <v>3</v>
      </c>
      <c r="DL22" s="12">
        <v>3</v>
      </c>
      <c r="DM22" s="12">
        <v>3</v>
      </c>
      <c r="DN22" s="3">
        <v>3502034</v>
      </c>
      <c r="DP22" s="12">
        <v>206</v>
      </c>
      <c r="DS22" s="21">
        <f t="shared" ca="1" si="8"/>
        <v>3202033</v>
      </c>
      <c r="DT22" s="21">
        <f t="shared" ca="1" si="9"/>
        <v>3501033</v>
      </c>
      <c r="DU22" s="21">
        <f t="shared" ca="1" si="10"/>
        <v>3402033</v>
      </c>
      <c r="DW22" s="10">
        <v>65</v>
      </c>
    </row>
    <row r="23" spans="1:127" ht="15.95" customHeight="1">
      <c r="A23" s="6">
        <v>20</v>
      </c>
      <c r="B23" s="11">
        <v>3</v>
      </c>
      <c r="C23" s="6">
        <v>4</v>
      </c>
      <c r="D23" s="10">
        <v>80</v>
      </c>
      <c r="E23" s="6">
        <f t="shared" si="11"/>
        <v>119086</v>
      </c>
      <c r="F23" s="6">
        <v>1001</v>
      </c>
      <c r="G23" s="7" t="str">
        <f t="shared" si="12"/>
        <v>5200053,3501053,3501053</v>
      </c>
      <c r="H23" s="7" t="str">
        <f t="shared" si="13"/>
        <v>5,5,5</v>
      </c>
      <c r="I23" s="7" t="str">
        <f t="shared" si="14"/>
        <v>252,252,252</v>
      </c>
      <c r="J23" s="10">
        <v>80</v>
      </c>
      <c r="K23" s="15" t="s">
        <v>116</v>
      </c>
      <c r="L23" s="15" t="s">
        <v>117</v>
      </c>
      <c r="M23" s="7" t="s">
        <v>100</v>
      </c>
      <c r="N23" s="15" t="s">
        <v>118</v>
      </c>
      <c r="O23" s="41" t="s">
        <v>122</v>
      </c>
      <c r="Q23" s="11" t="str">
        <f t="shared" si="15"/>
        <v>5200053,3501053,3501053</v>
      </c>
      <c r="R23" s="10">
        <v>80</v>
      </c>
      <c r="S23" s="11">
        <v>108260.8</v>
      </c>
      <c r="T23" s="11">
        <f t="shared" ref="T23" si="29">FLOOR(S23*1.1,1)</f>
        <v>119086</v>
      </c>
      <c r="U23" s="11">
        <v>5200053</v>
      </c>
      <c r="V23" s="11">
        <v>3501053</v>
      </c>
      <c r="W23" s="11">
        <v>3501053</v>
      </c>
      <c r="X23" s="11">
        <v>5</v>
      </c>
      <c r="Y23" s="11">
        <v>5</v>
      </c>
      <c r="Z23" s="11">
        <v>5</v>
      </c>
      <c r="AA23" s="11">
        <f t="shared" si="17"/>
        <v>252</v>
      </c>
      <c r="AB23" s="11">
        <f t="shared" si="18"/>
        <v>252</v>
      </c>
      <c r="AC23" s="11">
        <f t="shared" si="19"/>
        <v>252</v>
      </c>
      <c r="AD23" s="11">
        <f t="shared" si="20"/>
        <v>39695.333333333336</v>
      </c>
      <c r="AE23" s="11">
        <f t="shared" si="20"/>
        <v>39695.333333333336</v>
      </c>
      <c r="AF23" s="11">
        <f t="shared" si="20"/>
        <v>39695.333333333336</v>
      </c>
      <c r="AM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3"/>
      <c r="BA23" s="3"/>
      <c r="BB23" s="3"/>
      <c r="BC23" s="3"/>
      <c r="BI23" s="21" t="s">
        <v>115</v>
      </c>
      <c r="BJ23" s="12">
        <f>BH8+BI8-(BY64+80*0.1*1)</f>
        <v>76.44</v>
      </c>
      <c r="BK23" s="12">
        <f>BW64/BJ23</f>
        <v>27.9085557299843</v>
      </c>
      <c r="BT23" s="3">
        <v>3601034</v>
      </c>
      <c r="BU23" s="3">
        <f>[1]monsters!$N23</f>
        <v>156.80000000000001</v>
      </c>
      <c r="BV23" s="3">
        <f>[1]monsters!$O23</f>
        <v>15.68</v>
      </c>
      <c r="BW23" s="3">
        <f>[1]monsters!$P23</f>
        <v>960</v>
      </c>
      <c r="BX23" s="3">
        <f>[1]monsters!$Q23</f>
        <v>96</v>
      </c>
      <c r="BY23" s="3">
        <f>[1]monsters!$R23</f>
        <v>19.600000000000001</v>
      </c>
      <c r="BZ23" s="3">
        <f>[1]monsters!$S23</f>
        <v>1.96</v>
      </c>
      <c r="CA23" s="3">
        <f>[1]monsters!$K23</f>
        <v>1.5</v>
      </c>
      <c r="CB23" s="12">
        <f>[1]monsters!$D23</f>
        <v>5</v>
      </c>
      <c r="CC23" s="12">
        <f t="shared" ca="1" si="2"/>
        <v>0.1</v>
      </c>
      <c r="CD23" s="12">
        <f t="shared" ca="1" si="21"/>
        <v>58.262424242424203</v>
      </c>
      <c r="CE23" s="12">
        <f t="shared" ca="1" si="22"/>
        <v>5.8262424242424196</v>
      </c>
      <c r="CF23" s="12">
        <v>1007</v>
      </c>
      <c r="CG23" s="27">
        <v>2</v>
      </c>
      <c r="CH23" s="12">
        <v>1017</v>
      </c>
      <c r="CI23" s="29">
        <v>4</v>
      </c>
      <c r="CJ23" s="12">
        <v>1009</v>
      </c>
      <c r="CK23" s="27">
        <v>2</v>
      </c>
      <c r="CL23" s="12">
        <v>1019</v>
      </c>
      <c r="CM23" s="29">
        <v>4</v>
      </c>
      <c r="CN23" s="3">
        <v>10010</v>
      </c>
      <c r="CO23" s="27">
        <v>2</v>
      </c>
      <c r="CS23" s="3">
        <v>20</v>
      </c>
      <c r="CT23" s="3">
        <f t="shared" si="24"/>
        <v>6750</v>
      </c>
      <c r="CV23" s="3">
        <f t="shared" ca="1" si="3"/>
        <v>3600043</v>
      </c>
      <c r="CW23" s="3">
        <f t="shared" ca="1" si="4"/>
        <v>3402043</v>
      </c>
      <c r="CX23" s="3">
        <f t="shared" ca="1" si="5"/>
        <v>3402043</v>
      </c>
      <c r="CY23" s="11">
        <v>4</v>
      </c>
      <c r="CZ23" s="11">
        <v>4</v>
      </c>
      <c r="DA23" s="11">
        <v>4</v>
      </c>
      <c r="DB23" s="12">
        <f t="shared" ca="1" si="23"/>
        <v>600</v>
      </c>
      <c r="DC23" s="12">
        <f t="shared" ca="1" si="23"/>
        <v>402</v>
      </c>
      <c r="DD23" s="12">
        <f t="shared" ca="1" si="23"/>
        <v>402</v>
      </c>
      <c r="DE23" s="12">
        <f t="shared" ca="1" si="7"/>
        <v>0</v>
      </c>
      <c r="DF23" s="12">
        <f t="shared" ca="1" si="7"/>
        <v>0</v>
      </c>
      <c r="DG23" s="12">
        <f t="shared" ca="1" si="7"/>
        <v>0</v>
      </c>
      <c r="DH23" s="11">
        <v>3</v>
      </c>
      <c r="DI23" s="11">
        <v>3</v>
      </c>
      <c r="DJ23" s="11">
        <v>3</v>
      </c>
      <c r="DK23" s="12">
        <v>3</v>
      </c>
      <c r="DL23" s="12">
        <v>3</v>
      </c>
      <c r="DM23" s="12">
        <v>3</v>
      </c>
      <c r="DN23" s="3">
        <v>3601034</v>
      </c>
      <c r="DP23" s="12">
        <v>303</v>
      </c>
      <c r="DS23" s="21">
        <f t="shared" ca="1" si="8"/>
        <v>3600043</v>
      </c>
      <c r="DT23" s="21">
        <f t="shared" ca="1" si="9"/>
        <v>3402043</v>
      </c>
      <c r="DU23" s="21">
        <f t="shared" ca="1" si="10"/>
        <v>3402043</v>
      </c>
      <c r="DW23" s="10">
        <v>80</v>
      </c>
    </row>
    <row r="24" spans="1:127" ht="13.5" customHeight="1">
      <c r="A24" s="6">
        <v>21</v>
      </c>
      <c r="B24" s="11">
        <v>3</v>
      </c>
      <c r="C24" s="6">
        <v>5</v>
      </c>
      <c r="D24" s="10">
        <v>95</v>
      </c>
      <c r="E24" s="6">
        <f t="shared" si="11"/>
        <v>298143</v>
      </c>
      <c r="F24" s="6">
        <v>1001</v>
      </c>
      <c r="G24" s="7" t="str">
        <f t="shared" si="12"/>
        <v>5200063,3501063,3501063</v>
      </c>
      <c r="H24" s="7" t="str">
        <f t="shared" si="13"/>
        <v>6,6,6</v>
      </c>
      <c r="I24" s="7" t="str">
        <f t="shared" si="14"/>
        <v>300,300,300</v>
      </c>
      <c r="J24" s="10">
        <v>95</v>
      </c>
      <c r="K24" s="15" t="s">
        <v>116</v>
      </c>
      <c r="L24" s="15" t="s">
        <v>117</v>
      </c>
      <c r="M24" s="7" t="s">
        <v>100</v>
      </c>
      <c r="N24" s="15" t="s">
        <v>118</v>
      </c>
      <c r="O24" s="41" t="s">
        <v>123</v>
      </c>
      <c r="Q24" s="11" t="str">
        <f t="shared" si="15"/>
        <v>5200063,3501063,3501063</v>
      </c>
      <c r="R24" s="10">
        <v>95</v>
      </c>
      <c r="S24" s="11">
        <v>248453.3</v>
      </c>
      <c r="T24" s="11">
        <f>FLOOR(S24*1.2,1)</f>
        <v>298143</v>
      </c>
      <c r="U24" s="11">
        <v>5200063</v>
      </c>
      <c r="V24" s="11">
        <v>3501063</v>
      </c>
      <c r="W24" s="11">
        <v>3501063</v>
      </c>
      <c r="X24" s="11">
        <v>6</v>
      </c>
      <c r="Y24" s="11">
        <v>6</v>
      </c>
      <c r="Z24" s="11">
        <v>6</v>
      </c>
      <c r="AA24" s="11">
        <f t="shared" si="17"/>
        <v>300</v>
      </c>
      <c r="AB24" s="11">
        <f t="shared" si="18"/>
        <v>300</v>
      </c>
      <c r="AC24" s="11">
        <f t="shared" si="19"/>
        <v>300</v>
      </c>
      <c r="AD24" s="11">
        <f t="shared" si="20"/>
        <v>99381</v>
      </c>
      <c r="AE24" s="11">
        <f t="shared" si="20"/>
        <v>99381</v>
      </c>
      <c r="AF24" s="11">
        <f t="shared" si="20"/>
        <v>99381</v>
      </c>
      <c r="AM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3"/>
      <c r="BA24" s="3"/>
      <c r="BB24" s="3"/>
      <c r="BC24" s="3"/>
      <c r="BI24" s="21" t="s">
        <v>120</v>
      </c>
      <c r="BJ24" s="12">
        <f>(BU64+190*0.1*1)-(BL8+BM8)</f>
        <v>148.80000000000001</v>
      </c>
      <c r="BK24" s="12">
        <f>BJ8/BJ24</f>
        <v>7.5537634408602141</v>
      </c>
      <c r="BL24" s="12">
        <f>BK24/BK23</f>
        <v>0.27066120919846193</v>
      </c>
      <c r="BT24" s="3">
        <v>3202035</v>
      </c>
      <c r="BU24" s="3">
        <f>[1]monsters!$N24</f>
        <v>173.6</v>
      </c>
      <c r="BV24" s="3">
        <f>[1]monsters!$O24</f>
        <v>17.36</v>
      </c>
      <c r="BW24" s="3">
        <f>[1]monsters!$P24</f>
        <v>867.1</v>
      </c>
      <c r="BX24" s="3">
        <f>[1]monsters!$Q24</f>
        <v>86.71</v>
      </c>
      <c r="BY24" s="3">
        <f>[1]monsters!$R24</f>
        <v>17.36</v>
      </c>
      <c r="BZ24" s="3">
        <f>[1]monsters!$S24</f>
        <v>1.74</v>
      </c>
      <c r="CA24" s="3">
        <f>[1]monsters!$K24</f>
        <v>1.5</v>
      </c>
      <c r="CB24" s="12">
        <f>[1]monsters!$D24</f>
        <v>6</v>
      </c>
      <c r="CC24" s="12">
        <f t="shared" ca="1" si="2"/>
        <v>0.1</v>
      </c>
      <c r="CD24" s="12">
        <f t="shared" ca="1" si="21"/>
        <v>66.591030303030294</v>
      </c>
      <c r="CE24" s="12">
        <f t="shared" ca="1" si="22"/>
        <v>6.6591030303030303</v>
      </c>
      <c r="CF24" s="12">
        <v>1036</v>
      </c>
      <c r="CG24" s="27">
        <v>2</v>
      </c>
      <c r="CH24" s="12">
        <v>1059</v>
      </c>
      <c r="CI24" s="29">
        <v>4</v>
      </c>
      <c r="CJ24" s="12">
        <v>1038</v>
      </c>
      <c r="CK24" s="27">
        <v>2</v>
      </c>
      <c r="CL24" s="12">
        <v>1024</v>
      </c>
      <c r="CM24" s="30">
        <v>5</v>
      </c>
      <c r="CN24" s="3">
        <v>10015</v>
      </c>
      <c r="CO24" s="28">
        <v>3</v>
      </c>
      <c r="CS24" s="3">
        <v>21</v>
      </c>
      <c r="CT24" s="3">
        <f t="shared" si="24"/>
        <v>7720</v>
      </c>
      <c r="CV24" s="3">
        <f t="shared" ca="1" si="3"/>
        <v>5301052</v>
      </c>
      <c r="CW24" s="3">
        <f t="shared" ca="1" si="4"/>
        <v>5301052</v>
      </c>
      <c r="CX24" s="3">
        <f t="shared" ca="1" si="5"/>
        <v>5401052</v>
      </c>
      <c r="CY24" s="11">
        <v>5</v>
      </c>
      <c r="CZ24" s="11">
        <v>5</v>
      </c>
      <c r="DA24" s="11">
        <v>5</v>
      </c>
      <c r="DB24" s="12">
        <f t="shared" ca="1" si="23"/>
        <v>301</v>
      </c>
      <c r="DC24" s="12">
        <f t="shared" ca="1" si="23"/>
        <v>301</v>
      </c>
      <c r="DD24" s="12">
        <f t="shared" ca="1" si="23"/>
        <v>401</v>
      </c>
      <c r="DE24" s="12">
        <f t="shared" ca="1" si="7"/>
        <v>0</v>
      </c>
      <c r="DF24" s="12">
        <f t="shared" ca="1" si="7"/>
        <v>0</v>
      </c>
      <c r="DG24" s="12">
        <f t="shared" ca="1" si="7"/>
        <v>0</v>
      </c>
      <c r="DH24" s="11">
        <v>5</v>
      </c>
      <c r="DI24" s="11">
        <v>5</v>
      </c>
      <c r="DJ24" s="11">
        <v>5</v>
      </c>
      <c r="DK24" s="12">
        <v>2</v>
      </c>
      <c r="DL24" s="12">
        <v>2</v>
      </c>
      <c r="DM24" s="12">
        <v>2</v>
      </c>
      <c r="DN24" s="3">
        <v>3202035</v>
      </c>
      <c r="DP24" s="12">
        <v>304</v>
      </c>
      <c r="DS24" s="21">
        <f t="shared" ca="1" si="8"/>
        <v>5301052</v>
      </c>
      <c r="DT24" s="21">
        <f t="shared" ca="1" si="9"/>
        <v>5301052</v>
      </c>
      <c r="DU24" s="21">
        <f t="shared" ca="1" si="10"/>
        <v>5401052</v>
      </c>
      <c r="DW24" s="10">
        <v>95</v>
      </c>
    </row>
    <row r="25" spans="1:127" ht="13.5" customHeight="1">
      <c r="A25" s="6">
        <v>22</v>
      </c>
      <c r="B25" s="11">
        <v>3</v>
      </c>
      <c r="C25" s="6">
        <v>6</v>
      </c>
      <c r="D25" s="11">
        <v>110</v>
      </c>
      <c r="E25" s="6">
        <f t="shared" si="11"/>
        <v>615290</v>
      </c>
      <c r="F25" s="6">
        <v>1001</v>
      </c>
      <c r="G25" s="7" t="str">
        <f t="shared" si="12"/>
        <v>5200063,3501063,3501063</v>
      </c>
      <c r="H25" s="7" t="str">
        <f t="shared" si="13"/>
        <v>6,6,6</v>
      </c>
      <c r="I25" s="7" t="str">
        <f t="shared" si="14"/>
        <v>435,435,435</v>
      </c>
      <c r="J25" s="11">
        <v>110</v>
      </c>
      <c r="K25" s="15" t="s">
        <v>116</v>
      </c>
      <c r="L25" s="15" t="s">
        <v>117</v>
      </c>
      <c r="M25" s="7" t="s">
        <v>100</v>
      </c>
      <c r="N25" s="15" t="s">
        <v>118</v>
      </c>
      <c r="O25" s="41" t="s">
        <v>124</v>
      </c>
      <c r="Q25" s="11" t="str">
        <f t="shared" si="15"/>
        <v>5200063,3501063,3501063</v>
      </c>
      <c r="R25" s="11">
        <v>110</v>
      </c>
      <c r="S25" s="11">
        <v>512742.1</v>
      </c>
      <c r="T25" s="11">
        <f>FLOOR(S25*1.2,1)</f>
        <v>615290</v>
      </c>
      <c r="U25" s="11">
        <v>5200063</v>
      </c>
      <c r="V25" s="11">
        <v>3501063</v>
      </c>
      <c r="W25" s="11">
        <v>3501063</v>
      </c>
      <c r="X25" s="11">
        <v>6</v>
      </c>
      <c r="Y25" s="11">
        <v>6</v>
      </c>
      <c r="Z25" s="11">
        <v>6</v>
      </c>
      <c r="AA25" s="11">
        <f t="shared" si="17"/>
        <v>435</v>
      </c>
      <c r="AB25" s="11">
        <f t="shared" si="18"/>
        <v>435</v>
      </c>
      <c r="AC25" s="11">
        <f t="shared" si="19"/>
        <v>435</v>
      </c>
      <c r="AD25" s="11">
        <f t="shared" si="20"/>
        <v>205096.66666666666</v>
      </c>
      <c r="AE25" s="11">
        <f t="shared" si="20"/>
        <v>205096.66666666666</v>
      </c>
      <c r="AF25" s="11">
        <f t="shared" si="20"/>
        <v>205096.66666666666</v>
      </c>
      <c r="AM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3"/>
      <c r="BA25" s="3"/>
      <c r="BB25" s="3"/>
      <c r="BC25" s="3"/>
      <c r="BT25" s="3">
        <v>3302035</v>
      </c>
      <c r="BU25" s="3">
        <f>[1]monsters!$N25</f>
        <v>112</v>
      </c>
      <c r="BV25" s="3">
        <f>[1]monsters!$O25</f>
        <v>11.2</v>
      </c>
      <c r="BW25" s="3">
        <f>[1]monsters!$P25</f>
        <v>1344</v>
      </c>
      <c r="BX25" s="3">
        <f>[1]monsters!$Q25</f>
        <v>134.4</v>
      </c>
      <c r="BY25" s="3">
        <f>[1]monsters!$R25</f>
        <v>28</v>
      </c>
      <c r="BZ25" s="3">
        <f>[1]monsters!$S25</f>
        <v>2.8</v>
      </c>
      <c r="CA25" s="3">
        <f>[1]monsters!$K25</f>
        <v>1.5</v>
      </c>
      <c r="CB25" s="12">
        <f>[1]monsters!$D25</f>
        <v>2</v>
      </c>
      <c r="CC25" s="12">
        <f t="shared" ca="1" si="2"/>
        <v>0.1</v>
      </c>
      <c r="CD25" s="12">
        <f t="shared" ca="1" si="21"/>
        <v>51.430426936026898</v>
      </c>
      <c r="CE25" s="12">
        <f t="shared" ca="1" si="22"/>
        <v>5.1430426936026903</v>
      </c>
      <c r="CF25" s="12">
        <v>1037</v>
      </c>
      <c r="CG25" s="27">
        <v>2</v>
      </c>
      <c r="CH25" s="12">
        <v>1069</v>
      </c>
      <c r="CI25" s="30">
        <v>5</v>
      </c>
      <c r="CJ25" s="12">
        <v>1043</v>
      </c>
      <c r="CK25" s="27">
        <v>2</v>
      </c>
      <c r="CL25" s="12">
        <v>10003</v>
      </c>
      <c r="CM25" s="26">
        <v>1</v>
      </c>
      <c r="CN25" s="3">
        <v>10020</v>
      </c>
      <c r="CO25" s="29">
        <v>4</v>
      </c>
      <c r="CS25" s="3">
        <v>22</v>
      </c>
      <c r="CT25" s="3">
        <f t="shared" si="24"/>
        <v>8780</v>
      </c>
      <c r="CV25" s="3">
        <f t="shared" ca="1" si="3"/>
        <v>5202062</v>
      </c>
      <c r="CW25" s="3">
        <f t="shared" ca="1" si="4"/>
        <v>5401062</v>
      </c>
      <c r="CX25" s="3">
        <f t="shared" ca="1" si="5"/>
        <v>5300062</v>
      </c>
      <c r="CY25" s="11">
        <v>6</v>
      </c>
      <c r="CZ25" s="11">
        <v>6</v>
      </c>
      <c r="DA25" s="11">
        <v>6</v>
      </c>
      <c r="DB25" s="12">
        <f t="shared" ca="1" si="23"/>
        <v>202</v>
      </c>
      <c r="DC25" s="12">
        <f t="shared" ca="1" si="23"/>
        <v>401</v>
      </c>
      <c r="DD25" s="12">
        <f t="shared" ca="1" si="23"/>
        <v>300</v>
      </c>
      <c r="DE25" s="12">
        <f t="shared" ca="1" si="7"/>
        <v>0</v>
      </c>
      <c r="DF25" s="12">
        <f t="shared" ca="1" si="7"/>
        <v>0</v>
      </c>
      <c r="DG25" s="12">
        <f t="shared" ca="1" si="7"/>
        <v>0</v>
      </c>
      <c r="DH25" s="11">
        <v>5</v>
      </c>
      <c r="DI25" s="11">
        <v>5</v>
      </c>
      <c r="DJ25" s="11">
        <v>5</v>
      </c>
      <c r="DK25" s="12">
        <v>2</v>
      </c>
      <c r="DL25" s="12">
        <v>2</v>
      </c>
      <c r="DM25" s="12">
        <v>2</v>
      </c>
      <c r="DN25" s="3">
        <v>3302035</v>
      </c>
      <c r="DP25" s="12">
        <v>403</v>
      </c>
      <c r="DS25" s="21">
        <f t="shared" ca="1" si="8"/>
        <v>5202062</v>
      </c>
      <c r="DT25" s="21">
        <f t="shared" ca="1" si="9"/>
        <v>5401062</v>
      </c>
      <c r="DU25" s="21">
        <f t="shared" ca="1" si="10"/>
        <v>5300062</v>
      </c>
      <c r="DW25" s="11">
        <v>110</v>
      </c>
    </row>
    <row r="26" spans="1:127" ht="13.5" customHeight="1">
      <c r="A26" s="6">
        <v>23</v>
      </c>
      <c r="B26" s="11">
        <v>3</v>
      </c>
      <c r="C26" s="6">
        <v>7</v>
      </c>
      <c r="D26" s="11">
        <v>125</v>
      </c>
      <c r="E26" s="6">
        <f t="shared" si="11"/>
        <v>1167725</v>
      </c>
      <c r="F26" s="6">
        <v>1001</v>
      </c>
      <c r="G26" s="7" t="str">
        <f t="shared" si="12"/>
        <v>5200073,3501073,3501073</v>
      </c>
      <c r="H26" s="7" t="str">
        <f t="shared" si="13"/>
        <v>7,7,7</v>
      </c>
      <c r="I26" s="7" t="str">
        <f t="shared" si="14"/>
        <v>548,548,548</v>
      </c>
      <c r="J26" s="11">
        <v>125</v>
      </c>
      <c r="K26" s="15" t="s">
        <v>116</v>
      </c>
      <c r="L26" s="15" t="s">
        <v>117</v>
      </c>
      <c r="M26" s="7" t="s">
        <v>100</v>
      </c>
      <c r="N26" s="15" t="s">
        <v>118</v>
      </c>
      <c r="O26" s="41" t="s">
        <v>126</v>
      </c>
      <c r="Q26" s="11" t="str">
        <f t="shared" si="15"/>
        <v>5200073,3501073,3501073</v>
      </c>
      <c r="R26" s="11">
        <v>125</v>
      </c>
      <c r="S26" s="11">
        <v>898250.4</v>
      </c>
      <c r="T26" s="11">
        <f>FLOOR(S26*1.3,1)</f>
        <v>1167725</v>
      </c>
      <c r="U26" s="11">
        <v>5200073</v>
      </c>
      <c r="V26" s="11">
        <v>3501073</v>
      </c>
      <c r="W26" s="11">
        <v>3501073</v>
      </c>
      <c r="X26" s="11">
        <v>7</v>
      </c>
      <c r="Y26" s="11">
        <v>7</v>
      </c>
      <c r="Z26" s="11">
        <v>7</v>
      </c>
      <c r="AA26" s="11">
        <f t="shared" si="17"/>
        <v>548</v>
      </c>
      <c r="AB26" s="11">
        <f t="shared" si="18"/>
        <v>548</v>
      </c>
      <c r="AC26" s="11">
        <f t="shared" si="19"/>
        <v>548</v>
      </c>
      <c r="AD26" s="11">
        <f t="shared" si="20"/>
        <v>389241.66666666669</v>
      </c>
      <c r="AE26" s="11">
        <f t="shared" si="20"/>
        <v>389241.66666666669</v>
      </c>
      <c r="AF26" s="11">
        <f t="shared" si="20"/>
        <v>389241.66666666669</v>
      </c>
      <c r="AM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3"/>
      <c r="BA26" s="3"/>
      <c r="BB26" s="3"/>
      <c r="BC26" s="3"/>
      <c r="BH26" s="21" t="s">
        <v>125</v>
      </c>
      <c r="BT26" s="3">
        <v>3400035</v>
      </c>
      <c r="BU26" s="3">
        <f>[1]monsters!$N26</f>
        <v>143.36000000000001</v>
      </c>
      <c r="BV26" s="3">
        <f>[1]monsters!$O26</f>
        <v>14.34</v>
      </c>
      <c r="BW26" s="3">
        <f>[1]monsters!$P26</f>
        <v>1120</v>
      </c>
      <c r="BX26" s="3">
        <f>[1]monsters!$Q26</f>
        <v>112</v>
      </c>
      <c r="BY26" s="3">
        <f>[1]monsters!$R26</f>
        <v>20.48</v>
      </c>
      <c r="BZ26" s="3">
        <f>[1]monsters!$S26</f>
        <v>2.0499999999999998</v>
      </c>
      <c r="CA26" s="3">
        <f>[1]monsters!$K26</f>
        <v>1.6</v>
      </c>
      <c r="CB26" s="12">
        <f>[1]monsters!$D26</f>
        <v>4</v>
      </c>
      <c r="CC26" s="12">
        <f t="shared" ca="1" si="2"/>
        <v>0.1</v>
      </c>
      <c r="CD26" s="12">
        <f t="shared" ca="1" si="21"/>
        <v>51.976167493112897</v>
      </c>
      <c r="CE26" s="12">
        <f t="shared" ca="1" si="22"/>
        <v>5.1976167493112904</v>
      </c>
      <c r="CF26" s="12">
        <v>1042</v>
      </c>
      <c r="CG26" s="27">
        <v>2</v>
      </c>
      <c r="CH26" s="12">
        <v>10002</v>
      </c>
      <c r="CI26" s="26">
        <v>1</v>
      </c>
      <c r="CJ26" s="12">
        <v>1014</v>
      </c>
      <c r="CK26" s="28">
        <v>3</v>
      </c>
      <c r="CL26" s="12">
        <v>10030</v>
      </c>
      <c r="CM26" s="26">
        <v>1</v>
      </c>
      <c r="CN26" s="3">
        <v>10025</v>
      </c>
      <c r="CO26" s="30">
        <v>5</v>
      </c>
      <c r="CS26" s="3">
        <v>23</v>
      </c>
      <c r="CT26" s="3">
        <f t="shared" si="24"/>
        <v>9934</v>
      </c>
      <c r="CV26" s="3">
        <f t="shared" ca="1" si="3"/>
        <v>5502062</v>
      </c>
      <c r="CW26" s="3">
        <f t="shared" ca="1" si="4"/>
        <v>5300062</v>
      </c>
      <c r="CX26" s="3">
        <f t="shared" ca="1" si="5"/>
        <v>5501062</v>
      </c>
      <c r="CY26" s="11">
        <v>6</v>
      </c>
      <c r="CZ26" s="11">
        <v>6</v>
      </c>
      <c r="DA26" s="11">
        <v>6</v>
      </c>
      <c r="DB26" s="12">
        <f t="shared" ca="1" si="23"/>
        <v>502</v>
      </c>
      <c r="DC26" s="12">
        <f t="shared" ca="1" si="23"/>
        <v>300</v>
      </c>
      <c r="DD26" s="12">
        <f t="shared" ca="1" si="23"/>
        <v>501</v>
      </c>
      <c r="DE26" s="12">
        <f t="shared" ca="1" si="7"/>
        <v>0</v>
      </c>
      <c r="DF26" s="12">
        <f t="shared" ca="1" si="7"/>
        <v>0</v>
      </c>
      <c r="DG26" s="12">
        <f t="shared" ca="1" si="7"/>
        <v>0</v>
      </c>
      <c r="DH26" s="11">
        <v>5</v>
      </c>
      <c r="DI26" s="11">
        <v>5</v>
      </c>
      <c r="DJ26" s="11">
        <v>5</v>
      </c>
      <c r="DK26" s="12">
        <v>2</v>
      </c>
      <c r="DL26" s="12">
        <v>2</v>
      </c>
      <c r="DM26" s="12">
        <v>2</v>
      </c>
      <c r="DN26" s="3">
        <v>3400035</v>
      </c>
      <c r="DP26" s="12">
        <v>404</v>
      </c>
      <c r="DS26" s="21">
        <f t="shared" ca="1" si="8"/>
        <v>5502062</v>
      </c>
      <c r="DT26" s="21">
        <f t="shared" ca="1" si="9"/>
        <v>5300062</v>
      </c>
      <c r="DU26" s="21">
        <f t="shared" ca="1" si="10"/>
        <v>5501062</v>
      </c>
      <c r="DW26" s="11">
        <v>125</v>
      </c>
    </row>
    <row r="27" spans="1:127" ht="13.5" customHeight="1">
      <c r="A27" s="6">
        <v>24</v>
      </c>
      <c r="B27" s="11">
        <v>3</v>
      </c>
      <c r="C27" s="6">
        <v>8</v>
      </c>
      <c r="D27" s="11">
        <v>155</v>
      </c>
      <c r="E27" s="6">
        <f t="shared" si="11"/>
        <v>2251094</v>
      </c>
      <c r="F27" s="6">
        <v>1001</v>
      </c>
      <c r="G27" s="7" t="str">
        <f t="shared" si="12"/>
        <v>5200073,3501073,3501073</v>
      </c>
      <c r="H27" s="7" t="str">
        <f t="shared" si="13"/>
        <v>7,7,7</v>
      </c>
      <c r="I27" s="7" t="str">
        <f t="shared" si="14"/>
        <v>765,765,765</v>
      </c>
      <c r="J27" s="11">
        <v>155</v>
      </c>
      <c r="K27" s="16" t="s">
        <v>157</v>
      </c>
      <c r="L27" s="15" t="s">
        <v>117</v>
      </c>
      <c r="M27" s="7" t="s">
        <v>100</v>
      </c>
      <c r="N27" s="15" t="s">
        <v>158</v>
      </c>
      <c r="O27" s="42" t="s">
        <v>159</v>
      </c>
      <c r="Q27" s="11" t="str">
        <f t="shared" si="15"/>
        <v>5200073,3501073,3501073</v>
      </c>
      <c r="R27" s="11">
        <v>155</v>
      </c>
      <c r="S27" s="11">
        <v>1731610.8</v>
      </c>
      <c r="T27" s="11">
        <f>FLOOR(S27*1.3,1)</f>
        <v>2251094</v>
      </c>
      <c r="U27" s="11">
        <v>5200073</v>
      </c>
      <c r="V27" s="11">
        <v>3501073</v>
      </c>
      <c r="W27" s="11">
        <v>3501073</v>
      </c>
      <c r="X27" s="11">
        <v>7</v>
      </c>
      <c r="Y27" s="11">
        <v>7</v>
      </c>
      <c r="Z27" s="11">
        <v>7</v>
      </c>
      <c r="AA27" s="11">
        <f t="shared" si="17"/>
        <v>765</v>
      </c>
      <c r="AB27" s="11">
        <f t="shared" si="18"/>
        <v>765</v>
      </c>
      <c r="AC27" s="11">
        <f t="shared" si="19"/>
        <v>765</v>
      </c>
      <c r="AD27" s="11">
        <f t="shared" si="20"/>
        <v>750364.66666666663</v>
      </c>
      <c r="AE27" s="11">
        <f t="shared" si="20"/>
        <v>750364.66666666663</v>
      </c>
      <c r="AF27" s="11">
        <f t="shared" si="20"/>
        <v>750364.66666666663</v>
      </c>
      <c r="AM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3"/>
      <c r="BA27" s="3"/>
      <c r="BB27" s="3"/>
      <c r="BC27" s="3"/>
      <c r="BH27" s="21" t="s">
        <v>127</v>
      </c>
      <c r="BT27" s="3">
        <v>3500035</v>
      </c>
      <c r="BU27" s="3">
        <f>[1]monsters!$N27</f>
        <v>134.4</v>
      </c>
      <c r="BV27" s="3">
        <f>[1]monsters!$O27</f>
        <v>13.44</v>
      </c>
      <c r="BW27" s="3">
        <f>[1]monsters!$P27</f>
        <v>1120</v>
      </c>
      <c r="BX27" s="3">
        <f>[1]monsters!$Q27</f>
        <v>112</v>
      </c>
      <c r="BY27" s="3">
        <f>[1]monsters!$R27</f>
        <v>19.2</v>
      </c>
      <c r="BZ27" s="3">
        <f>[1]monsters!$S27</f>
        <v>1.92</v>
      </c>
      <c r="CA27" s="3">
        <f>[1]monsters!$K27</f>
        <v>1.5</v>
      </c>
      <c r="CB27" s="12">
        <f>[1]monsters!$D27</f>
        <v>4</v>
      </c>
      <c r="CC27" s="12">
        <f t="shared" ca="1" si="2"/>
        <v>0.1</v>
      </c>
      <c r="CD27" s="12">
        <f t="shared" ca="1" si="21"/>
        <v>55.582820202020201</v>
      </c>
      <c r="CE27" s="12">
        <f t="shared" ca="1" si="22"/>
        <v>5.5582820202020198</v>
      </c>
      <c r="CF27" s="12">
        <v>1044</v>
      </c>
      <c r="CG27" s="27">
        <v>2</v>
      </c>
      <c r="CH27" s="12">
        <v>10029</v>
      </c>
      <c r="CI27" s="26">
        <v>1</v>
      </c>
      <c r="CJ27" s="12">
        <v>1048</v>
      </c>
      <c r="CK27" s="28">
        <v>3</v>
      </c>
      <c r="CL27" s="12">
        <v>10033</v>
      </c>
      <c r="CM27" s="26">
        <v>1</v>
      </c>
      <c r="CS27" s="3">
        <v>24</v>
      </c>
      <c r="CT27" s="3">
        <f t="shared" si="24"/>
        <v>11186</v>
      </c>
      <c r="CV27" s="3">
        <f t="shared" ca="1" si="3"/>
        <v>5500072</v>
      </c>
      <c r="CW27" s="3">
        <f t="shared" ca="1" si="4"/>
        <v>5301072</v>
      </c>
      <c r="CX27" s="3">
        <f t="shared" ca="1" si="5"/>
        <v>5300072</v>
      </c>
      <c r="CY27" s="11">
        <v>7</v>
      </c>
      <c r="CZ27" s="11">
        <v>7</v>
      </c>
      <c r="DA27" s="11">
        <v>7</v>
      </c>
      <c r="DB27" s="12">
        <f t="shared" ca="1" si="23"/>
        <v>500</v>
      </c>
      <c r="DC27" s="12">
        <f t="shared" ca="1" si="23"/>
        <v>301</v>
      </c>
      <c r="DD27" s="12">
        <f t="shared" ca="1" si="23"/>
        <v>300</v>
      </c>
      <c r="DE27" s="12">
        <f t="shared" ca="1" si="7"/>
        <v>0</v>
      </c>
      <c r="DF27" s="12">
        <f t="shared" ca="1" si="7"/>
        <v>0</v>
      </c>
      <c r="DG27" s="12">
        <f t="shared" ca="1" si="7"/>
        <v>0</v>
      </c>
      <c r="DH27" s="11">
        <v>5</v>
      </c>
      <c r="DI27" s="11">
        <v>5</v>
      </c>
      <c r="DJ27" s="11">
        <v>5</v>
      </c>
      <c r="DK27" s="12">
        <v>2</v>
      </c>
      <c r="DL27" s="12">
        <v>2</v>
      </c>
      <c r="DM27" s="12">
        <v>2</v>
      </c>
      <c r="DN27" s="3">
        <v>3500035</v>
      </c>
      <c r="DP27" s="12">
        <v>405</v>
      </c>
      <c r="DS27" s="21">
        <f t="shared" ca="1" si="8"/>
        <v>5500072</v>
      </c>
      <c r="DT27" s="21">
        <f t="shared" ca="1" si="9"/>
        <v>5301072</v>
      </c>
      <c r="DU27" s="21">
        <f t="shared" ca="1" si="10"/>
        <v>5300072</v>
      </c>
      <c r="DW27" s="11">
        <v>155</v>
      </c>
    </row>
    <row r="28" spans="1:127" ht="13.5" customHeight="1">
      <c r="A28" s="6">
        <v>25</v>
      </c>
      <c r="B28" s="11">
        <v>4</v>
      </c>
      <c r="C28" s="6">
        <v>1</v>
      </c>
      <c r="D28" s="11">
        <v>30</v>
      </c>
      <c r="E28" s="6">
        <f t="shared" si="11"/>
        <v>5947</v>
      </c>
      <c r="F28" s="6">
        <v>1001</v>
      </c>
      <c r="G28" s="7" t="str">
        <f t="shared" si="12"/>
        <v>5302055,3300032,3300032</v>
      </c>
      <c r="H28" s="7" t="str">
        <f t="shared" si="13"/>
        <v>3,3,3</v>
      </c>
      <c r="I28" s="7" t="str">
        <f t="shared" si="14"/>
        <v>74,74,74</v>
      </c>
      <c r="J28" s="11">
        <v>30</v>
      </c>
      <c r="K28" s="16" t="s">
        <v>128</v>
      </c>
      <c r="L28" s="16" t="s">
        <v>129</v>
      </c>
      <c r="M28" s="16" t="s">
        <v>130</v>
      </c>
      <c r="N28" s="16" t="s">
        <v>130</v>
      </c>
      <c r="O28" s="42" t="s">
        <v>131</v>
      </c>
      <c r="Q28" s="11" t="str">
        <f t="shared" si="15"/>
        <v>5302055,3300032,3300032</v>
      </c>
      <c r="R28" s="11">
        <v>30</v>
      </c>
      <c r="S28" s="11">
        <v>5947.2</v>
      </c>
      <c r="T28" s="11">
        <f t="shared" si="16"/>
        <v>5947</v>
      </c>
      <c r="U28" s="11">
        <v>5302055</v>
      </c>
      <c r="V28" s="11">
        <v>3300032</v>
      </c>
      <c r="W28" s="11">
        <v>3300032</v>
      </c>
      <c r="X28" s="11">
        <v>3</v>
      </c>
      <c r="Y28" s="11">
        <v>3</v>
      </c>
      <c r="Z28" s="11">
        <v>3</v>
      </c>
      <c r="AA28" s="11">
        <f t="shared" si="17"/>
        <v>74</v>
      </c>
      <c r="AB28" s="11">
        <f t="shared" si="18"/>
        <v>74</v>
      </c>
      <c r="AC28" s="11">
        <f t="shared" si="19"/>
        <v>74</v>
      </c>
      <c r="AD28" s="11">
        <f t="shared" si="20"/>
        <v>1982.3333333333333</v>
      </c>
      <c r="AE28" s="11">
        <f t="shared" si="20"/>
        <v>1982.3333333333333</v>
      </c>
      <c r="AF28" s="11">
        <f t="shared" si="20"/>
        <v>1982.3333333333333</v>
      </c>
      <c r="AM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3"/>
      <c r="BA28" s="3"/>
      <c r="BB28" s="3"/>
      <c r="BC28" s="3"/>
      <c r="BH28" s="21" t="s">
        <v>132</v>
      </c>
      <c r="BT28" s="3">
        <v>3601035</v>
      </c>
      <c r="BU28" s="3">
        <f>[1]monsters!$N28</f>
        <v>167.25</v>
      </c>
      <c r="BV28" s="3">
        <f>[1]monsters!$O28</f>
        <v>16.73</v>
      </c>
      <c r="BW28" s="3">
        <f>[1]monsters!$P28</f>
        <v>960</v>
      </c>
      <c r="BX28" s="3">
        <f>[1]monsters!$Q28</f>
        <v>96</v>
      </c>
      <c r="BY28" s="3">
        <f>[1]monsters!$R28</f>
        <v>20.91</v>
      </c>
      <c r="BZ28" s="3">
        <f>[1]monsters!$S28</f>
        <v>2.09</v>
      </c>
      <c r="CA28" s="3">
        <f>[1]monsters!$K28</f>
        <v>1.6</v>
      </c>
      <c r="CB28" s="12">
        <f>[1]monsters!$D28</f>
        <v>5</v>
      </c>
      <c r="CC28" s="12">
        <f t="shared" ca="1" si="2"/>
        <v>0.1</v>
      </c>
      <c r="CD28" s="12">
        <f t="shared" ca="1" si="21"/>
        <v>58.262424242424203</v>
      </c>
      <c r="CE28" s="12">
        <f t="shared" ca="1" si="22"/>
        <v>5.8262424242424196</v>
      </c>
      <c r="CF28" s="12">
        <v>1011</v>
      </c>
      <c r="CG28" s="28">
        <v>3</v>
      </c>
      <c r="CH28" s="12">
        <v>10032</v>
      </c>
      <c r="CI28" s="26">
        <v>1</v>
      </c>
      <c r="CJ28" s="12">
        <v>1050</v>
      </c>
      <c r="CK28" s="28">
        <v>3</v>
      </c>
      <c r="CL28" s="12">
        <v>10035</v>
      </c>
      <c r="CM28" s="26">
        <v>1</v>
      </c>
      <c r="CS28" s="3">
        <v>25</v>
      </c>
      <c r="CT28" s="3">
        <f t="shared" si="24"/>
        <v>12540</v>
      </c>
      <c r="CV28" s="3">
        <f t="shared" ca="1" si="3"/>
        <v>3401032</v>
      </c>
      <c r="CW28" s="3">
        <f t="shared" ca="1" si="4"/>
        <v>3501032</v>
      </c>
      <c r="CX28" s="3">
        <f t="shared" ca="1" si="5"/>
        <v>3201032</v>
      </c>
      <c r="CY28" s="11">
        <v>3</v>
      </c>
      <c r="CZ28" s="11">
        <v>3</v>
      </c>
      <c r="DA28" s="11">
        <v>3</v>
      </c>
      <c r="DB28" s="12">
        <f t="shared" ca="1" si="23"/>
        <v>401</v>
      </c>
      <c r="DC28" s="12">
        <f t="shared" ca="1" si="23"/>
        <v>501</v>
      </c>
      <c r="DD28" s="12">
        <f t="shared" ca="1" si="23"/>
        <v>201</v>
      </c>
      <c r="DE28" s="12">
        <f t="shared" ca="1" si="7"/>
        <v>0</v>
      </c>
      <c r="DF28" s="12">
        <f t="shared" ca="1" si="7"/>
        <v>0</v>
      </c>
      <c r="DG28" s="12">
        <f t="shared" ca="1" si="7"/>
        <v>0</v>
      </c>
      <c r="DH28" s="11">
        <v>3</v>
      </c>
      <c r="DI28" s="11">
        <v>3</v>
      </c>
      <c r="DJ28" s="11">
        <v>3</v>
      </c>
      <c r="DK28" s="12">
        <v>2</v>
      </c>
      <c r="DL28" s="12">
        <v>2</v>
      </c>
      <c r="DM28" s="12">
        <v>2</v>
      </c>
      <c r="DN28" s="3">
        <v>3601035</v>
      </c>
      <c r="DP28" s="12">
        <v>406</v>
      </c>
      <c r="DS28" s="21">
        <f t="shared" ca="1" si="8"/>
        <v>3401032</v>
      </c>
      <c r="DT28" s="21">
        <f t="shared" ca="1" si="9"/>
        <v>3501032</v>
      </c>
      <c r="DU28" s="21">
        <f t="shared" ca="1" si="10"/>
        <v>3201032</v>
      </c>
      <c r="DW28" s="11">
        <v>30</v>
      </c>
    </row>
    <row r="29" spans="1:127" ht="13.5" customHeight="1">
      <c r="A29" s="6">
        <v>26</v>
      </c>
      <c r="B29" s="11">
        <v>4</v>
      </c>
      <c r="C29" s="6">
        <v>2</v>
      </c>
      <c r="D29" s="11">
        <v>50</v>
      </c>
      <c r="E29" s="6">
        <f t="shared" si="11"/>
        <v>21691</v>
      </c>
      <c r="F29" s="6">
        <v>1001</v>
      </c>
      <c r="G29" s="7" t="str">
        <f t="shared" si="12"/>
        <v>5302055,3300042,3300042</v>
      </c>
      <c r="H29" s="7" t="str">
        <f t="shared" si="13"/>
        <v>4,4,4</v>
      </c>
      <c r="I29" s="7" t="str">
        <f t="shared" si="14"/>
        <v>117,117,117</v>
      </c>
      <c r="J29" s="11">
        <v>50</v>
      </c>
      <c r="K29" s="16" t="s">
        <v>128</v>
      </c>
      <c r="L29" s="16" t="s">
        <v>129</v>
      </c>
      <c r="M29" s="16" t="s">
        <v>130</v>
      </c>
      <c r="N29" s="16" t="s">
        <v>130</v>
      </c>
      <c r="O29" s="42" t="s">
        <v>133</v>
      </c>
      <c r="Q29" s="11" t="str">
        <f t="shared" si="15"/>
        <v>5302055,3300042,3300042</v>
      </c>
      <c r="R29" s="11">
        <v>50</v>
      </c>
      <c r="S29" s="11">
        <v>21691.5</v>
      </c>
      <c r="T29" s="11">
        <f t="shared" si="16"/>
        <v>21691</v>
      </c>
      <c r="U29" s="11">
        <v>5302055</v>
      </c>
      <c r="V29" s="11">
        <v>3300042</v>
      </c>
      <c r="W29" s="11">
        <v>3300042</v>
      </c>
      <c r="X29" s="11">
        <v>4</v>
      </c>
      <c r="Y29" s="11">
        <v>4</v>
      </c>
      <c r="Z29" s="11">
        <v>4</v>
      </c>
      <c r="AA29" s="11">
        <f t="shared" si="17"/>
        <v>117</v>
      </c>
      <c r="AB29" s="11">
        <f t="shared" si="18"/>
        <v>117</v>
      </c>
      <c r="AC29" s="11">
        <f t="shared" si="19"/>
        <v>117</v>
      </c>
      <c r="AD29" s="11">
        <f t="shared" si="20"/>
        <v>7230.333333333333</v>
      </c>
      <c r="AE29" s="11">
        <f t="shared" si="20"/>
        <v>7230.333333333333</v>
      </c>
      <c r="AF29" s="11">
        <f t="shared" si="20"/>
        <v>7230.333333333333</v>
      </c>
      <c r="AM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3"/>
      <c r="BA29" s="3"/>
      <c r="BB29" s="3"/>
      <c r="BC29" s="3"/>
      <c r="BT29" s="3">
        <v>4201041</v>
      </c>
      <c r="BU29" s="3">
        <f>[1]monsters!$N29</f>
        <v>162.03</v>
      </c>
      <c r="BV29" s="3">
        <f>[1]monsters!$O29</f>
        <v>16.2</v>
      </c>
      <c r="BW29" s="3">
        <f>[1]monsters!$P29</f>
        <v>867.1</v>
      </c>
      <c r="BX29" s="3">
        <f>[1]monsters!$Q29</f>
        <v>86.71</v>
      </c>
      <c r="BY29" s="3">
        <f>[1]monsters!$R29</f>
        <v>16.2</v>
      </c>
      <c r="BZ29" s="3">
        <f>[1]monsters!$S29</f>
        <v>1.62</v>
      </c>
      <c r="CA29" s="3">
        <f>[1]monsters!$K29</f>
        <v>1.4000000000000001</v>
      </c>
      <c r="CB29" s="12">
        <f>[1]monsters!$D29</f>
        <v>6</v>
      </c>
      <c r="CC29" s="12">
        <f t="shared" ca="1" si="2"/>
        <v>0.1</v>
      </c>
      <c r="CD29" s="12">
        <f t="shared" ca="1" si="21"/>
        <v>77.689535353535305</v>
      </c>
      <c r="CE29" s="12">
        <f t="shared" ca="1" si="22"/>
        <v>7.7689535353535399</v>
      </c>
      <c r="CF29" s="12">
        <v>1046</v>
      </c>
      <c r="CG29" s="28">
        <v>3</v>
      </c>
      <c r="CH29" s="12">
        <v>10034</v>
      </c>
      <c r="CI29" s="26">
        <v>1</v>
      </c>
      <c r="CJ29" s="12">
        <v>1053</v>
      </c>
      <c r="CK29" s="28">
        <v>3</v>
      </c>
      <c r="CL29" s="12">
        <v>10040</v>
      </c>
      <c r="CM29" s="27">
        <v>2</v>
      </c>
      <c r="CS29" s="3">
        <v>26</v>
      </c>
      <c r="CT29" s="3">
        <f t="shared" si="24"/>
        <v>14000</v>
      </c>
      <c r="CV29" s="3">
        <f t="shared" ca="1" si="3"/>
        <v>3600032</v>
      </c>
      <c r="CW29" s="3">
        <f t="shared" ca="1" si="4"/>
        <v>3401032</v>
      </c>
      <c r="CX29" s="3">
        <f t="shared" ca="1" si="5"/>
        <v>3600032</v>
      </c>
      <c r="CY29" s="11">
        <v>3</v>
      </c>
      <c r="CZ29" s="11">
        <v>3</v>
      </c>
      <c r="DA29" s="11">
        <v>3</v>
      </c>
      <c r="DB29" s="12">
        <f t="shared" ca="1" si="23"/>
        <v>600</v>
      </c>
      <c r="DC29" s="12">
        <f t="shared" ca="1" si="23"/>
        <v>401</v>
      </c>
      <c r="DD29" s="12">
        <f t="shared" ca="1" si="23"/>
        <v>600</v>
      </c>
      <c r="DE29" s="12">
        <f t="shared" ca="1" si="7"/>
        <v>0</v>
      </c>
      <c r="DF29" s="12">
        <f t="shared" ca="1" si="7"/>
        <v>0</v>
      </c>
      <c r="DG29" s="12">
        <f t="shared" ca="1" si="7"/>
        <v>0</v>
      </c>
      <c r="DH29" s="11">
        <v>3</v>
      </c>
      <c r="DI29" s="11">
        <v>3</v>
      </c>
      <c r="DJ29" s="11">
        <v>3</v>
      </c>
      <c r="DK29" s="12">
        <v>2</v>
      </c>
      <c r="DL29" s="12">
        <v>2</v>
      </c>
      <c r="DM29" s="12">
        <v>2</v>
      </c>
      <c r="DN29" s="3">
        <v>4201041</v>
      </c>
      <c r="DP29" s="12">
        <v>503</v>
      </c>
      <c r="DS29" s="21">
        <f t="shared" ca="1" si="8"/>
        <v>3600032</v>
      </c>
      <c r="DT29" s="21">
        <f t="shared" ca="1" si="9"/>
        <v>3401032</v>
      </c>
      <c r="DU29" s="21">
        <f t="shared" ca="1" si="10"/>
        <v>3600032</v>
      </c>
      <c r="DW29" s="11">
        <v>50</v>
      </c>
    </row>
    <row r="30" spans="1:127" ht="13.5" customHeight="1">
      <c r="A30" s="6">
        <v>27</v>
      </c>
      <c r="B30" s="11">
        <v>4</v>
      </c>
      <c r="C30" s="6">
        <v>3</v>
      </c>
      <c r="D30" s="11">
        <v>70</v>
      </c>
      <c r="E30" s="6">
        <f t="shared" si="11"/>
        <v>63594</v>
      </c>
      <c r="F30" s="6">
        <v>1001</v>
      </c>
      <c r="G30" s="7" t="str">
        <f t="shared" si="12"/>
        <v>5302055,3300052,3300052</v>
      </c>
      <c r="H30" s="7" t="str">
        <f t="shared" si="13"/>
        <v>5,5,5</v>
      </c>
      <c r="I30" s="7" t="str">
        <f t="shared" si="14"/>
        <v>181,181,181</v>
      </c>
      <c r="J30" s="11">
        <v>70</v>
      </c>
      <c r="K30" s="16" t="s">
        <v>128</v>
      </c>
      <c r="L30" s="16" t="s">
        <v>129</v>
      </c>
      <c r="M30" s="16" t="s">
        <v>130</v>
      </c>
      <c r="N30" s="16" t="s">
        <v>130</v>
      </c>
      <c r="O30" s="42" t="s">
        <v>134</v>
      </c>
      <c r="Q30" s="11" t="str">
        <f t="shared" si="15"/>
        <v>5302055,3300052,3300052</v>
      </c>
      <c r="R30" s="11">
        <v>70</v>
      </c>
      <c r="S30" s="11">
        <v>57812.800000000003</v>
      </c>
      <c r="T30" s="11">
        <f>FLOOR(S30*1.1,1)</f>
        <v>63594</v>
      </c>
      <c r="U30" s="11">
        <v>5302055</v>
      </c>
      <c r="V30" s="11">
        <v>3300052</v>
      </c>
      <c r="W30" s="11">
        <v>3300052</v>
      </c>
      <c r="X30" s="11">
        <v>5</v>
      </c>
      <c r="Y30" s="11">
        <v>5</v>
      </c>
      <c r="Z30" s="11">
        <v>5</v>
      </c>
      <c r="AA30" s="11">
        <f t="shared" si="17"/>
        <v>181</v>
      </c>
      <c r="AB30" s="11">
        <f t="shared" si="18"/>
        <v>181</v>
      </c>
      <c r="AC30" s="11">
        <f t="shared" si="19"/>
        <v>181</v>
      </c>
      <c r="AD30" s="11">
        <f t="shared" si="20"/>
        <v>21198</v>
      </c>
      <c r="AE30" s="11">
        <f t="shared" si="20"/>
        <v>21198</v>
      </c>
      <c r="AF30" s="11">
        <f t="shared" si="20"/>
        <v>21198</v>
      </c>
      <c r="AM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3"/>
      <c r="BA30" s="3"/>
      <c r="BB30" s="3"/>
      <c r="BC30" s="3"/>
      <c r="BH30" s="12">
        <v>26</v>
      </c>
      <c r="BI30" s="12">
        <v>1920</v>
      </c>
      <c r="BJ30" s="12">
        <v>20</v>
      </c>
      <c r="BT30" s="3">
        <v>4300041</v>
      </c>
      <c r="BU30" s="3">
        <f>[1]monsters!$N30</f>
        <v>208.32</v>
      </c>
      <c r="BV30" s="3">
        <f>[1]monsters!$O30</f>
        <v>20.83</v>
      </c>
      <c r="BW30" s="3">
        <f>[1]monsters!$P30</f>
        <v>867.1</v>
      </c>
      <c r="BX30" s="3">
        <f>[1]monsters!$Q30</f>
        <v>86.71</v>
      </c>
      <c r="BY30" s="3">
        <f>[1]monsters!$R30</f>
        <v>20.83</v>
      </c>
      <c r="BZ30" s="3">
        <f>[1]monsters!$S30</f>
        <v>2.08</v>
      </c>
      <c r="CA30" s="3">
        <f>[1]monsters!$K30</f>
        <v>1.8</v>
      </c>
      <c r="CB30" s="12">
        <f>[1]monsters!$D30</f>
        <v>6</v>
      </c>
      <c r="CC30" s="12">
        <f t="shared" ca="1" si="2"/>
        <v>0.1</v>
      </c>
      <c r="CD30" s="12">
        <f t="shared" ca="1" si="21"/>
        <v>62.3835647586981</v>
      </c>
      <c r="CE30" s="12">
        <f t="shared" ca="1" si="22"/>
        <v>6.2383564758698098</v>
      </c>
      <c r="CF30" s="12">
        <v>1047</v>
      </c>
      <c r="CG30" s="28">
        <v>3</v>
      </c>
      <c r="CH30" s="12">
        <v>10036</v>
      </c>
      <c r="CI30" s="27">
        <v>2</v>
      </c>
      <c r="CJ30" s="12">
        <v>1058</v>
      </c>
      <c r="CK30" s="29">
        <v>4</v>
      </c>
      <c r="CL30" s="12">
        <v>10043</v>
      </c>
      <c r="CM30" s="27">
        <v>2</v>
      </c>
      <c r="CS30" s="3">
        <v>27</v>
      </c>
      <c r="CT30" s="3">
        <f t="shared" si="24"/>
        <v>15570</v>
      </c>
      <c r="CV30" s="3">
        <f t="shared" ca="1" si="3"/>
        <v>3301032</v>
      </c>
      <c r="CW30" s="3">
        <f t="shared" ca="1" si="4"/>
        <v>3201032</v>
      </c>
      <c r="CX30" s="3">
        <f t="shared" ca="1" si="5"/>
        <v>3302032</v>
      </c>
      <c r="CY30" s="11">
        <v>3</v>
      </c>
      <c r="CZ30" s="11">
        <v>3</v>
      </c>
      <c r="DA30" s="11">
        <v>3</v>
      </c>
      <c r="DB30" s="12">
        <f t="shared" ca="1" si="23"/>
        <v>301</v>
      </c>
      <c r="DC30" s="12">
        <f t="shared" ca="1" si="23"/>
        <v>201</v>
      </c>
      <c r="DD30" s="12">
        <f t="shared" ca="1" si="23"/>
        <v>302</v>
      </c>
      <c r="DE30" s="12">
        <f t="shared" ca="1" si="7"/>
        <v>0</v>
      </c>
      <c r="DF30" s="12">
        <f t="shared" ca="1" si="7"/>
        <v>0</v>
      </c>
      <c r="DG30" s="12">
        <f t="shared" ca="1" si="7"/>
        <v>0</v>
      </c>
      <c r="DH30" s="11">
        <v>3</v>
      </c>
      <c r="DI30" s="11">
        <v>3</v>
      </c>
      <c r="DJ30" s="11">
        <v>3</v>
      </c>
      <c r="DK30" s="12">
        <v>2</v>
      </c>
      <c r="DL30" s="12">
        <v>2</v>
      </c>
      <c r="DM30" s="12">
        <v>2</v>
      </c>
      <c r="DN30" s="3">
        <v>4300041</v>
      </c>
      <c r="DP30" s="12">
        <v>504</v>
      </c>
      <c r="DS30" s="21">
        <f t="shared" ca="1" si="8"/>
        <v>3301032</v>
      </c>
      <c r="DT30" s="21">
        <f t="shared" ca="1" si="9"/>
        <v>3201032</v>
      </c>
      <c r="DU30" s="21">
        <f t="shared" ca="1" si="10"/>
        <v>3302032</v>
      </c>
      <c r="DW30" s="11">
        <v>70</v>
      </c>
    </row>
    <row r="31" spans="1:127" ht="13.5" customHeight="1">
      <c r="A31" s="6">
        <v>28</v>
      </c>
      <c r="B31" s="11">
        <v>4</v>
      </c>
      <c r="C31" s="6">
        <v>4</v>
      </c>
      <c r="D31" s="11">
        <v>85</v>
      </c>
      <c r="E31" s="6">
        <f t="shared" si="11"/>
        <v>119086</v>
      </c>
      <c r="F31" s="6">
        <v>1001</v>
      </c>
      <c r="G31" s="7" t="str">
        <f t="shared" si="12"/>
        <v>5302055,3300052,3300052</v>
      </c>
      <c r="H31" s="7" t="str">
        <f t="shared" si="13"/>
        <v>5,5,5</v>
      </c>
      <c r="I31" s="7" t="str">
        <f t="shared" si="14"/>
        <v>252,252,252</v>
      </c>
      <c r="J31" s="11">
        <v>85</v>
      </c>
      <c r="K31" s="16" t="s">
        <v>128</v>
      </c>
      <c r="L31" s="16" t="s">
        <v>129</v>
      </c>
      <c r="M31" s="16" t="s">
        <v>130</v>
      </c>
      <c r="N31" s="16" t="s">
        <v>130</v>
      </c>
      <c r="O31" s="42" t="s">
        <v>135</v>
      </c>
      <c r="Q31" s="11" t="str">
        <f t="shared" si="15"/>
        <v>5302055,3300052,3300052</v>
      </c>
      <c r="R31" s="11">
        <v>85</v>
      </c>
      <c r="S31" s="11">
        <v>108260.8</v>
      </c>
      <c r="T31" s="11">
        <f t="shared" ref="T31" si="30">FLOOR(S31*1.1,1)</f>
        <v>119086</v>
      </c>
      <c r="U31" s="11">
        <v>5302055</v>
      </c>
      <c r="V31" s="11">
        <v>3300052</v>
      </c>
      <c r="W31" s="11">
        <v>3300052</v>
      </c>
      <c r="X31" s="11">
        <v>5</v>
      </c>
      <c r="Y31" s="11">
        <v>5</v>
      </c>
      <c r="Z31" s="11">
        <v>5</v>
      </c>
      <c r="AA31" s="11">
        <f t="shared" si="17"/>
        <v>252</v>
      </c>
      <c r="AB31" s="11">
        <f t="shared" si="18"/>
        <v>252</v>
      </c>
      <c r="AC31" s="11">
        <f t="shared" si="19"/>
        <v>252</v>
      </c>
      <c r="AD31" s="11">
        <f t="shared" si="20"/>
        <v>39695.333333333336</v>
      </c>
      <c r="AE31" s="11">
        <f t="shared" si="20"/>
        <v>39695.333333333336</v>
      </c>
      <c r="AF31" s="11">
        <f t="shared" si="20"/>
        <v>39695.333333333336</v>
      </c>
      <c r="AM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3"/>
      <c r="BA31" s="3"/>
      <c r="BB31" s="3"/>
      <c r="BC31" s="3"/>
      <c r="BT31" s="3">
        <v>4401041</v>
      </c>
      <c r="BU31" s="3">
        <f>[1]monsters!$N31</f>
        <v>87.36</v>
      </c>
      <c r="BV31" s="3">
        <f>[1]monsters!$O31</f>
        <v>8.74</v>
      </c>
      <c r="BW31" s="3">
        <f>[1]monsters!$P31</f>
        <v>1493.33</v>
      </c>
      <c r="BX31" s="3">
        <f>[1]monsters!$Q31</f>
        <v>149.33000000000001</v>
      </c>
      <c r="BY31" s="3">
        <f>[1]monsters!$R31</f>
        <v>17.47</v>
      </c>
      <c r="BZ31" s="3">
        <f>[1]monsters!$S31</f>
        <v>1.75</v>
      </c>
      <c r="CA31" s="3">
        <f>[1]monsters!$K31</f>
        <v>1.3</v>
      </c>
      <c r="CB31" s="12">
        <f>[1]monsters!$D31</f>
        <v>3</v>
      </c>
      <c r="CC31" s="12">
        <f t="shared" ca="1" si="2"/>
        <v>0.1</v>
      </c>
      <c r="CD31" s="12">
        <f t="shared" ca="1" si="21"/>
        <v>69.370662075298497</v>
      </c>
      <c r="CE31" s="12">
        <f t="shared" ca="1" si="22"/>
        <v>6.9370662075298499</v>
      </c>
      <c r="CF31" s="12">
        <v>1052</v>
      </c>
      <c r="CG31" s="28">
        <v>3</v>
      </c>
      <c r="CH31" s="12">
        <v>10039</v>
      </c>
      <c r="CI31" s="27">
        <v>2</v>
      </c>
      <c r="CJ31" s="12">
        <v>1060</v>
      </c>
      <c r="CK31" s="29">
        <v>4</v>
      </c>
      <c r="CL31" s="12">
        <v>10045</v>
      </c>
      <c r="CM31" s="27">
        <v>2</v>
      </c>
      <c r="CS31" s="3">
        <v>28</v>
      </c>
      <c r="CT31" s="3">
        <f t="shared" si="24"/>
        <v>17254</v>
      </c>
      <c r="CV31" s="3">
        <f t="shared" ca="1" si="3"/>
        <v>3300042</v>
      </c>
      <c r="CW31" s="3">
        <f t="shared" ca="1" si="4"/>
        <v>3300042</v>
      </c>
      <c r="CX31" s="3">
        <f t="shared" ca="1" si="5"/>
        <v>3202042</v>
      </c>
      <c r="CY31" s="11">
        <v>4</v>
      </c>
      <c r="CZ31" s="11">
        <v>4</v>
      </c>
      <c r="DA31" s="11">
        <v>4</v>
      </c>
      <c r="DB31" s="12">
        <f t="shared" ca="1" si="23"/>
        <v>300</v>
      </c>
      <c r="DC31" s="12">
        <f t="shared" ca="1" si="23"/>
        <v>300</v>
      </c>
      <c r="DD31" s="12">
        <f t="shared" ca="1" si="23"/>
        <v>202</v>
      </c>
      <c r="DE31" s="12">
        <f t="shared" ca="1" si="7"/>
        <v>0</v>
      </c>
      <c r="DF31" s="12">
        <f t="shared" ca="1" si="7"/>
        <v>0</v>
      </c>
      <c r="DG31" s="12">
        <f t="shared" ca="1" si="7"/>
        <v>0</v>
      </c>
      <c r="DH31" s="11">
        <v>3</v>
      </c>
      <c r="DI31" s="11">
        <v>3</v>
      </c>
      <c r="DJ31" s="11">
        <v>3</v>
      </c>
      <c r="DK31" s="12">
        <v>2</v>
      </c>
      <c r="DL31" s="12">
        <v>2</v>
      </c>
      <c r="DM31" s="12">
        <v>2</v>
      </c>
      <c r="DN31" s="3">
        <v>4401041</v>
      </c>
      <c r="DP31" s="12">
        <v>101</v>
      </c>
      <c r="DS31" s="21">
        <f t="shared" ca="1" si="8"/>
        <v>3300042</v>
      </c>
      <c r="DT31" s="21">
        <f t="shared" ca="1" si="9"/>
        <v>3300042</v>
      </c>
      <c r="DU31" s="21">
        <f t="shared" ca="1" si="10"/>
        <v>3202042</v>
      </c>
      <c r="DW31" s="11">
        <v>85</v>
      </c>
    </row>
    <row r="32" spans="1:127" ht="13.5" customHeight="1">
      <c r="A32" s="6">
        <v>29</v>
      </c>
      <c r="B32" s="11">
        <v>4</v>
      </c>
      <c r="C32" s="6">
        <v>5</v>
      </c>
      <c r="D32" s="11">
        <v>100</v>
      </c>
      <c r="E32" s="6">
        <f t="shared" si="11"/>
        <v>298143</v>
      </c>
      <c r="F32" s="6">
        <v>1001</v>
      </c>
      <c r="G32" s="7" t="str">
        <f t="shared" si="12"/>
        <v>5302065,3300062,3300062</v>
      </c>
      <c r="H32" s="7" t="str">
        <f t="shared" si="13"/>
        <v>6,6,6</v>
      </c>
      <c r="I32" s="7" t="str">
        <f t="shared" si="14"/>
        <v>300,300,300</v>
      </c>
      <c r="J32" s="11">
        <v>100</v>
      </c>
      <c r="K32" s="16" t="s">
        <v>128</v>
      </c>
      <c r="L32" s="16" t="s">
        <v>129</v>
      </c>
      <c r="M32" s="16" t="s">
        <v>130</v>
      </c>
      <c r="N32" s="16" t="s">
        <v>130</v>
      </c>
      <c r="O32" s="42" t="s">
        <v>136</v>
      </c>
      <c r="Q32" s="11" t="str">
        <f t="shared" si="15"/>
        <v>5302065,3300062,3300062</v>
      </c>
      <c r="R32" s="11">
        <v>100</v>
      </c>
      <c r="S32" s="11">
        <v>248453.3</v>
      </c>
      <c r="T32" s="11">
        <f>FLOOR(S32*1.2,1)</f>
        <v>298143</v>
      </c>
      <c r="U32" s="11">
        <v>5302065</v>
      </c>
      <c r="V32" s="11">
        <v>3300062</v>
      </c>
      <c r="W32" s="11">
        <v>3300062</v>
      </c>
      <c r="X32" s="11">
        <v>6</v>
      </c>
      <c r="Y32" s="11">
        <v>6</v>
      </c>
      <c r="Z32" s="11">
        <v>6</v>
      </c>
      <c r="AA32" s="11">
        <f t="shared" si="17"/>
        <v>300</v>
      </c>
      <c r="AB32" s="11">
        <f t="shared" si="18"/>
        <v>300</v>
      </c>
      <c r="AC32" s="11">
        <f t="shared" si="19"/>
        <v>300</v>
      </c>
      <c r="AD32" s="11">
        <f t="shared" si="20"/>
        <v>99381</v>
      </c>
      <c r="AE32" s="11">
        <f t="shared" si="20"/>
        <v>99381</v>
      </c>
      <c r="AF32" s="11">
        <f t="shared" si="20"/>
        <v>99381</v>
      </c>
      <c r="AM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3"/>
      <c r="BA32" s="3"/>
      <c r="BB32" s="3"/>
      <c r="BC32" s="3"/>
      <c r="BT32" s="3">
        <v>4500041</v>
      </c>
      <c r="BU32" s="3">
        <f>[1]monsters!$N32</f>
        <v>94.08</v>
      </c>
      <c r="BV32" s="3">
        <f>[1]monsters!$O32</f>
        <v>9.41</v>
      </c>
      <c r="BW32" s="3">
        <f>[1]monsters!$P32</f>
        <v>1493.33</v>
      </c>
      <c r="BX32" s="3">
        <f>[1]monsters!$Q32</f>
        <v>149.33000000000001</v>
      </c>
      <c r="BY32" s="3">
        <f>[1]monsters!$R32</f>
        <v>18.82</v>
      </c>
      <c r="BZ32" s="3">
        <f>[1]monsters!$S32</f>
        <v>1.88</v>
      </c>
      <c r="CA32" s="3">
        <f>[1]monsters!$K32</f>
        <v>1.4000000000000001</v>
      </c>
      <c r="CB32" s="12">
        <f>[1]monsters!$D32</f>
        <v>3</v>
      </c>
      <c r="CC32" s="12">
        <f t="shared" ca="1" si="2"/>
        <v>0.1</v>
      </c>
      <c r="CD32" s="12">
        <f t="shared" ca="1" si="21"/>
        <v>64.846623569023606</v>
      </c>
      <c r="CE32" s="12">
        <f t="shared" ca="1" si="22"/>
        <v>6.4846623569023603</v>
      </c>
      <c r="CF32" s="12">
        <v>1054</v>
      </c>
      <c r="CG32" s="28">
        <v>3</v>
      </c>
      <c r="CH32" s="12">
        <v>10042</v>
      </c>
      <c r="CI32" s="27">
        <v>2</v>
      </c>
      <c r="CJ32" s="12">
        <v>1063</v>
      </c>
      <c r="CK32" s="29">
        <v>4</v>
      </c>
      <c r="CL32" s="12">
        <v>10013</v>
      </c>
      <c r="CM32" s="28">
        <v>3</v>
      </c>
      <c r="CS32" s="3">
        <v>29</v>
      </c>
      <c r="CT32" s="3">
        <f t="shared" si="24"/>
        <v>19056</v>
      </c>
      <c r="CV32" s="3">
        <f t="shared" ca="1" si="3"/>
        <v>5600052</v>
      </c>
      <c r="CW32" s="3">
        <f t="shared" ca="1" si="4"/>
        <v>5501052</v>
      </c>
      <c r="CX32" s="3">
        <f t="shared" ca="1" si="5"/>
        <v>5302052</v>
      </c>
      <c r="CY32" s="11">
        <v>5</v>
      </c>
      <c r="CZ32" s="11">
        <v>5</v>
      </c>
      <c r="DA32" s="11">
        <v>5</v>
      </c>
      <c r="DB32" s="12">
        <f t="shared" ca="1" si="23"/>
        <v>600</v>
      </c>
      <c r="DC32" s="12">
        <f t="shared" ca="1" si="23"/>
        <v>501</v>
      </c>
      <c r="DD32" s="12">
        <f t="shared" ca="1" si="23"/>
        <v>302</v>
      </c>
      <c r="DE32" s="12">
        <f t="shared" ca="1" si="7"/>
        <v>0</v>
      </c>
      <c r="DF32" s="12">
        <f t="shared" ca="1" si="7"/>
        <v>0</v>
      </c>
      <c r="DG32" s="12">
        <f t="shared" ca="1" si="7"/>
        <v>0</v>
      </c>
      <c r="DH32" s="11">
        <v>5</v>
      </c>
      <c r="DI32" s="11">
        <v>5</v>
      </c>
      <c r="DJ32" s="11">
        <v>5</v>
      </c>
      <c r="DK32" s="12">
        <v>2</v>
      </c>
      <c r="DL32" s="12">
        <v>2</v>
      </c>
      <c r="DM32" s="12">
        <v>2</v>
      </c>
      <c r="DN32" s="3">
        <v>4500041</v>
      </c>
      <c r="DP32" s="12">
        <v>102</v>
      </c>
      <c r="DS32" s="21">
        <f t="shared" ca="1" si="8"/>
        <v>5600052</v>
      </c>
      <c r="DT32" s="21">
        <f t="shared" ca="1" si="9"/>
        <v>5501052</v>
      </c>
      <c r="DU32" s="21">
        <f t="shared" ca="1" si="10"/>
        <v>5302052</v>
      </c>
      <c r="DW32" s="11">
        <v>100</v>
      </c>
    </row>
    <row r="33" spans="1:127" ht="13.5" customHeight="1">
      <c r="A33" s="6">
        <v>30</v>
      </c>
      <c r="B33" s="11">
        <v>4</v>
      </c>
      <c r="C33" s="6">
        <v>6</v>
      </c>
      <c r="D33" s="11">
        <v>115</v>
      </c>
      <c r="E33" s="6">
        <f t="shared" si="11"/>
        <v>615290</v>
      </c>
      <c r="F33" s="6">
        <v>1001</v>
      </c>
      <c r="G33" s="7" t="str">
        <f t="shared" si="12"/>
        <v>5302065,3300062,3300062</v>
      </c>
      <c r="H33" s="7" t="str">
        <f t="shared" si="13"/>
        <v>6,6,6</v>
      </c>
      <c r="I33" s="7" t="str">
        <f t="shared" si="14"/>
        <v>435,435,435</v>
      </c>
      <c r="J33" s="11">
        <v>115</v>
      </c>
      <c r="K33" s="16" t="s">
        <v>128</v>
      </c>
      <c r="L33" s="16" t="s">
        <v>129</v>
      </c>
      <c r="M33" s="16" t="s">
        <v>130</v>
      </c>
      <c r="N33" s="16" t="s">
        <v>130</v>
      </c>
      <c r="O33" s="42" t="s">
        <v>137</v>
      </c>
      <c r="Q33" s="11" t="str">
        <f t="shared" si="15"/>
        <v>5302065,3300062,3300062</v>
      </c>
      <c r="R33" s="11">
        <v>115</v>
      </c>
      <c r="S33" s="11">
        <v>512742.1</v>
      </c>
      <c r="T33" s="11">
        <f>FLOOR(S33*1.2,1)</f>
        <v>615290</v>
      </c>
      <c r="U33" s="11">
        <v>5302065</v>
      </c>
      <c r="V33" s="11">
        <v>3300062</v>
      </c>
      <c r="W33" s="11">
        <v>3300062</v>
      </c>
      <c r="X33" s="11">
        <v>6</v>
      </c>
      <c r="Y33" s="11">
        <v>6</v>
      </c>
      <c r="Z33" s="11">
        <v>6</v>
      </c>
      <c r="AA33" s="11">
        <f t="shared" si="17"/>
        <v>435</v>
      </c>
      <c r="AB33" s="11">
        <f t="shared" si="18"/>
        <v>435</v>
      </c>
      <c r="AC33" s="11">
        <f t="shared" si="19"/>
        <v>435</v>
      </c>
      <c r="AD33" s="11">
        <f t="shared" si="20"/>
        <v>205096.66666666666</v>
      </c>
      <c r="AE33" s="11">
        <f t="shared" si="20"/>
        <v>205096.66666666666</v>
      </c>
      <c r="AF33" s="11">
        <f t="shared" si="20"/>
        <v>205096.66666666666</v>
      </c>
      <c r="AM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3"/>
      <c r="BA33" s="3"/>
      <c r="BB33" s="3"/>
      <c r="BC33" s="3"/>
      <c r="BF33" s="12">
        <v>5</v>
      </c>
      <c r="BG33" s="12">
        <v>1093</v>
      </c>
      <c r="BH33" s="12">
        <f ca="1">(BH30+BH30*0.1*$BH$33)*1.8</f>
        <v>5162.04</v>
      </c>
      <c r="BI33" s="12">
        <f ca="1">(BI30+BI30*0.1*$BH$33)*1.8</f>
        <v>381196.79999999999</v>
      </c>
      <c r="BJ33" s="12">
        <f ca="1">(BJ30+BJ30*0.1*$BH$33)*1.8</f>
        <v>3970.8</v>
      </c>
      <c r="BT33" s="3">
        <v>4601041</v>
      </c>
      <c r="BU33" s="3">
        <f>[1]monsters!$N33</f>
        <v>125.44</v>
      </c>
      <c r="BV33" s="3">
        <f>[1]monsters!$O33</f>
        <v>12.54</v>
      </c>
      <c r="BW33" s="3">
        <f>[1]monsters!$P33</f>
        <v>1120</v>
      </c>
      <c r="BX33" s="3">
        <f>[1]monsters!$Q33</f>
        <v>112</v>
      </c>
      <c r="BY33" s="3">
        <f>[1]monsters!$R33</f>
        <v>17.920000000000002</v>
      </c>
      <c r="BZ33" s="3">
        <f>[1]monsters!$S33</f>
        <v>1.79</v>
      </c>
      <c r="CA33" s="3">
        <f>[1]monsters!$K33</f>
        <v>1.4000000000000001</v>
      </c>
      <c r="CB33" s="12">
        <f>[1]monsters!$D33</f>
        <v>4</v>
      </c>
      <c r="CC33" s="12">
        <f t="shared" ca="1" si="2"/>
        <v>0.1</v>
      </c>
      <c r="CD33" s="12">
        <f t="shared" ca="1" si="21"/>
        <v>67.972828282828303</v>
      </c>
      <c r="CE33" s="12">
        <f t="shared" ca="1" si="22"/>
        <v>6.7972828282828299</v>
      </c>
      <c r="CF33" s="12">
        <v>1056</v>
      </c>
      <c r="CG33" s="29">
        <v>4</v>
      </c>
      <c r="CH33" s="12">
        <v>10044</v>
      </c>
      <c r="CI33" s="27">
        <v>2</v>
      </c>
      <c r="CJ33" s="12">
        <v>1065</v>
      </c>
      <c r="CK33" s="29">
        <v>4</v>
      </c>
      <c r="CL33" s="12">
        <v>10048</v>
      </c>
      <c r="CM33" s="28">
        <v>3</v>
      </c>
      <c r="CS33" s="3">
        <v>30</v>
      </c>
      <c r="CT33" s="3">
        <f t="shared" si="24"/>
        <v>20980</v>
      </c>
      <c r="CV33" s="3">
        <f t="shared" ca="1" si="3"/>
        <v>5300062</v>
      </c>
      <c r="CW33" s="3">
        <f t="shared" ca="1" si="4"/>
        <v>5200062</v>
      </c>
      <c r="CX33" s="3">
        <f t="shared" ca="1" si="5"/>
        <v>5300062</v>
      </c>
      <c r="CY33" s="11">
        <v>6</v>
      </c>
      <c r="CZ33" s="11">
        <v>6</v>
      </c>
      <c r="DA33" s="11">
        <v>6</v>
      </c>
      <c r="DB33" s="12">
        <f t="shared" ca="1" si="23"/>
        <v>300</v>
      </c>
      <c r="DC33" s="12">
        <f t="shared" ca="1" si="23"/>
        <v>200</v>
      </c>
      <c r="DD33" s="12">
        <f t="shared" ca="1" si="23"/>
        <v>300</v>
      </c>
      <c r="DE33" s="12">
        <f t="shared" ca="1" si="7"/>
        <v>0</v>
      </c>
      <c r="DF33" s="12">
        <f t="shared" ca="1" si="7"/>
        <v>0</v>
      </c>
      <c r="DG33" s="12">
        <f t="shared" ca="1" si="7"/>
        <v>0</v>
      </c>
      <c r="DH33" s="11">
        <v>5</v>
      </c>
      <c r="DI33" s="11">
        <v>5</v>
      </c>
      <c r="DJ33" s="11">
        <v>5</v>
      </c>
      <c r="DK33" s="12">
        <v>2</v>
      </c>
      <c r="DL33" s="12">
        <v>2</v>
      </c>
      <c r="DM33" s="12">
        <v>2</v>
      </c>
      <c r="DN33" s="3">
        <v>4601041</v>
      </c>
      <c r="DS33" s="21">
        <f t="shared" ca="1" si="8"/>
        <v>5300062</v>
      </c>
      <c r="DT33" s="21">
        <f t="shared" ca="1" si="9"/>
        <v>5200062</v>
      </c>
      <c r="DU33" s="21">
        <f t="shared" ca="1" si="10"/>
        <v>5300062</v>
      </c>
      <c r="DW33" s="11">
        <v>115</v>
      </c>
    </row>
    <row r="34" spans="1:127" ht="13.5" customHeight="1">
      <c r="A34" s="6">
        <v>31</v>
      </c>
      <c r="B34" s="11">
        <v>4</v>
      </c>
      <c r="C34" s="6">
        <v>7</v>
      </c>
      <c r="D34" s="11">
        <v>130</v>
      </c>
      <c r="E34" s="6">
        <f t="shared" si="11"/>
        <v>1167725</v>
      </c>
      <c r="F34" s="6">
        <v>1001</v>
      </c>
      <c r="G34" s="7" t="str">
        <f t="shared" si="12"/>
        <v>5302075,3300072,3300072</v>
      </c>
      <c r="H34" s="7" t="str">
        <f t="shared" si="13"/>
        <v>7,7,7</v>
      </c>
      <c r="I34" s="7" t="str">
        <f t="shared" si="14"/>
        <v>548,548,548</v>
      </c>
      <c r="J34" s="11">
        <v>130</v>
      </c>
      <c r="K34" s="16" t="s">
        <v>128</v>
      </c>
      <c r="L34" s="16" t="s">
        <v>129</v>
      </c>
      <c r="M34" s="16" t="s">
        <v>130</v>
      </c>
      <c r="N34" s="16" t="s">
        <v>130</v>
      </c>
      <c r="O34" s="42" t="s">
        <v>138</v>
      </c>
      <c r="Q34" s="11" t="str">
        <f t="shared" si="15"/>
        <v>5302075,3300072,3300072</v>
      </c>
      <c r="R34" s="11">
        <v>130</v>
      </c>
      <c r="S34" s="11">
        <v>898250.4</v>
      </c>
      <c r="T34" s="11">
        <f>FLOOR(S34*1.3,1)</f>
        <v>1167725</v>
      </c>
      <c r="U34" s="11">
        <v>5302075</v>
      </c>
      <c r="V34" s="11">
        <v>3300072</v>
      </c>
      <c r="W34" s="11">
        <v>3300072</v>
      </c>
      <c r="X34" s="11">
        <v>7</v>
      </c>
      <c r="Y34" s="11">
        <v>7</v>
      </c>
      <c r="Z34" s="11">
        <v>7</v>
      </c>
      <c r="AA34" s="11">
        <f t="shared" si="17"/>
        <v>548</v>
      </c>
      <c r="AB34" s="11">
        <f t="shared" si="18"/>
        <v>548</v>
      </c>
      <c r="AC34" s="11">
        <f t="shared" si="19"/>
        <v>548</v>
      </c>
      <c r="AD34" s="11">
        <f t="shared" si="20"/>
        <v>389241.66666666669</v>
      </c>
      <c r="AE34" s="11">
        <f t="shared" si="20"/>
        <v>389241.66666666669</v>
      </c>
      <c r="AF34" s="11">
        <f t="shared" si="20"/>
        <v>389241.66666666669</v>
      </c>
      <c r="AM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3"/>
      <c r="BA34" s="3"/>
      <c r="BB34" s="3"/>
      <c r="BC34" s="3"/>
      <c r="BF34" s="12">
        <v>6</v>
      </c>
      <c r="BG34" s="12">
        <v>652</v>
      </c>
      <c r="BH34" s="12">
        <f ca="1">(BH30+BH30*0.1*$BH$34)*3</f>
        <v>5163.6000000000004</v>
      </c>
      <c r="BI34" s="12">
        <f ca="1">(BI30+BI30*0.1*$BH$34)*3</f>
        <v>381312</v>
      </c>
      <c r="BJ34" s="12">
        <f ca="1">(BJ30+BJ30*0.1*$BH$34)*3</f>
        <v>3972</v>
      </c>
      <c r="BT34" s="3">
        <v>4301041</v>
      </c>
      <c r="BU34" s="3">
        <f>[1]monsters!$N34</f>
        <v>138.24</v>
      </c>
      <c r="BV34" s="3">
        <f>[1]monsters!$O34</f>
        <v>13.82</v>
      </c>
      <c r="BW34" s="3">
        <f>[1]monsters!$P34</f>
        <v>1706.67</v>
      </c>
      <c r="BX34" s="3">
        <f>[1]monsters!$Q34</f>
        <v>170.67</v>
      </c>
      <c r="BY34" s="3">
        <f>[1]monsters!$R34</f>
        <v>27.65</v>
      </c>
      <c r="BZ34" s="3">
        <f>[1]monsters!$S34</f>
        <v>2.76</v>
      </c>
      <c r="CA34" s="3">
        <f>[1]monsters!$K34</f>
        <v>1.8</v>
      </c>
      <c r="CB34" s="12">
        <f>[1]monsters!$D34</f>
        <v>2</v>
      </c>
      <c r="CC34" s="12">
        <f t="shared" ca="1" si="2"/>
        <v>0.1</v>
      </c>
      <c r="CD34" s="12">
        <f t="shared" ca="1" si="21"/>
        <v>62.3835647586981</v>
      </c>
      <c r="CE34" s="12">
        <f t="shared" ca="1" si="22"/>
        <v>6.2383564758698098</v>
      </c>
      <c r="CF34" s="12">
        <v>1057</v>
      </c>
      <c r="CG34" s="29">
        <v>4</v>
      </c>
      <c r="CH34" s="12">
        <v>10012</v>
      </c>
      <c r="CI34" s="28">
        <v>3</v>
      </c>
      <c r="CJ34" s="12">
        <v>1023</v>
      </c>
      <c r="CK34" s="30">
        <v>5</v>
      </c>
      <c r="CL34" s="12">
        <v>10050</v>
      </c>
      <c r="CM34" s="28">
        <v>3</v>
      </c>
      <c r="CS34" s="3">
        <v>31</v>
      </c>
      <c r="CT34" s="3">
        <f t="shared" si="24"/>
        <v>23030</v>
      </c>
      <c r="CV34" s="3">
        <f t="shared" ca="1" si="3"/>
        <v>5302062</v>
      </c>
      <c r="CW34" s="3">
        <f t="shared" ca="1" si="4"/>
        <v>5402062</v>
      </c>
      <c r="CX34" s="3">
        <f t="shared" ca="1" si="5"/>
        <v>5600062</v>
      </c>
      <c r="CY34" s="11">
        <v>6</v>
      </c>
      <c r="CZ34" s="11">
        <v>6</v>
      </c>
      <c r="DA34" s="11">
        <v>6</v>
      </c>
      <c r="DB34" s="12">
        <f t="shared" ca="1" si="23"/>
        <v>302</v>
      </c>
      <c r="DC34" s="12">
        <f t="shared" ca="1" si="23"/>
        <v>402</v>
      </c>
      <c r="DD34" s="12">
        <f t="shared" ca="1" si="23"/>
        <v>600</v>
      </c>
      <c r="DE34" s="12">
        <f t="shared" ca="1" si="7"/>
        <v>0</v>
      </c>
      <c r="DF34" s="12">
        <f t="shared" ca="1" si="7"/>
        <v>0</v>
      </c>
      <c r="DG34" s="12">
        <f t="shared" ca="1" si="7"/>
        <v>0</v>
      </c>
      <c r="DH34" s="11">
        <v>5</v>
      </c>
      <c r="DI34" s="11">
        <v>5</v>
      </c>
      <c r="DJ34" s="11">
        <v>5</v>
      </c>
      <c r="DK34" s="12">
        <v>2</v>
      </c>
      <c r="DL34" s="12">
        <v>2</v>
      </c>
      <c r="DM34" s="12">
        <v>2</v>
      </c>
      <c r="DN34" s="3">
        <v>4301041</v>
      </c>
      <c r="DS34" s="21">
        <f t="shared" ca="1" si="8"/>
        <v>5302062</v>
      </c>
      <c r="DT34" s="21">
        <f t="shared" ca="1" si="9"/>
        <v>5402062</v>
      </c>
      <c r="DU34" s="21">
        <f t="shared" ca="1" si="10"/>
        <v>5600062</v>
      </c>
      <c r="DW34" s="11">
        <v>130</v>
      </c>
    </row>
    <row r="35" spans="1:127" ht="13.5" customHeight="1">
      <c r="A35" s="6">
        <v>32</v>
      </c>
      <c r="B35" s="11">
        <v>4</v>
      </c>
      <c r="C35" s="6">
        <v>8</v>
      </c>
      <c r="D35" s="11">
        <v>160</v>
      </c>
      <c r="E35" s="6">
        <f t="shared" si="11"/>
        <v>2251094</v>
      </c>
      <c r="F35" s="6">
        <v>1001</v>
      </c>
      <c r="G35" s="7" t="str">
        <f t="shared" si="12"/>
        <v>5302075,3300072,3300072</v>
      </c>
      <c r="H35" s="7" t="str">
        <f t="shared" si="13"/>
        <v>7,7,7</v>
      </c>
      <c r="I35" s="7" t="str">
        <f t="shared" si="14"/>
        <v>765,765,765</v>
      </c>
      <c r="J35" s="11">
        <v>160</v>
      </c>
      <c r="K35" s="16" t="s">
        <v>128</v>
      </c>
      <c r="L35" s="16" t="s">
        <v>129</v>
      </c>
      <c r="M35" s="16" t="s">
        <v>130</v>
      </c>
      <c r="N35" s="16" t="s">
        <v>130</v>
      </c>
      <c r="O35" s="42" t="s">
        <v>139</v>
      </c>
      <c r="Q35" s="11" t="str">
        <f t="shared" si="15"/>
        <v>5302075,3300072,3300072</v>
      </c>
      <c r="R35" s="11">
        <v>160</v>
      </c>
      <c r="S35" s="11">
        <v>1731610.8</v>
      </c>
      <c r="T35" s="11">
        <f>FLOOR(S35*1.3,1)</f>
        <v>2251094</v>
      </c>
      <c r="U35" s="11">
        <v>5302075</v>
      </c>
      <c r="V35" s="11">
        <v>3300072</v>
      </c>
      <c r="W35" s="11">
        <v>3300072</v>
      </c>
      <c r="X35" s="11">
        <v>7</v>
      </c>
      <c r="Y35" s="11">
        <v>7</v>
      </c>
      <c r="Z35" s="11">
        <v>7</v>
      </c>
      <c r="AA35" s="11">
        <f t="shared" si="17"/>
        <v>765</v>
      </c>
      <c r="AB35" s="11">
        <f t="shared" si="18"/>
        <v>765</v>
      </c>
      <c r="AC35" s="11">
        <f t="shared" si="19"/>
        <v>765</v>
      </c>
      <c r="AD35" s="11">
        <f t="shared" si="20"/>
        <v>750364.66666666663</v>
      </c>
      <c r="AE35" s="11">
        <f t="shared" si="20"/>
        <v>750364.66666666663</v>
      </c>
      <c r="AF35" s="11">
        <f t="shared" si="20"/>
        <v>750364.66666666663</v>
      </c>
      <c r="AM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3"/>
      <c r="BA35" s="3"/>
      <c r="BB35" s="3"/>
      <c r="BC35" s="3"/>
      <c r="BT35" s="3">
        <v>4501041</v>
      </c>
      <c r="BU35" s="3">
        <f>[1]monsters!$N35</f>
        <v>92.16</v>
      </c>
      <c r="BV35" s="3">
        <f>[1]monsters!$O35</f>
        <v>9.2200000000000006</v>
      </c>
      <c r="BW35" s="3">
        <f>[1]monsters!$P35</f>
        <v>1706.67</v>
      </c>
      <c r="BX35" s="3">
        <f>[1]monsters!$Q35</f>
        <v>170.67</v>
      </c>
      <c r="BY35" s="3">
        <f>[1]monsters!$R35</f>
        <v>18.43</v>
      </c>
      <c r="BZ35" s="3">
        <f>[1]monsters!$S35</f>
        <v>1.84</v>
      </c>
      <c r="CA35" s="3">
        <f>[1]monsters!$K35</f>
        <v>1.2</v>
      </c>
      <c r="CB35" s="12">
        <f>[1]monsters!$D35</f>
        <v>3</v>
      </c>
      <c r="CC35" s="12">
        <f t="shared" ca="1" si="2"/>
        <v>0.1</v>
      </c>
      <c r="CD35" s="12">
        <f t="shared" ca="1" si="21"/>
        <v>74.372223569023603</v>
      </c>
      <c r="CE35" s="12">
        <f t="shared" ca="1" si="22"/>
        <v>7.4372223569023603</v>
      </c>
      <c r="CF35" s="12">
        <v>1062</v>
      </c>
      <c r="CG35" s="29">
        <v>4</v>
      </c>
      <c r="CH35" s="12">
        <v>10049</v>
      </c>
      <c r="CI35" s="28">
        <v>3</v>
      </c>
      <c r="CJ35" s="12">
        <v>1068</v>
      </c>
      <c r="CK35" s="30">
        <v>5</v>
      </c>
      <c r="CL35" s="12">
        <v>10053</v>
      </c>
      <c r="CM35" s="28">
        <v>3</v>
      </c>
      <c r="CS35" s="3">
        <v>32</v>
      </c>
      <c r="CT35" s="3">
        <f t="shared" si="24"/>
        <v>25210</v>
      </c>
      <c r="CV35" s="3">
        <f t="shared" ca="1" si="3"/>
        <v>5401072</v>
      </c>
      <c r="CW35" s="3">
        <f t="shared" ca="1" si="4"/>
        <v>5202072</v>
      </c>
      <c r="CX35" s="3">
        <f t="shared" ca="1" si="5"/>
        <v>5201072</v>
      </c>
      <c r="CY35" s="11">
        <v>7</v>
      </c>
      <c r="CZ35" s="11">
        <v>7</v>
      </c>
      <c r="DA35" s="11">
        <v>7</v>
      </c>
      <c r="DB35" s="12">
        <f t="shared" ca="1" si="23"/>
        <v>401</v>
      </c>
      <c r="DC35" s="12">
        <f t="shared" ca="1" si="23"/>
        <v>202</v>
      </c>
      <c r="DD35" s="12">
        <f t="shared" ca="1" si="23"/>
        <v>201</v>
      </c>
      <c r="DE35" s="12">
        <f t="shared" ca="1" si="7"/>
        <v>0</v>
      </c>
      <c r="DF35" s="12">
        <f t="shared" ca="1" si="7"/>
        <v>0</v>
      </c>
      <c r="DG35" s="12">
        <f t="shared" ca="1" si="7"/>
        <v>0</v>
      </c>
      <c r="DH35" s="11">
        <v>5</v>
      </c>
      <c r="DI35" s="11">
        <v>5</v>
      </c>
      <c r="DJ35" s="11">
        <v>5</v>
      </c>
      <c r="DK35" s="12">
        <v>2</v>
      </c>
      <c r="DL35" s="12">
        <v>2</v>
      </c>
      <c r="DM35" s="12">
        <v>2</v>
      </c>
      <c r="DN35" s="3">
        <v>4501041</v>
      </c>
      <c r="DS35" s="21">
        <f t="shared" ca="1" si="8"/>
        <v>5401072</v>
      </c>
      <c r="DT35" s="21">
        <f t="shared" ca="1" si="9"/>
        <v>5202072</v>
      </c>
      <c r="DU35" s="21">
        <f t="shared" ca="1" si="10"/>
        <v>5201072</v>
      </c>
      <c r="DW35" s="11">
        <v>160</v>
      </c>
    </row>
    <row r="36" spans="1:127" ht="13.5" customHeight="1"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3"/>
      <c r="BA36" s="3"/>
      <c r="BB36" s="3"/>
      <c r="BC36" s="3"/>
      <c r="BT36" s="3">
        <v>4202041</v>
      </c>
      <c r="BU36" s="3">
        <f>[1]monsters!$N36</f>
        <v>167.25</v>
      </c>
      <c r="BV36" s="3">
        <f>[1]monsters!$O36</f>
        <v>16.73</v>
      </c>
      <c r="BW36" s="3">
        <f>[1]monsters!$P36</f>
        <v>1097.1400000000001</v>
      </c>
      <c r="BX36" s="3">
        <f>[1]monsters!$Q36</f>
        <v>109.71</v>
      </c>
      <c r="BY36" s="3">
        <f>[1]monsters!$R36</f>
        <v>20.91</v>
      </c>
      <c r="BZ36" s="3">
        <f>[1]monsters!$S36</f>
        <v>2.09</v>
      </c>
      <c r="CA36" s="3">
        <f>[1]monsters!$K36</f>
        <v>1.4000000000000001</v>
      </c>
      <c r="CB36" s="12">
        <f>[1]monsters!$D36</f>
        <v>5</v>
      </c>
      <c r="CC36" s="12">
        <f t="shared" ca="1" si="2"/>
        <v>0.1</v>
      </c>
      <c r="CD36" s="12">
        <f t="shared" ca="1" si="21"/>
        <v>77.689535353535305</v>
      </c>
      <c r="CE36" s="12">
        <f t="shared" ca="1" si="22"/>
        <v>7.7689535353535399</v>
      </c>
      <c r="CF36" s="12">
        <v>1064</v>
      </c>
      <c r="CG36" s="29">
        <v>4</v>
      </c>
      <c r="CH36" s="12">
        <v>10054</v>
      </c>
      <c r="CI36" s="28">
        <v>3</v>
      </c>
      <c r="CJ36" s="12">
        <v>1070</v>
      </c>
      <c r="CK36" s="30">
        <v>5</v>
      </c>
      <c r="CL36" s="12">
        <v>10018</v>
      </c>
      <c r="CM36" s="29">
        <v>4</v>
      </c>
      <c r="CS36" s="32"/>
      <c r="CT36" s="32"/>
      <c r="CU36" s="33"/>
      <c r="CV36" s="32"/>
      <c r="CW36" s="32"/>
      <c r="CX36" s="32"/>
      <c r="CY36" s="34"/>
      <c r="CZ36" s="35"/>
      <c r="DA36" s="34"/>
      <c r="DB36" s="33"/>
      <c r="DC36" s="33"/>
      <c r="DD36" s="33"/>
      <c r="DE36" s="33"/>
      <c r="DF36" s="33"/>
      <c r="DG36" s="33"/>
      <c r="DH36" s="34"/>
      <c r="DI36" s="35"/>
      <c r="DJ36" s="34"/>
      <c r="DK36" s="33"/>
      <c r="DL36" s="33"/>
      <c r="DM36" s="33"/>
      <c r="DN36" s="3">
        <v>4202041</v>
      </c>
      <c r="DS36" s="21"/>
      <c r="DT36" s="21"/>
      <c r="DU36" s="21"/>
    </row>
    <row r="37" spans="1:127" ht="13.5" customHeight="1"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3"/>
      <c r="BA37" s="3"/>
      <c r="BB37" s="3"/>
      <c r="BC37" s="3"/>
      <c r="BI37" s="12">
        <v>3.12</v>
      </c>
      <c r="BJ37" s="12">
        <v>1.88</v>
      </c>
      <c r="BT37" s="3">
        <v>4200042</v>
      </c>
      <c r="BU37" s="3">
        <f>[1]monsters!$N37</f>
        <v>122.88</v>
      </c>
      <c r="BV37" s="3">
        <f>[1]monsters!$O37</f>
        <v>12.29</v>
      </c>
      <c r="BW37" s="3">
        <f>[1]monsters!$P37</f>
        <v>1920</v>
      </c>
      <c r="BX37" s="3">
        <f>[1]monsters!$Q37</f>
        <v>192</v>
      </c>
      <c r="BY37" s="3">
        <f>[1]monsters!$R37</f>
        <v>40.96</v>
      </c>
      <c r="BZ37" s="3">
        <f>[1]monsters!$S37</f>
        <v>4.0999999999999996</v>
      </c>
      <c r="CA37" s="3">
        <f>[1]monsters!$K37</f>
        <v>1.8</v>
      </c>
      <c r="CB37" s="12">
        <f>[1]monsters!$D37</f>
        <v>2</v>
      </c>
      <c r="CC37" s="12">
        <f t="shared" ca="1" si="2"/>
        <v>0.1</v>
      </c>
      <c r="CD37" s="12">
        <f t="shared" ca="1" si="21"/>
        <v>67.105535353535302</v>
      </c>
      <c r="CE37" s="12">
        <f t="shared" ca="1" si="22"/>
        <v>6.7105535353535304</v>
      </c>
      <c r="CF37" s="12">
        <v>1021</v>
      </c>
      <c r="CG37" s="30">
        <v>5</v>
      </c>
      <c r="CH37" s="12">
        <v>10016</v>
      </c>
      <c r="CI37" s="29">
        <v>4</v>
      </c>
      <c r="CJ37" s="12">
        <v>1073</v>
      </c>
      <c r="CK37" s="30">
        <v>5</v>
      </c>
      <c r="CL37" s="12">
        <v>10019</v>
      </c>
      <c r="CM37" s="29">
        <v>4</v>
      </c>
      <c r="CS37" s="32"/>
      <c r="CT37" s="32"/>
      <c r="CU37" s="33"/>
      <c r="CV37" s="32"/>
      <c r="CW37" s="32"/>
      <c r="CX37" s="32"/>
      <c r="CY37" s="34"/>
      <c r="CZ37" s="35"/>
      <c r="DA37" s="34"/>
      <c r="DB37" s="33"/>
      <c r="DC37" s="33"/>
      <c r="DD37" s="33"/>
      <c r="DE37" s="33"/>
      <c r="DF37" s="33"/>
      <c r="DG37" s="33"/>
      <c r="DH37" s="34"/>
      <c r="DI37" s="35"/>
      <c r="DJ37" s="34"/>
      <c r="DK37" s="33"/>
      <c r="DL37" s="33"/>
      <c r="DM37" s="33"/>
      <c r="DN37" s="3">
        <v>4200042</v>
      </c>
      <c r="DS37" s="21"/>
      <c r="DT37" s="21"/>
      <c r="DU37" s="21"/>
    </row>
    <row r="38" spans="1:127" ht="13.5" customHeight="1"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3"/>
      <c r="BA38" s="3"/>
      <c r="BB38" s="3"/>
      <c r="BC38" s="3"/>
      <c r="BI38" s="12">
        <v>1</v>
      </c>
      <c r="BJ38" s="12">
        <v>20</v>
      </c>
      <c r="BT38" s="3">
        <v>4300042</v>
      </c>
      <c r="BU38" s="3">
        <f>[1]monsters!$N38</f>
        <v>179.2</v>
      </c>
      <c r="BV38" s="3">
        <f>[1]monsters!$O38</f>
        <v>17.920000000000002</v>
      </c>
      <c r="BW38" s="3">
        <f>[1]monsters!$P38</f>
        <v>1097.1400000000001</v>
      </c>
      <c r="BX38" s="3">
        <f>[1]monsters!$Q38</f>
        <v>109.71</v>
      </c>
      <c r="BY38" s="3">
        <f>[1]monsters!$R38</f>
        <v>22.4</v>
      </c>
      <c r="BZ38" s="3">
        <f>[1]monsters!$S38</f>
        <v>2.2400000000000002</v>
      </c>
      <c r="CA38" s="3">
        <f>[1]monsters!$K38</f>
        <v>1.5</v>
      </c>
      <c r="CB38" s="12">
        <f>[1]monsters!$D38</f>
        <v>5</v>
      </c>
      <c r="CC38" s="12">
        <f t="shared" ca="1" si="2"/>
        <v>0.1</v>
      </c>
      <c r="CD38" s="12">
        <f t="shared" ca="1" si="21"/>
        <v>62.3835647586981</v>
      </c>
      <c r="CE38" s="12">
        <f t="shared" ca="1" si="22"/>
        <v>6.2383564758698098</v>
      </c>
      <c r="CF38" s="12">
        <v>1022</v>
      </c>
      <c r="CG38" s="30">
        <v>5</v>
      </c>
      <c r="CH38" s="12">
        <v>10017</v>
      </c>
      <c r="CI38" s="29">
        <v>4</v>
      </c>
      <c r="CJ38" s="12">
        <v>1075</v>
      </c>
      <c r="CK38" s="30">
        <v>5</v>
      </c>
      <c r="CL38" s="12">
        <v>10060</v>
      </c>
      <c r="CM38" s="29">
        <v>4</v>
      </c>
      <c r="CS38" s="32"/>
      <c r="CT38" s="32"/>
      <c r="CU38" s="33"/>
      <c r="CV38" s="32"/>
      <c r="CW38" s="32"/>
      <c r="CX38" s="32"/>
      <c r="CY38" s="34"/>
      <c r="CZ38" s="35"/>
      <c r="DA38" s="34"/>
      <c r="DB38" s="33"/>
      <c r="DC38" s="33"/>
      <c r="DD38" s="33"/>
      <c r="DE38" s="33"/>
      <c r="DF38" s="33"/>
      <c r="DG38" s="33"/>
      <c r="DH38" s="34"/>
      <c r="DI38" s="35"/>
      <c r="DJ38" s="34"/>
      <c r="DK38" s="33"/>
      <c r="DL38" s="33"/>
      <c r="DM38" s="33"/>
      <c r="DN38" s="3">
        <v>4300042</v>
      </c>
      <c r="DS38" s="21"/>
      <c r="DT38" s="21"/>
      <c r="DU38" s="21"/>
    </row>
    <row r="39" spans="1:127" ht="13.5" customHeight="1"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3"/>
      <c r="BA39" s="3"/>
      <c r="BB39" s="3"/>
      <c r="BC39" s="3"/>
      <c r="BI39" s="12">
        <f>BI37*BI38</f>
        <v>3.12</v>
      </c>
      <c r="BJ39" s="12">
        <f>BJ37*BJ38</f>
        <v>37.599999999999994</v>
      </c>
      <c r="BT39" s="3">
        <v>4402042</v>
      </c>
      <c r="BU39" s="3">
        <f>[1]monsters!$N39</f>
        <v>198.4</v>
      </c>
      <c r="BV39" s="3">
        <f>[1]monsters!$O39</f>
        <v>19.84</v>
      </c>
      <c r="BW39" s="3">
        <f>[1]monsters!$P39</f>
        <v>990.97</v>
      </c>
      <c r="BX39" s="3">
        <f>[1]monsters!$Q39</f>
        <v>99.1</v>
      </c>
      <c r="BY39" s="3">
        <f>[1]monsters!$R39</f>
        <v>19.84</v>
      </c>
      <c r="BZ39" s="3">
        <f>[1]monsters!$S39</f>
        <v>1.98</v>
      </c>
      <c r="CA39" s="3">
        <f>[1]monsters!$K39</f>
        <v>1.5</v>
      </c>
      <c r="CB39" s="12">
        <f>[1]monsters!$D39</f>
        <v>6</v>
      </c>
      <c r="CC39" s="12">
        <f t="shared" ca="1" si="2"/>
        <v>0.1</v>
      </c>
      <c r="CD39" s="12">
        <f t="shared" ca="1" si="21"/>
        <v>69.370662075298497</v>
      </c>
      <c r="CE39" s="12">
        <f t="shared" ca="1" si="22"/>
        <v>6.9370662075298499</v>
      </c>
      <c r="CF39" s="12">
        <v>1066</v>
      </c>
      <c r="CG39" s="30">
        <v>5</v>
      </c>
      <c r="CH39" s="12">
        <v>10056</v>
      </c>
      <c r="CI39" s="29">
        <v>4</v>
      </c>
      <c r="CJ39" s="12">
        <v>10004</v>
      </c>
      <c r="CK39" s="26">
        <v>1</v>
      </c>
      <c r="CL39" s="12">
        <v>10063</v>
      </c>
      <c r="CM39" s="29">
        <v>4</v>
      </c>
      <c r="CS39" s="32"/>
      <c r="CT39" s="32"/>
      <c r="CU39" s="33"/>
      <c r="CV39" s="32"/>
      <c r="CW39" s="32"/>
      <c r="CX39" s="32"/>
      <c r="CY39" s="34"/>
      <c r="CZ39" s="34"/>
      <c r="DA39" s="34"/>
      <c r="DB39" s="33"/>
      <c r="DC39" s="33"/>
      <c r="DD39" s="33"/>
      <c r="DE39" s="33"/>
      <c r="DF39" s="33"/>
      <c r="DG39" s="33"/>
      <c r="DH39" s="34"/>
      <c r="DI39" s="34"/>
      <c r="DJ39" s="34"/>
      <c r="DK39" s="34"/>
      <c r="DL39" s="34"/>
      <c r="DM39" s="34"/>
      <c r="DN39" s="3">
        <v>4402042</v>
      </c>
      <c r="DS39" s="21"/>
      <c r="DT39" s="21"/>
      <c r="DU39" s="21"/>
    </row>
    <row r="40" spans="1:127" ht="13.5" customHeight="1">
      <c r="B40" s="7" t="s">
        <v>21</v>
      </c>
      <c r="C40" s="7"/>
      <c r="D40" s="7" t="s">
        <v>140</v>
      </c>
      <c r="E40" s="7"/>
      <c r="F40" s="9">
        <v>1</v>
      </c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3"/>
      <c r="BA40" s="3"/>
      <c r="BB40" s="3"/>
      <c r="BC40" s="3"/>
      <c r="BT40" s="3">
        <v>4502042</v>
      </c>
      <c r="BU40" s="3">
        <f>[1]monsters!$N40</f>
        <v>128</v>
      </c>
      <c r="BV40" s="3">
        <f>[1]monsters!$O40</f>
        <v>12.8</v>
      </c>
      <c r="BW40" s="3">
        <f>[1]monsters!$P40</f>
        <v>1536</v>
      </c>
      <c r="BX40" s="3">
        <f>[1]monsters!$Q40</f>
        <v>153.6</v>
      </c>
      <c r="BY40" s="3">
        <f>[1]monsters!$R40</f>
        <v>32</v>
      </c>
      <c r="BZ40" s="3">
        <f>[1]monsters!$S40</f>
        <v>3.2</v>
      </c>
      <c r="CA40" s="3">
        <f>[1]monsters!$K40</f>
        <v>1.5</v>
      </c>
      <c r="CB40" s="12">
        <f>[1]monsters!$D40</f>
        <v>2</v>
      </c>
      <c r="CC40" s="12">
        <f t="shared" ca="1" si="2"/>
        <v>0.1</v>
      </c>
      <c r="CD40" s="12">
        <f t="shared" ca="1" si="21"/>
        <v>64.846623569023606</v>
      </c>
      <c r="CE40" s="12">
        <f t="shared" ca="1" si="22"/>
        <v>6.4846623569023603</v>
      </c>
      <c r="CF40" s="12">
        <v>1067</v>
      </c>
      <c r="CG40" s="30">
        <v>5</v>
      </c>
      <c r="CH40" s="12">
        <v>10057</v>
      </c>
      <c r="CI40" s="29">
        <v>4</v>
      </c>
      <c r="CJ40" s="12">
        <v>10028</v>
      </c>
      <c r="CK40" s="26">
        <v>1</v>
      </c>
      <c r="CL40" s="12">
        <v>10024</v>
      </c>
      <c r="CM40" s="30">
        <v>5</v>
      </c>
      <c r="CS40" s="32"/>
      <c r="CT40" s="32"/>
      <c r="CU40" s="33"/>
      <c r="CV40" s="32"/>
      <c r="CW40" s="32"/>
      <c r="CX40" s="32"/>
      <c r="CY40" s="34"/>
      <c r="CZ40" s="34"/>
      <c r="DA40" s="34"/>
      <c r="DB40" s="33"/>
      <c r="DC40" s="33"/>
      <c r="DD40" s="33"/>
      <c r="DE40" s="33"/>
      <c r="DF40" s="33"/>
      <c r="DG40" s="33"/>
      <c r="DH40" s="34"/>
      <c r="DI40" s="34"/>
      <c r="DJ40" s="34"/>
      <c r="DK40" s="34"/>
      <c r="DL40" s="34"/>
      <c r="DM40" s="34"/>
      <c r="DN40" s="3">
        <v>4502042</v>
      </c>
      <c r="DS40" s="21"/>
      <c r="DT40" s="21"/>
      <c r="DU40" s="21"/>
    </row>
    <row r="41" spans="1:127" ht="13.5" customHeight="1">
      <c r="B41" s="6"/>
      <c r="C41" s="6"/>
      <c r="D41" s="7" t="s">
        <v>141</v>
      </c>
      <c r="E41" s="7"/>
      <c r="F41" s="10">
        <v>2</v>
      </c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3"/>
      <c r="BA41" s="3"/>
      <c r="BB41" s="3"/>
      <c r="BC41" s="3"/>
      <c r="BI41" s="12">
        <f>34/(1-0.15)/3.3*2*8/6</f>
        <v>32.323232323232325</v>
      </c>
      <c r="BT41" s="3">
        <v>4602042</v>
      </c>
      <c r="BU41" s="3">
        <f>[1]monsters!$N41</f>
        <v>163.84</v>
      </c>
      <c r="BV41" s="3">
        <f>[1]monsters!$O41</f>
        <v>16.38</v>
      </c>
      <c r="BW41" s="3">
        <f>[1]monsters!$P41</f>
        <v>1280</v>
      </c>
      <c r="BX41" s="3">
        <f>[1]monsters!$Q41</f>
        <v>128</v>
      </c>
      <c r="BY41" s="3">
        <f>[1]monsters!$R41</f>
        <v>23.41</v>
      </c>
      <c r="BZ41" s="3">
        <f>[1]monsters!$S41</f>
        <v>2.34</v>
      </c>
      <c r="CA41" s="3">
        <f>[1]monsters!$K41</f>
        <v>1.6</v>
      </c>
      <c r="CB41" s="12">
        <f>[1]monsters!$D41</f>
        <v>4</v>
      </c>
      <c r="CC41" s="12">
        <f t="shared" ca="1" si="2"/>
        <v>0.1</v>
      </c>
      <c r="CD41" s="12">
        <f t="shared" ca="1" si="21"/>
        <v>81.202828282828307</v>
      </c>
      <c r="CE41" s="12">
        <f t="shared" ca="1" si="22"/>
        <v>8.1202828282828303</v>
      </c>
      <c r="CF41" s="12">
        <v>1072</v>
      </c>
      <c r="CG41" s="30">
        <v>5</v>
      </c>
      <c r="CH41" s="12">
        <v>10059</v>
      </c>
      <c r="CI41" s="29">
        <v>4</v>
      </c>
      <c r="CJ41" s="12">
        <v>10008</v>
      </c>
      <c r="CK41" s="27">
        <v>2</v>
      </c>
      <c r="CL41" s="12">
        <v>10070</v>
      </c>
      <c r="CM41" s="30">
        <v>5</v>
      </c>
      <c r="CS41" s="32"/>
      <c r="CT41" s="32"/>
      <c r="CU41" s="33"/>
      <c r="CV41" s="32"/>
      <c r="CW41" s="32"/>
      <c r="CX41" s="32"/>
      <c r="CY41" s="34"/>
      <c r="CZ41" s="34"/>
      <c r="DA41" s="34"/>
      <c r="DB41" s="33"/>
      <c r="DC41" s="33"/>
      <c r="DD41" s="33"/>
      <c r="DE41" s="33"/>
      <c r="DF41" s="33"/>
      <c r="DG41" s="33"/>
      <c r="DH41" s="34"/>
      <c r="DI41" s="34"/>
      <c r="DJ41" s="34"/>
      <c r="DK41" s="34"/>
      <c r="DL41" s="34"/>
      <c r="DM41" s="34"/>
      <c r="DN41" s="3">
        <v>4602042</v>
      </c>
      <c r="DS41" s="21"/>
      <c r="DT41" s="21"/>
      <c r="DU41" s="21"/>
    </row>
    <row r="42" spans="1:127" ht="13.5" customHeight="1">
      <c r="B42" s="6"/>
      <c r="C42" s="6"/>
      <c r="D42" s="7" t="s">
        <v>142</v>
      </c>
      <c r="E42" s="7"/>
      <c r="F42" s="10">
        <v>3</v>
      </c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3"/>
      <c r="BA42" s="3"/>
      <c r="BB42" s="3"/>
      <c r="BC42" s="3"/>
      <c r="BI42" s="21" t="s">
        <v>143</v>
      </c>
      <c r="BT42" s="3">
        <v>4601042</v>
      </c>
      <c r="BU42" s="3">
        <f>[1]monsters!$N42</f>
        <v>153.6</v>
      </c>
      <c r="BV42" s="3">
        <f>[1]monsters!$O42</f>
        <v>15.36</v>
      </c>
      <c r="BW42" s="3">
        <f>[1]monsters!$P42</f>
        <v>1280</v>
      </c>
      <c r="BX42" s="3">
        <f>[1]monsters!$Q42</f>
        <v>128</v>
      </c>
      <c r="BY42" s="3">
        <f>[1]monsters!$R42</f>
        <v>21.94</v>
      </c>
      <c r="BZ42" s="3">
        <f>[1]monsters!$S42</f>
        <v>2.19</v>
      </c>
      <c r="CA42" s="3">
        <f>[1]monsters!$K42</f>
        <v>1.5</v>
      </c>
      <c r="CB42" s="12">
        <f>[1]monsters!$D42</f>
        <v>4</v>
      </c>
      <c r="CC42" s="12">
        <f t="shared" ca="1" si="2"/>
        <v>0.1</v>
      </c>
      <c r="CD42" s="12">
        <f t="shared" ca="1" si="21"/>
        <v>67.972828282828303</v>
      </c>
      <c r="CE42" s="12">
        <f t="shared" ca="1" si="22"/>
        <v>6.7972828282828299</v>
      </c>
      <c r="CF42" s="12">
        <v>1074</v>
      </c>
      <c r="CG42" s="30">
        <v>5</v>
      </c>
      <c r="CH42" s="12">
        <v>10062</v>
      </c>
      <c r="CI42" s="29">
        <v>4</v>
      </c>
      <c r="CJ42" s="12">
        <v>10009</v>
      </c>
      <c r="CK42" s="27">
        <v>2</v>
      </c>
      <c r="CL42" s="12">
        <v>10073</v>
      </c>
      <c r="CM42" s="30">
        <v>5</v>
      </c>
      <c r="CS42" s="32"/>
      <c r="CT42" s="32"/>
      <c r="CU42" s="33"/>
      <c r="CV42" s="32"/>
      <c r="CW42" s="32"/>
      <c r="CX42" s="32"/>
      <c r="CY42" s="34"/>
      <c r="CZ42" s="34"/>
      <c r="DA42" s="34"/>
      <c r="DB42" s="33"/>
      <c r="DC42" s="33"/>
      <c r="DD42" s="33"/>
      <c r="DE42" s="33"/>
      <c r="DF42" s="33"/>
      <c r="DG42" s="33"/>
      <c r="DH42" s="34"/>
      <c r="DI42" s="34"/>
      <c r="DJ42" s="34"/>
      <c r="DK42" s="34"/>
      <c r="DL42" s="34"/>
      <c r="DM42" s="34"/>
      <c r="DN42" s="3">
        <v>4601042</v>
      </c>
      <c r="DS42" s="21"/>
      <c r="DT42" s="21"/>
      <c r="DU42" s="21"/>
    </row>
    <row r="43" spans="1:127" ht="13.5" customHeight="1">
      <c r="B43" s="6"/>
      <c r="C43" s="6"/>
      <c r="D43" s="7" t="s">
        <v>144</v>
      </c>
      <c r="E43" s="7"/>
      <c r="F43" s="10">
        <v>4</v>
      </c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3"/>
      <c r="BA43" s="3"/>
      <c r="BB43" s="3"/>
      <c r="BC43" s="3"/>
      <c r="BT43" s="3">
        <v>4500042</v>
      </c>
      <c r="BU43" s="3">
        <f>[1]monsters!$N43</f>
        <v>191.15</v>
      </c>
      <c r="BV43" s="3">
        <f>[1]monsters!$O43</f>
        <v>19.11</v>
      </c>
      <c r="BW43" s="3">
        <f>[1]monsters!$P43</f>
        <v>1097.1400000000001</v>
      </c>
      <c r="BX43" s="3">
        <f>[1]monsters!$Q43</f>
        <v>109.71</v>
      </c>
      <c r="BY43" s="3">
        <f>[1]monsters!$R43</f>
        <v>23.89</v>
      </c>
      <c r="BZ43" s="3">
        <f>[1]monsters!$S43</f>
        <v>2.39</v>
      </c>
      <c r="CA43" s="3">
        <f>[1]monsters!$K43</f>
        <v>1.6</v>
      </c>
      <c r="CB43" s="12">
        <f>[1]monsters!$D43</f>
        <v>5</v>
      </c>
      <c r="CC43" s="12">
        <f t="shared" ca="1" si="2"/>
        <v>0.1</v>
      </c>
      <c r="CD43" s="12">
        <f t="shared" ca="1" si="21"/>
        <v>64.846623569023606</v>
      </c>
      <c r="CE43" s="12">
        <f t="shared" ca="1" si="22"/>
        <v>6.4846623569023603</v>
      </c>
      <c r="CF43" s="12">
        <v>10001</v>
      </c>
      <c r="CG43" s="26">
        <v>1</v>
      </c>
      <c r="CH43" s="12">
        <v>10064</v>
      </c>
      <c r="CI43" s="29">
        <v>4</v>
      </c>
      <c r="CJ43" s="12">
        <v>10038</v>
      </c>
      <c r="CK43" s="27">
        <v>2</v>
      </c>
      <c r="CL43" s="12">
        <v>10075</v>
      </c>
      <c r="CM43" s="30">
        <v>5</v>
      </c>
      <c r="CS43" s="32"/>
      <c r="CT43" s="32"/>
      <c r="CU43" s="33"/>
      <c r="CV43" s="32"/>
      <c r="CW43" s="32"/>
      <c r="CX43" s="32"/>
      <c r="CY43" s="34"/>
      <c r="CZ43" s="34"/>
      <c r="DA43" s="34"/>
      <c r="DB43" s="33"/>
      <c r="DC43" s="33"/>
      <c r="DD43" s="33"/>
      <c r="DE43" s="33"/>
      <c r="DF43" s="33"/>
      <c r="DG43" s="33"/>
      <c r="DH43" s="34"/>
      <c r="DI43" s="34"/>
      <c r="DJ43" s="34"/>
      <c r="DK43" s="34"/>
      <c r="DL43" s="34"/>
      <c r="DM43" s="34"/>
      <c r="DN43" s="3">
        <v>4500042</v>
      </c>
      <c r="DS43" s="21"/>
      <c r="DT43" s="21"/>
      <c r="DU43" s="21"/>
    </row>
    <row r="44" spans="1:127" ht="13.5" customHeight="1"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3"/>
      <c r="BA44" s="3"/>
      <c r="BB44" s="3"/>
      <c r="BC44" s="3"/>
      <c r="BT44" s="3">
        <v>4301042</v>
      </c>
      <c r="BU44" s="3">
        <f>[1]monsters!$N44</f>
        <v>185.17</v>
      </c>
      <c r="BV44" s="3">
        <f>[1]monsters!$O44</f>
        <v>18.52</v>
      </c>
      <c r="BW44" s="3">
        <f>[1]monsters!$P44</f>
        <v>990.97</v>
      </c>
      <c r="BX44" s="3">
        <f>[1]monsters!$Q44</f>
        <v>99.1</v>
      </c>
      <c r="BY44" s="3">
        <f>[1]monsters!$R44</f>
        <v>18.52</v>
      </c>
      <c r="BZ44" s="3">
        <f>[1]monsters!$S44</f>
        <v>1.85</v>
      </c>
      <c r="CA44" s="3">
        <f>[1]monsters!$K44</f>
        <v>1.4000000000000001</v>
      </c>
      <c r="CB44" s="12">
        <f>[1]monsters!$D44</f>
        <v>6</v>
      </c>
      <c r="CC44" s="12">
        <f t="shared" ca="1" si="2"/>
        <v>0.1</v>
      </c>
      <c r="CD44" s="12">
        <f t="shared" ca="1" si="21"/>
        <v>62.3835647586981</v>
      </c>
      <c r="CE44" s="12">
        <f t="shared" ca="1" si="22"/>
        <v>6.2383564758698098</v>
      </c>
      <c r="CF44" s="12">
        <v>10026</v>
      </c>
      <c r="CG44" s="26">
        <v>1</v>
      </c>
      <c r="CH44" s="12">
        <v>10066</v>
      </c>
      <c r="CI44" s="30">
        <v>5</v>
      </c>
      <c r="CJ44" s="12">
        <v>10014</v>
      </c>
      <c r="CK44" s="28">
        <v>3</v>
      </c>
      <c r="CS44" s="32"/>
      <c r="CT44" s="32"/>
      <c r="CU44" s="33"/>
      <c r="CV44" s="32"/>
      <c r="CW44" s="32"/>
      <c r="CX44" s="32"/>
      <c r="CY44" s="34"/>
      <c r="CZ44" s="34"/>
      <c r="DA44" s="34"/>
      <c r="DB44" s="33"/>
      <c r="DC44" s="33"/>
      <c r="DD44" s="33"/>
      <c r="DE44" s="33"/>
      <c r="DF44" s="33"/>
      <c r="DG44" s="33"/>
      <c r="DH44" s="34"/>
      <c r="DI44" s="34"/>
      <c r="DJ44" s="34"/>
      <c r="DK44" s="34"/>
      <c r="DL44" s="34"/>
      <c r="DM44" s="34"/>
      <c r="DN44" s="3">
        <v>4301042</v>
      </c>
      <c r="DS44" s="21"/>
      <c r="DT44" s="21"/>
      <c r="DU44" s="21"/>
    </row>
    <row r="45" spans="1:127" ht="13.5" customHeight="1">
      <c r="L45" s="6">
        <v>20</v>
      </c>
      <c r="M45" s="6">
        <v>20</v>
      </c>
      <c r="N45" s="6">
        <v>20</v>
      </c>
      <c r="O45" s="39">
        <v>20</v>
      </c>
      <c r="P45" s="6">
        <v>20</v>
      </c>
      <c r="Q45" s="6">
        <v>20</v>
      </c>
      <c r="R45" s="17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3"/>
      <c r="BA45" s="3"/>
      <c r="BB45" s="3"/>
      <c r="BC45" s="3"/>
      <c r="BT45" s="3">
        <v>4202043</v>
      </c>
      <c r="BU45" s="3">
        <f>[1]monsters!$N45</f>
        <v>238.08</v>
      </c>
      <c r="BV45" s="3">
        <f>[1]monsters!$O45</f>
        <v>23.81</v>
      </c>
      <c r="BW45" s="3">
        <f>[1]monsters!$P45</f>
        <v>990.97</v>
      </c>
      <c r="BX45" s="3">
        <f>[1]monsters!$Q45</f>
        <v>99.1</v>
      </c>
      <c r="BY45" s="3">
        <f>[1]monsters!$R45</f>
        <v>23.81</v>
      </c>
      <c r="BZ45" s="3">
        <f>[1]monsters!$S45</f>
        <v>2.38</v>
      </c>
      <c r="CA45" s="3">
        <f>[1]monsters!$K45</f>
        <v>1.8</v>
      </c>
      <c r="CB45" s="12">
        <f>[1]monsters!$D45</f>
        <v>6</v>
      </c>
      <c r="CC45" s="12">
        <f t="shared" ca="1" si="2"/>
        <v>0.1</v>
      </c>
      <c r="CD45" s="12">
        <f t="shared" ca="1" si="21"/>
        <v>77.689535353535305</v>
      </c>
      <c r="CE45" s="12">
        <f t="shared" ca="1" si="22"/>
        <v>7.7689535353535399</v>
      </c>
      <c r="CF45" s="12">
        <v>10027</v>
      </c>
      <c r="CG45" s="26">
        <v>1</v>
      </c>
      <c r="CH45" s="12">
        <v>10067</v>
      </c>
      <c r="CI45" s="30">
        <v>5</v>
      </c>
      <c r="CJ45" s="12">
        <v>10055</v>
      </c>
      <c r="CK45" s="28">
        <v>3</v>
      </c>
      <c r="CS45" s="32"/>
      <c r="CT45" s="32"/>
      <c r="CU45" s="33"/>
      <c r="CV45" s="32"/>
      <c r="CW45" s="32"/>
      <c r="CX45" s="32"/>
      <c r="CY45" s="34"/>
      <c r="CZ45" s="34"/>
      <c r="DA45" s="34"/>
      <c r="DB45" s="33"/>
      <c r="DC45" s="33"/>
      <c r="DD45" s="33"/>
      <c r="DE45" s="33"/>
      <c r="DF45" s="33"/>
      <c r="DG45" s="33"/>
      <c r="DH45" s="34"/>
      <c r="DI45" s="34"/>
      <c r="DJ45" s="34"/>
      <c r="DK45" s="34"/>
      <c r="DL45" s="34"/>
      <c r="DM45" s="34"/>
      <c r="DN45" s="3">
        <v>4202043</v>
      </c>
      <c r="DS45" s="21"/>
      <c r="DT45" s="21"/>
      <c r="DU45" s="21"/>
    </row>
    <row r="46" spans="1:127" ht="13.5" customHeight="1">
      <c r="L46" s="6">
        <v>40</v>
      </c>
      <c r="M46" s="6">
        <v>40</v>
      </c>
      <c r="N46" s="6">
        <v>40</v>
      </c>
      <c r="O46" s="39">
        <v>40</v>
      </c>
      <c r="P46" s="6">
        <v>40</v>
      </c>
      <c r="Q46" s="6">
        <v>40</v>
      </c>
      <c r="R46" s="17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3"/>
      <c r="BA46" s="3"/>
      <c r="BB46" s="3"/>
      <c r="BC46" s="3"/>
      <c r="BT46" s="3">
        <v>4302043</v>
      </c>
      <c r="BU46" s="3">
        <f>[1]monsters!$N46</f>
        <v>99.84</v>
      </c>
      <c r="BV46" s="3">
        <f>[1]monsters!$O46</f>
        <v>9.98</v>
      </c>
      <c r="BW46" s="3">
        <f>[1]monsters!$P46</f>
        <v>1706.67</v>
      </c>
      <c r="BX46" s="3">
        <f>[1]monsters!$Q46</f>
        <v>170.67</v>
      </c>
      <c r="BY46" s="3">
        <f>[1]monsters!$R46</f>
        <v>19.97</v>
      </c>
      <c r="BZ46" s="3">
        <f>[1]monsters!$S46</f>
        <v>2</v>
      </c>
      <c r="CA46" s="3">
        <f>[1]monsters!$K46</f>
        <v>1.3</v>
      </c>
      <c r="CB46" s="12">
        <f>[1]monsters!$D46</f>
        <v>3</v>
      </c>
      <c r="CC46" s="12">
        <f t="shared" ca="1" si="2"/>
        <v>0.1</v>
      </c>
      <c r="CD46" s="12">
        <f t="shared" ca="1" si="21"/>
        <v>60.0021647586981</v>
      </c>
      <c r="CE46" s="12">
        <f t="shared" ca="1" si="22"/>
        <v>6.0002164758698102</v>
      </c>
      <c r="CF46" s="12">
        <v>10031</v>
      </c>
      <c r="CG46" s="26">
        <v>1</v>
      </c>
      <c r="CH46" s="12">
        <v>10069</v>
      </c>
      <c r="CI46" s="30">
        <v>5</v>
      </c>
      <c r="CJ46" s="12">
        <v>10058</v>
      </c>
      <c r="CK46" s="29">
        <v>4</v>
      </c>
      <c r="CS46" s="32"/>
      <c r="CT46" s="32"/>
      <c r="CU46" s="33"/>
      <c r="CV46" s="32"/>
      <c r="CW46" s="32"/>
      <c r="CX46" s="32"/>
      <c r="CY46" s="34"/>
      <c r="CZ46" s="34"/>
      <c r="DA46" s="34"/>
      <c r="DB46" s="33"/>
      <c r="DC46" s="33"/>
      <c r="DD46" s="33"/>
      <c r="DE46" s="33"/>
      <c r="DF46" s="33"/>
      <c r="DG46" s="33"/>
      <c r="DH46" s="34"/>
      <c r="DI46" s="34"/>
      <c r="DJ46" s="34"/>
      <c r="DK46" s="34"/>
      <c r="DL46" s="34"/>
      <c r="DM46" s="34"/>
      <c r="DN46" s="3">
        <v>4302043</v>
      </c>
      <c r="DS46" s="21"/>
      <c r="DT46" s="21"/>
      <c r="DU46" s="21"/>
    </row>
    <row r="47" spans="1:127" ht="13.5" customHeight="1">
      <c r="L47" s="6">
        <v>60</v>
      </c>
      <c r="M47" s="6">
        <v>60</v>
      </c>
      <c r="N47" s="6">
        <v>60</v>
      </c>
      <c r="O47" s="39">
        <v>60</v>
      </c>
      <c r="P47" s="6">
        <v>60</v>
      </c>
      <c r="Q47" s="6">
        <v>60</v>
      </c>
      <c r="R47" s="17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3"/>
      <c r="BA47" s="3"/>
      <c r="BB47" s="3"/>
      <c r="BC47" s="3"/>
      <c r="BT47" s="3">
        <v>4400043</v>
      </c>
      <c r="BU47" s="3">
        <f>[1]monsters!$N47</f>
        <v>107.52</v>
      </c>
      <c r="BV47" s="3">
        <f>[1]monsters!$O47</f>
        <v>10.75</v>
      </c>
      <c r="BW47" s="3">
        <f>[1]monsters!$P47</f>
        <v>1706.67</v>
      </c>
      <c r="BX47" s="3">
        <f>[1]monsters!$Q47</f>
        <v>170.67</v>
      </c>
      <c r="BY47" s="3">
        <f>[1]monsters!$R47</f>
        <v>21.5</v>
      </c>
      <c r="BZ47" s="3">
        <f>[1]monsters!$S47</f>
        <v>2.15</v>
      </c>
      <c r="CA47" s="3">
        <f>[1]monsters!$K47</f>
        <v>1.4000000000000001</v>
      </c>
      <c r="CB47" s="12">
        <f>[1]monsters!$D47</f>
        <v>3</v>
      </c>
      <c r="CC47" s="12">
        <f t="shared" ca="1" si="2"/>
        <v>0.1</v>
      </c>
      <c r="CD47" s="12">
        <f t="shared" ca="1" si="21"/>
        <v>60.638862075298398</v>
      </c>
      <c r="CE47" s="12">
        <f t="shared" ca="1" si="22"/>
        <v>6.0638862075298396</v>
      </c>
      <c r="CF47" s="12">
        <v>10006</v>
      </c>
      <c r="CG47" s="27">
        <v>2</v>
      </c>
      <c r="CH47" s="12">
        <v>10072</v>
      </c>
      <c r="CI47" s="30">
        <v>5</v>
      </c>
      <c r="CJ47" s="12">
        <v>10065</v>
      </c>
      <c r="CK47" s="29">
        <v>4</v>
      </c>
      <c r="CS47" s="32"/>
      <c r="CT47" s="32"/>
      <c r="CU47" s="33"/>
      <c r="CV47" s="32"/>
      <c r="CW47" s="32"/>
      <c r="CX47" s="32"/>
      <c r="CY47" s="34"/>
      <c r="CZ47" s="34"/>
      <c r="DA47" s="34"/>
      <c r="DB47" s="33"/>
      <c r="DC47" s="33"/>
      <c r="DD47" s="33"/>
      <c r="DE47" s="33"/>
      <c r="DF47" s="33"/>
      <c r="DG47" s="33"/>
      <c r="DH47" s="34"/>
      <c r="DI47" s="34"/>
      <c r="DJ47" s="34"/>
      <c r="DK47" s="34"/>
      <c r="DL47" s="34"/>
      <c r="DM47" s="34"/>
      <c r="DN47" s="3">
        <v>4400043</v>
      </c>
      <c r="DS47" s="21"/>
      <c r="DT47" s="21"/>
      <c r="DU47" s="21"/>
    </row>
    <row r="48" spans="1:127" ht="13.5" customHeight="1">
      <c r="L48" s="6">
        <v>80</v>
      </c>
      <c r="M48" s="6">
        <v>80</v>
      </c>
      <c r="N48" s="6">
        <v>80</v>
      </c>
      <c r="O48" s="39">
        <v>80</v>
      </c>
      <c r="P48" s="6">
        <v>80</v>
      </c>
      <c r="Q48" s="6">
        <v>80</v>
      </c>
      <c r="R48" s="17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3"/>
      <c r="BA48" s="3"/>
      <c r="BB48" s="3"/>
      <c r="BC48" s="3"/>
      <c r="BT48" s="3">
        <v>4501043</v>
      </c>
      <c r="BU48" s="3">
        <f>[1]monsters!$N48</f>
        <v>143.36000000000001</v>
      </c>
      <c r="BV48" s="3">
        <f>[1]monsters!$O48</f>
        <v>14.34</v>
      </c>
      <c r="BW48" s="3">
        <f>[1]monsters!$P48</f>
        <v>1280</v>
      </c>
      <c r="BX48" s="3">
        <f>[1]monsters!$Q48</f>
        <v>128</v>
      </c>
      <c r="BY48" s="3">
        <f>[1]monsters!$R48</f>
        <v>20.48</v>
      </c>
      <c r="BZ48" s="3">
        <f>[1]monsters!$S48</f>
        <v>2.0499999999999998</v>
      </c>
      <c r="CA48" s="3">
        <f>[1]monsters!$K48</f>
        <v>1.4000000000000001</v>
      </c>
      <c r="CB48" s="12">
        <f>[1]monsters!$D48</f>
        <v>4</v>
      </c>
      <c r="CC48" s="12">
        <f t="shared" ca="1" si="2"/>
        <v>0.1</v>
      </c>
      <c r="CD48" s="12">
        <f t="shared" ca="1" si="21"/>
        <v>74.372223569023603</v>
      </c>
      <c r="CE48" s="12">
        <f t="shared" ca="1" si="22"/>
        <v>7.4372223569023603</v>
      </c>
      <c r="CF48" s="12">
        <v>10007</v>
      </c>
      <c r="CG48" s="27">
        <v>2</v>
      </c>
      <c r="CH48" s="12">
        <v>10074</v>
      </c>
      <c r="CI48" s="30">
        <v>5</v>
      </c>
      <c r="CJ48" s="12">
        <v>10023</v>
      </c>
      <c r="CK48" s="30">
        <v>5</v>
      </c>
      <c r="CS48" s="32"/>
      <c r="CT48" s="32"/>
      <c r="CU48" s="33"/>
      <c r="CV48" s="32"/>
      <c r="CW48" s="32"/>
      <c r="CX48" s="32"/>
      <c r="CY48" s="34"/>
      <c r="CZ48" s="34"/>
      <c r="DA48" s="34"/>
      <c r="DB48" s="33"/>
      <c r="DC48" s="33"/>
      <c r="DD48" s="33"/>
      <c r="DE48" s="33"/>
      <c r="DF48" s="33"/>
      <c r="DG48" s="33"/>
      <c r="DH48" s="34"/>
      <c r="DI48" s="34"/>
      <c r="DJ48" s="34"/>
      <c r="DK48" s="34"/>
      <c r="DL48" s="34"/>
      <c r="DM48" s="34"/>
      <c r="DN48" s="3">
        <v>4501043</v>
      </c>
      <c r="DS48" s="21"/>
      <c r="DT48" s="21"/>
      <c r="DU48" s="21"/>
    </row>
    <row r="49" spans="4:125" ht="13.5" customHeight="1">
      <c r="L49" s="9">
        <v>100</v>
      </c>
      <c r="M49" s="9">
        <v>100</v>
      </c>
      <c r="N49" s="9">
        <v>100</v>
      </c>
      <c r="O49" s="43">
        <v>100</v>
      </c>
      <c r="P49" s="9">
        <v>100</v>
      </c>
      <c r="Q49" s="9">
        <v>100</v>
      </c>
      <c r="R49" s="18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3"/>
      <c r="BA49" s="3"/>
      <c r="BB49" s="3"/>
      <c r="BC49" s="3"/>
      <c r="BT49" s="3">
        <v>4600043</v>
      </c>
      <c r="BU49" s="3">
        <f>[1]monsters!$N49</f>
        <v>155.52000000000001</v>
      </c>
      <c r="BV49" s="3">
        <f>[1]monsters!$O49</f>
        <v>15.55</v>
      </c>
      <c r="BW49" s="3">
        <f>[1]monsters!$P49</f>
        <v>1920</v>
      </c>
      <c r="BX49" s="3">
        <f>[1]monsters!$Q49</f>
        <v>192</v>
      </c>
      <c r="BY49" s="3">
        <f>[1]monsters!$R49</f>
        <v>31.1</v>
      </c>
      <c r="BZ49" s="3">
        <f>[1]monsters!$S49</f>
        <v>3.11</v>
      </c>
      <c r="CA49" s="3">
        <f>[1]monsters!$K49</f>
        <v>1.8</v>
      </c>
      <c r="CB49" s="12">
        <f>[1]monsters!$D49</f>
        <v>2</v>
      </c>
      <c r="CC49" s="12">
        <f t="shared" ca="1" si="2"/>
        <v>0.1</v>
      </c>
      <c r="CD49" s="12">
        <f t="shared" ca="1" si="21"/>
        <v>62.680828282828301</v>
      </c>
      <c r="CE49" s="12">
        <f t="shared" ca="1" si="22"/>
        <v>6.2680828282828296</v>
      </c>
      <c r="CF49" s="12">
        <v>10037</v>
      </c>
      <c r="CG49" s="27">
        <v>2</v>
      </c>
      <c r="CJ49" s="12">
        <v>10068</v>
      </c>
      <c r="CK49" s="30">
        <v>5</v>
      </c>
      <c r="CS49" s="32"/>
      <c r="CT49" s="32"/>
      <c r="CU49" s="33"/>
      <c r="CV49" s="32"/>
      <c r="CW49" s="32"/>
      <c r="CX49" s="32"/>
      <c r="CY49" s="34"/>
      <c r="CZ49" s="34"/>
      <c r="DA49" s="34"/>
      <c r="DB49" s="33"/>
      <c r="DC49" s="33"/>
      <c r="DD49" s="33"/>
      <c r="DE49" s="33"/>
      <c r="DF49" s="33"/>
      <c r="DG49" s="33"/>
      <c r="DH49" s="34"/>
      <c r="DI49" s="34"/>
      <c r="DJ49" s="34"/>
      <c r="DK49" s="34"/>
      <c r="DL49" s="34"/>
      <c r="DM49" s="34"/>
      <c r="DN49" s="3">
        <v>4600043</v>
      </c>
      <c r="DS49" s="21"/>
      <c r="DT49" s="21"/>
      <c r="DU49" s="21"/>
    </row>
    <row r="50" spans="4:125" ht="13.5" customHeight="1">
      <c r="L50" s="9">
        <v>120</v>
      </c>
      <c r="M50" s="9">
        <v>120</v>
      </c>
      <c r="N50" s="9">
        <v>120</v>
      </c>
      <c r="O50" s="43">
        <v>120</v>
      </c>
      <c r="P50" s="9">
        <v>120</v>
      </c>
      <c r="Q50" s="9">
        <v>120</v>
      </c>
      <c r="R50" s="18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3"/>
      <c r="BA50" s="3"/>
      <c r="BB50" s="3"/>
      <c r="BC50" s="3"/>
      <c r="BT50" s="3">
        <v>4201043</v>
      </c>
      <c r="BU50" s="3">
        <f>[1]monsters!$N50</f>
        <v>103.68</v>
      </c>
      <c r="BV50" s="3">
        <f>[1]monsters!$O50</f>
        <v>10.37</v>
      </c>
      <c r="BW50" s="3">
        <f>[1]monsters!$P50</f>
        <v>1920</v>
      </c>
      <c r="BX50" s="3">
        <f>[1]monsters!$Q50</f>
        <v>192</v>
      </c>
      <c r="BY50" s="3">
        <f>[1]monsters!$R50</f>
        <v>20.74</v>
      </c>
      <c r="BZ50" s="3">
        <f>[1]monsters!$S50</f>
        <v>2.0699999999999998</v>
      </c>
      <c r="CA50" s="3">
        <f>[1]monsters!$K50</f>
        <v>1.2</v>
      </c>
      <c r="CB50" s="12">
        <f>[1]monsters!$D50</f>
        <v>3</v>
      </c>
      <c r="CC50" s="12">
        <f t="shared" ca="1" si="2"/>
        <v>0.1</v>
      </c>
      <c r="CD50" s="12">
        <f t="shared" ca="1" si="21"/>
        <v>77.689535353535305</v>
      </c>
      <c r="CE50" s="12">
        <f t="shared" ca="1" si="22"/>
        <v>7.7689535353535399</v>
      </c>
      <c r="CF50" s="12">
        <v>10041</v>
      </c>
      <c r="CG50" s="27">
        <v>2</v>
      </c>
      <c r="CS50" s="32"/>
      <c r="CT50" s="32"/>
      <c r="CU50" s="33"/>
      <c r="CV50" s="32"/>
      <c r="CW50" s="32"/>
      <c r="CX50" s="32"/>
      <c r="CY50" s="34"/>
      <c r="CZ50" s="34"/>
      <c r="DA50" s="34"/>
      <c r="DB50" s="33"/>
      <c r="DC50" s="33"/>
      <c r="DD50" s="33"/>
      <c r="DE50" s="33"/>
      <c r="DF50" s="33"/>
      <c r="DG50" s="33"/>
      <c r="DH50" s="34"/>
      <c r="DI50" s="34"/>
      <c r="DJ50" s="34"/>
      <c r="DK50" s="34"/>
      <c r="DL50" s="34"/>
      <c r="DM50" s="34"/>
      <c r="DN50" s="3">
        <v>4201043</v>
      </c>
      <c r="DS50" s="21"/>
      <c r="DT50" s="21"/>
      <c r="DU50" s="21"/>
    </row>
    <row r="51" spans="4:125" ht="13.5" customHeight="1">
      <c r="L51" s="9">
        <v>140</v>
      </c>
      <c r="M51" s="9">
        <v>140</v>
      </c>
      <c r="N51" s="9">
        <v>140</v>
      </c>
      <c r="O51" s="43">
        <v>140</v>
      </c>
      <c r="P51" s="9">
        <v>140</v>
      </c>
      <c r="Q51" s="9">
        <v>140</v>
      </c>
      <c r="R51" s="18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3"/>
      <c r="BA51" s="3"/>
      <c r="BB51" s="3"/>
      <c r="BC51" s="3"/>
      <c r="BT51" s="3">
        <v>4502043</v>
      </c>
      <c r="BU51" s="3">
        <f>[1]monsters!$N51</f>
        <v>188.16</v>
      </c>
      <c r="BV51" s="3">
        <f>[1]monsters!$O51</f>
        <v>18.82</v>
      </c>
      <c r="BW51" s="3">
        <f>[1]monsters!$P51</f>
        <v>1234.29</v>
      </c>
      <c r="BX51" s="3">
        <f>[1]monsters!$Q51</f>
        <v>123.43</v>
      </c>
      <c r="BY51" s="3">
        <f>[1]monsters!$R51</f>
        <v>23.52</v>
      </c>
      <c r="BZ51" s="3">
        <f>[1]monsters!$S51</f>
        <v>2.35</v>
      </c>
      <c r="CA51" s="3">
        <f>[1]monsters!$K51</f>
        <v>1.4000000000000001</v>
      </c>
      <c r="CB51" s="12">
        <f>[1]monsters!$D51</f>
        <v>5</v>
      </c>
      <c r="CC51" s="12">
        <f t="shared" ca="1" si="2"/>
        <v>0.1</v>
      </c>
      <c r="CD51" s="12">
        <f t="shared" ca="1" si="21"/>
        <v>64.846623569023606</v>
      </c>
      <c r="CE51" s="12">
        <f t="shared" ca="1" si="22"/>
        <v>6.4846623569023603</v>
      </c>
      <c r="CF51" s="12">
        <v>10011</v>
      </c>
      <c r="CG51" s="28">
        <v>3</v>
      </c>
      <c r="CS51" s="32"/>
      <c r="CT51" s="32"/>
      <c r="CU51" s="33"/>
      <c r="CV51" s="32"/>
      <c r="CW51" s="32"/>
      <c r="CX51" s="32"/>
      <c r="CY51" s="34"/>
      <c r="CZ51" s="34"/>
      <c r="DA51" s="34"/>
      <c r="DB51" s="33"/>
      <c r="DC51" s="33"/>
      <c r="DD51" s="33"/>
      <c r="DE51" s="33"/>
      <c r="DF51" s="33"/>
      <c r="DG51" s="33"/>
      <c r="DH51" s="34"/>
      <c r="DI51" s="34"/>
      <c r="DJ51" s="34"/>
      <c r="DK51" s="34"/>
      <c r="DL51" s="34"/>
      <c r="DM51" s="34"/>
      <c r="DN51" s="3">
        <v>4502043</v>
      </c>
      <c r="DS51" s="21"/>
      <c r="DT51" s="21"/>
      <c r="DU51" s="21"/>
    </row>
    <row r="52" spans="4:125" ht="13.5" customHeight="1">
      <c r="D52" s="6">
        <v>20</v>
      </c>
      <c r="L52" s="9">
        <v>180</v>
      </c>
      <c r="M52" s="9">
        <v>180</v>
      </c>
      <c r="N52" s="9">
        <v>180</v>
      </c>
      <c r="O52" s="43">
        <v>180</v>
      </c>
      <c r="P52" s="9">
        <v>180</v>
      </c>
      <c r="Q52" s="9">
        <v>180</v>
      </c>
      <c r="R52" s="18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3"/>
      <c r="BA52" s="3"/>
      <c r="BB52" s="3"/>
      <c r="BC52" s="3"/>
      <c r="BT52" s="3">
        <v>4401043</v>
      </c>
      <c r="BU52" s="3">
        <f>[1]monsters!$N52</f>
        <v>138.24</v>
      </c>
      <c r="BV52" s="3">
        <f>[1]monsters!$O52</f>
        <v>13.82</v>
      </c>
      <c r="BW52" s="3">
        <f>[1]monsters!$P52</f>
        <v>2160</v>
      </c>
      <c r="BX52" s="3">
        <f>[1]monsters!$Q52</f>
        <v>216</v>
      </c>
      <c r="BY52" s="3">
        <f>[1]monsters!$R52</f>
        <v>46.08</v>
      </c>
      <c r="BZ52" s="3">
        <f>[1]monsters!$S52</f>
        <v>4.6100000000000003</v>
      </c>
      <c r="CA52" s="3">
        <f>[1]monsters!$K52</f>
        <v>1.8</v>
      </c>
      <c r="CB52" s="12">
        <f>[1]monsters!$D52</f>
        <v>2</v>
      </c>
      <c r="CC52" s="12">
        <f t="shared" ca="1" si="2"/>
        <v>0.1</v>
      </c>
      <c r="CD52" s="12">
        <f t="shared" ca="1" si="21"/>
        <v>69.370662075298497</v>
      </c>
      <c r="CE52" s="12">
        <f t="shared" ca="1" si="22"/>
        <v>6.9370662075298499</v>
      </c>
      <c r="CF52" s="12">
        <v>10046</v>
      </c>
      <c r="CG52" s="28">
        <v>3</v>
      </c>
      <c r="CS52" s="32"/>
      <c r="CT52" s="32"/>
      <c r="CU52" s="33"/>
      <c r="CV52" s="32"/>
      <c r="CW52" s="32"/>
      <c r="CX52" s="32"/>
      <c r="CY52" s="34"/>
      <c r="CZ52" s="34"/>
      <c r="DA52" s="34"/>
      <c r="DB52" s="33"/>
      <c r="DC52" s="33"/>
      <c r="DD52" s="33"/>
      <c r="DE52" s="33"/>
      <c r="DF52" s="33"/>
      <c r="DG52" s="33"/>
      <c r="DH52" s="34"/>
      <c r="DI52" s="34"/>
      <c r="DJ52" s="34"/>
      <c r="DK52" s="34"/>
      <c r="DL52" s="34"/>
      <c r="DM52" s="34"/>
      <c r="DN52" s="3">
        <v>4401043</v>
      </c>
      <c r="DS52" s="21"/>
      <c r="DT52" s="21"/>
      <c r="DU52" s="21"/>
    </row>
    <row r="53" spans="4:125" ht="13.5" customHeight="1">
      <c r="D53" s="6">
        <v>40</v>
      </c>
      <c r="L53" s="9">
        <v>35</v>
      </c>
      <c r="M53" s="9">
        <v>35</v>
      </c>
      <c r="N53" s="9">
        <v>35</v>
      </c>
      <c r="O53" s="43">
        <v>35</v>
      </c>
      <c r="P53" s="9">
        <v>35</v>
      </c>
      <c r="Q53" s="9">
        <v>35</v>
      </c>
      <c r="R53" s="18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3"/>
      <c r="BA53" s="3"/>
      <c r="BB53" s="3"/>
      <c r="BC53" s="3"/>
      <c r="BT53" s="3">
        <v>4201044</v>
      </c>
      <c r="BU53" s="3">
        <f>[1]monsters!$N53</f>
        <v>201.6</v>
      </c>
      <c r="BV53" s="3">
        <f>[1]monsters!$O53</f>
        <v>20.16</v>
      </c>
      <c r="BW53" s="3">
        <f>[1]monsters!$P53</f>
        <v>1234.29</v>
      </c>
      <c r="BX53" s="3">
        <f>[1]monsters!$Q53</f>
        <v>123.43</v>
      </c>
      <c r="BY53" s="3">
        <f>[1]monsters!$R53</f>
        <v>25.2</v>
      </c>
      <c r="BZ53" s="3">
        <f>[1]monsters!$S53</f>
        <v>2.52</v>
      </c>
      <c r="CA53" s="3">
        <f>[1]monsters!$K53</f>
        <v>1.5</v>
      </c>
      <c r="CB53" s="12">
        <f>[1]monsters!$D53</f>
        <v>5</v>
      </c>
      <c r="CC53" s="12">
        <f t="shared" ca="1" si="2"/>
        <v>0.1</v>
      </c>
      <c r="CD53" s="12">
        <f t="shared" ca="1" si="21"/>
        <v>77.689535353535305</v>
      </c>
      <c r="CE53" s="12">
        <f t="shared" ca="1" si="22"/>
        <v>7.7689535353535399</v>
      </c>
      <c r="CF53" s="12">
        <v>10047</v>
      </c>
      <c r="CG53" s="28">
        <v>3</v>
      </c>
      <c r="CS53" s="32"/>
      <c r="CT53" s="32"/>
      <c r="CU53" s="33"/>
      <c r="CV53" s="32"/>
      <c r="CW53" s="32"/>
      <c r="CX53" s="32"/>
      <c r="CY53" s="34"/>
      <c r="CZ53" s="34"/>
      <c r="DA53" s="34"/>
      <c r="DB53" s="33"/>
      <c r="DC53" s="33"/>
      <c r="DD53" s="33"/>
      <c r="DE53" s="33"/>
      <c r="DF53" s="33"/>
      <c r="DG53" s="33"/>
      <c r="DH53" s="34"/>
      <c r="DI53" s="34"/>
      <c r="DJ53" s="34"/>
      <c r="DK53" s="34"/>
      <c r="DL53" s="34"/>
      <c r="DM53" s="34"/>
      <c r="DN53" s="3">
        <v>4201044</v>
      </c>
      <c r="DS53" s="21"/>
      <c r="DT53" s="21"/>
      <c r="DU53" s="21"/>
    </row>
    <row r="54" spans="4:125" ht="13.5" customHeight="1">
      <c r="D54" s="6">
        <v>60</v>
      </c>
      <c r="L54" s="9">
        <v>55</v>
      </c>
      <c r="M54" s="9">
        <v>55</v>
      </c>
      <c r="N54" s="9">
        <v>55</v>
      </c>
      <c r="O54" s="43">
        <v>55</v>
      </c>
      <c r="P54" s="9">
        <v>55</v>
      </c>
      <c r="Q54" s="9">
        <v>55</v>
      </c>
      <c r="R54" s="18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3"/>
      <c r="BA54" s="3"/>
      <c r="BB54" s="3"/>
      <c r="BC54" s="3"/>
      <c r="BT54" s="3">
        <v>4301044</v>
      </c>
      <c r="BU54" s="3">
        <f>[1]monsters!$N54</f>
        <v>223.2</v>
      </c>
      <c r="BV54" s="3">
        <f>[1]monsters!$O54</f>
        <v>22.32</v>
      </c>
      <c r="BW54" s="3">
        <f>[1]monsters!$P54</f>
        <v>1114.8399999999999</v>
      </c>
      <c r="BX54" s="3">
        <f>[1]monsters!$Q54</f>
        <v>111.48</v>
      </c>
      <c r="BY54" s="3">
        <f>[1]monsters!$R54</f>
        <v>22.32</v>
      </c>
      <c r="BZ54" s="3">
        <f>[1]monsters!$S54</f>
        <v>2.23</v>
      </c>
      <c r="CA54" s="3">
        <f>[1]monsters!$K54</f>
        <v>1.5</v>
      </c>
      <c r="CB54" s="12">
        <f>[1]monsters!$D54</f>
        <v>6</v>
      </c>
      <c r="CC54" s="12">
        <f t="shared" ca="1" si="2"/>
        <v>0.1</v>
      </c>
      <c r="CD54" s="12">
        <f t="shared" ca="1" si="21"/>
        <v>62.3835647586981</v>
      </c>
      <c r="CE54" s="12">
        <f t="shared" ca="1" si="22"/>
        <v>6.2383564758698098</v>
      </c>
      <c r="CF54" s="12">
        <v>10051</v>
      </c>
      <c r="CG54" s="28">
        <v>3</v>
      </c>
      <c r="CS54" s="32"/>
      <c r="CT54" s="32"/>
      <c r="CU54" s="33"/>
      <c r="CV54" s="32"/>
      <c r="CW54" s="32"/>
      <c r="CX54" s="32"/>
      <c r="CY54" s="34"/>
      <c r="CZ54" s="35"/>
      <c r="DA54" s="33"/>
      <c r="DB54" s="33"/>
      <c r="DC54" s="33"/>
      <c r="DD54" s="33"/>
      <c r="DE54" s="33"/>
      <c r="DF54" s="33"/>
      <c r="DG54" s="33"/>
      <c r="DH54" s="34"/>
      <c r="DI54" s="35"/>
      <c r="DJ54" s="33"/>
      <c r="DK54" s="34"/>
      <c r="DL54" s="34"/>
      <c r="DM54" s="34"/>
      <c r="DN54" s="3">
        <v>4301044</v>
      </c>
      <c r="DS54" s="21"/>
      <c r="DT54" s="21"/>
      <c r="DU54" s="21"/>
    </row>
    <row r="55" spans="4:125" ht="13.5" customHeight="1">
      <c r="D55" s="6">
        <v>75</v>
      </c>
      <c r="L55" s="10">
        <v>75</v>
      </c>
      <c r="M55" s="10">
        <v>75</v>
      </c>
      <c r="N55" s="10">
        <v>75</v>
      </c>
      <c r="O55" s="44">
        <v>75</v>
      </c>
      <c r="P55" s="10">
        <v>75</v>
      </c>
      <c r="Q55" s="10">
        <v>75</v>
      </c>
      <c r="R55" s="19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3"/>
      <c r="BA55" s="3"/>
      <c r="BB55" s="3"/>
      <c r="BC55" s="3"/>
      <c r="BT55" s="3">
        <v>4401044</v>
      </c>
      <c r="BU55" s="3">
        <f>[1]monsters!$N55</f>
        <v>144</v>
      </c>
      <c r="BV55" s="3">
        <f>[1]monsters!$O55</f>
        <v>14.4</v>
      </c>
      <c r="BW55" s="3">
        <f>[1]monsters!$P55</f>
        <v>1728</v>
      </c>
      <c r="BX55" s="3">
        <f>[1]monsters!$Q55</f>
        <v>172.8</v>
      </c>
      <c r="BY55" s="3">
        <f>[1]monsters!$R55</f>
        <v>36</v>
      </c>
      <c r="BZ55" s="3">
        <f>[1]monsters!$S55</f>
        <v>3.6</v>
      </c>
      <c r="CA55" s="3">
        <f>[1]monsters!$K55</f>
        <v>1.5</v>
      </c>
      <c r="CB55" s="12">
        <f>[1]monsters!$D55</f>
        <v>2</v>
      </c>
      <c r="CC55" s="12">
        <f t="shared" ca="1" si="2"/>
        <v>0.1</v>
      </c>
      <c r="CD55" s="12">
        <f t="shared" ca="1" si="21"/>
        <v>69.370662075298497</v>
      </c>
      <c r="CE55" s="12">
        <f t="shared" ca="1" si="22"/>
        <v>6.9370662075298499</v>
      </c>
      <c r="CF55" s="12">
        <v>10052</v>
      </c>
      <c r="CG55" s="28">
        <v>3</v>
      </c>
      <c r="CS55" s="32"/>
      <c r="CT55" s="32"/>
      <c r="CU55" s="33"/>
      <c r="CV55" s="32"/>
      <c r="CW55" s="32"/>
      <c r="CX55" s="32"/>
      <c r="CY55" s="34"/>
      <c r="CZ55" s="35"/>
      <c r="DA55" s="33"/>
      <c r="DB55" s="33"/>
      <c r="DC55" s="33"/>
      <c r="DD55" s="33"/>
      <c r="DE55" s="33"/>
      <c r="DF55" s="33"/>
      <c r="DG55" s="33"/>
      <c r="DH55" s="34"/>
      <c r="DI55" s="35"/>
      <c r="DJ55" s="33"/>
      <c r="DK55" s="34"/>
      <c r="DL55" s="34"/>
      <c r="DM55" s="34"/>
      <c r="DN55" s="3">
        <v>4401044</v>
      </c>
      <c r="DS55" s="21"/>
      <c r="DT55" s="21"/>
      <c r="DU55" s="21"/>
    </row>
    <row r="56" spans="4:125" ht="13.5" customHeight="1">
      <c r="D56" s="9">
        <v>90</v>
      </c>
      <c r="L56" s="10">
        <v>95</v>
      </c>
      <c r="M56" s="10">
        <v>95</v>
      </c>
      <c r="N56" s="10">
        <v>95</v>
      </c>
      <c r="O56" s="44">
        <v>95</v>
      </c>
      <c r="P56" s="10">
        <v>95</v>
      </c>
      <c r="Q56" s="10">
        <v>95</v>
      </c>
      <c r="R56" s="19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3"/>
      <c r="BA56" s="3"/>
      <c r="BB56" s="3"/>
      <c r="BC56" s="3"/>
      <c r="BT56" s="3">
        <v>4501044</v>
      </c>
      <c r="BU56" s="3">
        <f>[1]monsters!$N56</f>
        <v>184.32</v>
      </c>
      <c r="BV56" s="3">
        <f>[1]monsters!$O56</f>
        <v>18.43</v>
      </c>
      <c r="BW56" s="3">
        <f>[1]monsters!$P56</f>
        <v>1440</v>
      </c>
      <c r="BX56" s="3">
        <f>[1]monsters!$Q56</f>
        <v>144</v>
      </c>
      <c r="BY56" s="3">
        <f>[1]monsters!$R56</f>
        <v>26.33</v>
      </c>
      <c r="BZ56" s="3">
        <f>[1]monsters!$S56</f>
        <v>2.63</v>
      </c>
      <c r="CA56" s="3">
        <f>[1]monsters!$K56</f>
        <v>1.6</v>
      </c>
      <c r="CB56" s="12">
        <f>[1]monsters!$D56</f>
        <v>4</v>
      </c>
      <c r="CC56" s="12">
        <f t="shared" ca="1" si="2"/>
        <v>0.1</v>
      </c>
      <c r="CD56" s="12">
        <f t="shared" ca="1" si="21"/>
        <v>74.372223569023603</v>
      </c>
      <c r="CE56" s="12">
        <f t="shared" ca="1" si="22"/>
        <v>7.4372223569023603</v>
      </c>
      <c r="CF56" s="12">
        <v>10061</v>
      </c>
      <c r="CG56" s="29">
        <v>4</v>
      </c>
      <c r="CJ56" s="21"/>
      <c r="CS56" s="32"/>
      <c r="CT56" s="32"/>
      <c r="CU56" s="33"/>
      <c r="CV56" s="32"/>
      <c r="CW56" s="32"/>
      <c r="CX56" s="32"/>
      <c r="CY56" s="34"/>
      <c r="CZ56" s="35"/>
      <c r="DA56" s="33"/>
      <c r="DB56" s="33"/>
      <c r="DC56" s="33"/>
      <c r="DD56" s="33"/>
      <c r="DE56" s="33"/>
      <c r="DF56" s="33"/>
      <c r="DG56" s="33"/>
      <c r="DH56" s="34"/>
      <c r="DI56" s="35"/>
      <c r="DJ56" s="33"/>
      <c r="DK56" s="34"/>
      <c r="DL56" s="34"/>
      <c r="DM56" s="34"/>
      <c r="DN56" s="3">
        <v>4501044</v>
      </c>
      <c r="DS56" s="21"/>
      <c r="DT56" s="21"/>
      <c r="DU56" s="21"/>
    </row>
    <row r="57" spans="4:125" ht="13.5" customHeight="1">
      <c r="D57" s="9">
        <v>105</v>
      </c>
      <c r="L57" s="10">
        <v>115</v>
      </c>
      <c r="M57" s="10">
        <v>115</v>
      </c>
      <c r="N57" s="10">
        <v>115</v>
      </c>
      <c r="O57" s="44">
        <v>115</v>
      </c>
      <c r="P57" s="10">
        <v>115</v>
      </c>
      <c r="Q57" s="10">
        <v>115</v>
      </c>
      <c r="R57" s="19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3"/>
      <c r="BA57" s="3"/>
      <c r="BB57" s="3"/>
      <c r="BC57" s="3"/>
      <c r="BT57" s="3">
        <v>4601044</v>
      </c>
      <c r="BU57" s="3">
        <f>[1]monsters!$N57</f>
        <v>172.8</v>
      </c>
      <c r="BV57" s="3">
        <f>[1]monsters!$O57</f>
        <v>17.28</v>
      </c>
      <c r="BW57" s="3">
        <f>[1]monsters!$P57</f>
        <v>1440</v>
      </c>
      <c r="BX57" s="3">
        <f>[1]monsters!$Q57</f>
        <v>144</v>
      </c>
      <c r="BY57" s="3">
        <f>[1]monsters!$R57</f>
        <v>24.69</v>
      </c>
      <c r="BZ57" s="3">
        <f>[1]monsters!$S57</f>
        <v>2.4700000000000002</v>
      </c>
      <c r="CA57" s="3">
        <f>[1]monsters!$K57</f>
        <v>1.5</v>
      </c>
      <c r="CB57" s="12">
        <f>[1]monsters!$D57</f>
        <v>4</v>
      </c>
      <c r="CC57" s="12">
        <f t="shared" ca="1" si="2"/>
        <v>0.1</v>
      </c>
      <c r="CD57" s="12">
        <f t="shared" ca="1" si="21"/>
        <v>67.972828282828303</v>
      </c>
      <c r="CE57" s="12">
        <f t="shared" ca="1" si="22"/>
        <v>6.7972828282828299</v>
      </c>
      <c r="CF57" s="12">
        <v>10071</v>
      </c>
      <c r="CG57" s="30">
        <v>5</v>
      </c>
      <c r="CS57" s="32"/>
      <c r="CT57" s="32"/>
      <c r="CU57" s="33"/>
      <c r="CV57" s="32"/>
      <c r="CW57" s="32"/>
      <c r="CX57" s="32"/>
      <c r="CY57" s="34"/>
      <c r="CZ57" s="35"/>
      <c r="DA57" s="33"/>
      <c r="DB57" s="33"/>
      <c r="DC57" s="33"/>
      <c r="DD57" s="33"/>
      <c r="DE57" s="33"/>
      <c r="DF57" s="33"/>
      <c r="DG57" s="33"/>
      <c r="DH57" s="34"/>
      <c r="DI57" s="35"/>
      <c r="DJ57" s="33"/>
      <c r="DK57" s="34"/>
      <c r="DL57" s="34"/>
      <c r="DM57" s="34"/>
      <c r="DN57" s="3">
        <v>4601044</v>
      </c>
      <c r="DS57" s="21"/>
      <c r="DT57" s="21"/>
      <c r="DU57" s="21"/>
    </row>
    <row r="58" spans="4:125" ht="13.5" customHeight="1">
      <c r="D58" s="9">
        <v>120</v>
      </c>
      <c r="L58" s="11">
        <v>135</v>
      </c>
      <c r="M58" s="11">
        <v>135</v>
      </c>
      <c r="N58" s="11">
        <v>135</v>
      </c>
      <c r="O58" s="41">
        <v>135</v>
      </c>
      <c r="P58" s="11">
        <v>135</v>
      </c>
      <c r="Q58" s="11">
        <v>135</v>
      </c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3"/>
      <c r="BA58" s="3"/>
      <c r="BB58" s="3"/>
      <c r="BC58" s="3"/>
      <c r="BT58" s="3">
        <v>4502044</v>
      </c>
      <c r="BU58" s="3">
        <f>[1]monsters!$N58</f>
        <v>215.04</v>
      </c>
      <c r="BV58" s="3">
        <f>[1]monsters!$O58</f>
        <v>21.5</v>
      </c>
      <c r="BW58" s="3">
        <f>[1]monsters!$P58</f>
        <v>1234.29</v>
      </c>
      <c r="BX58" s="3">
        <f>[1]monsters!$Q58</f>
        <v>123.43</v>
      </c>
      <c r="BY58" s="3">
        <f>[1]monsters!$R58</f>
        <v>26.88</v>
      </c>
      <c r="BZ58" s="3">
        <f>[1]monsters!$S58</f>
        <v>2.69</v>
      </c>
      <c r="CA58" s="3">
        <f>[1]monsters!$K58</f>
        <v>1.6</v>
      </c>
      <c r="CB58" s="12">
        <f>[1]monsters!$D58</f>
        <v>5</v>
      </c>
      <c r="CC58" s="12">
        <f t="shared" ca="1" si="2"/>
        <v>0.1</v>
      </c>
      <c r="CD58" s="12">
        <f t="shared" ca="1" si="21"/>
        <v>64.846623569023606</v>
      </c>
      <c r="CE58" s="12">
        <f t="shared" ca="1" si="22"/>
        <v>6.4846623569023603</v>
      </c>
      <c r="CF58" s="12">
        <v>10021</v>
      </c>
      <c r="CG58" s="30">
        <v>5</v>
      </c>
      <c r="CS58" s="32"/>
      <c r="CT58" s="32"/>
      <c r="CU58" s="33"/>
      <c r="CV58" s="32"/>
      <c r="CW58" s="32"/>
      <c r="CX58" s="32"/>
      <c r="CY58" s="34"/>
      <c r="CZ58" s="35"/>
      <c r="DA58" s="33"/>
      <c r="DB58" s="33"/>
      <c r="DC58" s="33"/>
      <c r="DD58" s="33"/>
      <c r="DE58" s="33"/>
      <c r="DF58" s="33"/>
      <c r="DG58" s="33"/>
      <c r="DH58" s="34"/>
      <c r="DI58" s="35"/>
      <c r="DJ58" s="33"/>
      <c r="DK58" s="34"/>
      <c r="DL58" s="34"/>
      <c r="DM58" s="34"/>
      <c r="DN58" s="3">
        <v>4502044</v>
      </c>
      <c r="DS58" s="21"/>
      <c r="DT58" s="21"/>
      <c r="DU58" s="21"/>
    </row>
    <row r="59" spans="4:125" ht="13.5" customHeight="1">
      <c r="D59" s="9">
        <v>150</v>
      </c>
      <c r="L59" s="11">
        <v>155</v>
      </c>
      <c r="M59" s="11">
        <v>155</v>
      </c>
      <c r="N59" s="11">
        <v>155</v>
      </c>
      <c r="O59" s="41">
        <v>155</v>
      </c>
      <c r="P59" s="11">
        <v>155</v>
      </c>
      <c r="Q59" s="11">
        <v>155</v>
      </c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3"/>
      <c r="BA59" s="3"/>
      <c r="BB59" s="3"/>
      <c r="BC59" s="3"/>
      <c r="BT59" s="3">
        <v>4600044</v>
      </c>
      <c r="BU59" s="3">
        <f>[1]monsters!$N59</f>
        <v>208.32</v>
      </c>
      <c r="BV59" s="3">
        <f>[1]monsters!$O59</f>
        <v>20.83</v>
      </c>
      <c r="BW59" s="3">
        <f>[1]monsters!$P59</f>
        <v>1114.8399999999999</v>
      </c>
      <c r="BX59" s="3">
        <f>[1]monsters!$Q59</f>
        <v>111.48</v>
      </c>
      <c r="BY59" s="3">
        <f>[1]monsters!$R59</f>
        <v>20.83</v>
      </c>
      <c r="BZ59" s="3">
        <f>[1]monsters!$S59</f>
        <v>2.08</v>
      </c>
      <c r="CA59" s="3">
        <f>[1]monsters!$K59</f>
        <v>1.4000000000000001</v>
      </c>
      <c r="CB59" s="12">
        <f>[1]monsters!$D59</f>
        <v>6</v>
      </c>
      <c r="CC59" s="12">
        <f t="shared" ca="1" si="2"/>
        <v>0.1</v>
      </c>
      <c r="CD59" s="12">
        <f t="shared" ca="1" si="21"/>
        <v>62.680828282828301</v>
      </c>
      <c r="CE59" s="12">
        <f t="shared" ca="1" si="22"/>
        <v>6.2680828282828296</v>
      </c>
      <c r="CF59" s="12">
        <v>10022</v>
      </c>
      <c r="CG59" s="30">
        <v>5</v>
      </c>
      <c r="CS59" s="32"/>
      <c r="CT59" s="32"/>
      <c r="CU59" s="33"/>
      <c r="CV59" s="32"/>
      <c r="CW59" s="32"/>
      <c r="CX59" s="32"/>
      <c r="CY59" s="34"/>
      <c r="CZ59" s="35"/>
      <c r="DA59" s="33"/>
      <c r="DB59" s="33"/>
      <c r="DC59" s="33"/>
      <c r="DD59" s="33"/>
      <c r="DE59" s="33"/>
      <c r="DF59" s="33"/>
      <c r="DG59" s="33"/>
      <c r="DH59" s="34"/>
      <c r="DI59" s="35"/>
      <c r="DJ59" s="33"/>
      <c r="DK59" s="34"/>
      <c r="DL59" s="34"/>
      <c r="DM59" s="34"/>
      <c r="DN59" s="3">
        <v>4600044</v>
      </c>
      <c r="DS59" s="21"/>
      <c r="DT59" s="21"/>
      <c r="DU59" s="21"/>
    </row>
    <row r="60" spans="4:125" ht="13.5" customHeight="1">
      <c r="D60" s="9">
        <v>25</v>
      </c>
      <c r="L60" s="11">
        <v>175</v>
      </c>
      <c r="M60" s="11">
        <v>175</v>
      </c>
      <c r="N60" s="11">
        <v>175</v>
      </c>
      <c r="O60" s="41">
        <v>175</v>
      </c>
      <c r="P60" s="11">
        <v>175</v>
      </c>
      <c r="Q60" s="11">
        <v>175</v>
      </c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3"/>
      <c r="BA60" s="3"/>
      <c r="BB60" s="3"/>
      <c r="BC60" s="3"/>
      <c r="BT60" s="3">
        <v>4200044</v>
      </c>
      <c r="BU60" s="3">
        <f>[1]monsters!$N60</f>
        <v>267.83999999999997</v>
      </c>
      <c r="BV60" s="3">
        <f>[1]monsters!$O60</f>
        <v>26.78</v>
      </c>
      <c r="BW60" s="3">
        <f>[1]monsters!$P60</f>
        <v>1114.8399999999999</v>
      </c>
      <c r="BX60" s="3">
        <f>[1]monsters!$Q60</f>
        <v>111.48</v>
      </c>
      <c r="BY60" s="3">
        <f>[1]monsters!$R60</f>
        <v>26.78</v>
      </c>
      <c r="BZ60" s="3">
        <f>[1]monsters!$S60</f>
        <v>2.68</v>
      </c>
      <c r="CA60" s="3">
        <f>[1]monsters!$K60</f>
        <v>1.8</v>
      </c>
      <c r="CB60" s="12">
        <f>[1]monsters!$D60</f>
        <v>6</v>
      </c>
      <c r="CC60" s="12">
        <f t="shared" ca="1" si="2"/>
        <v>0.1</v>
      </c>
      <c r="CD60" s="12">
        <f t="shared" ca="1" si="21"/>
        <v>67.105535353535302</v>
      </c>
      <c r="CE60" s="12">
        <f t="shared" ca="1" si="22"/>
        <v>6.7105535353535304</v>
      </c>
      <c r="CS60" s="32"/>
      <c r="CT60" s="32"/>
      <c r="CU60" s="33"/>
      <c r="CV60" s="32"/>
      <c r="CW60" s="32"/>
      <c r="CX60" s="32"/>
      <c r="CY60" s="34"/>
      <c r="CZ60" s="35"/>
      <c r="DA60" s="33"/>
      <c r="DB60" s="33"/>
      <c r="DC60" s="33"/>
      <c r="DD60" s="33"/>
      <c r="DE60" s="33"/>
      <c r="DF60" s="33"/>
      <c r="DG60" s="33"/>
      <c r="DH60" s="34"/>
      <c r="DI60" s="35"/>
      <c r="DJ60" s="33"/>
      <c r="DK60" s="34"/>
      <c r="DL60" s="34"/>
      <c r="DM60" s="34"/>
      <c r="DN60" s="3">
        <v>4200044</v>
      </c>
      <c r="DS60" s="21"/>
      <c r="DT60" s="21"/>
      <c r="DU60" s="21"/>
    </row>
    <row r="61" spans="4:125" ht="13.5" customHeight="1">
      <c r="D61" s="9">
        <v>45</v>
      </c>
      <c r="L61" s="11">
        <v>45</v>
      </c>
      <c r="M61" s="11">
        <v>45</v>
      </c>
      <c r="N61" s="11">
        <v>45</v>
      </c>
      <c r="O61" s="41">
        <v>45</v>
      </c>
      <c r="P61" s="11">
        <v>45</v>
      </c>
      <c r="Q61" s="11">
        <v>45</v>
      </c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3"/>
      <c r="BA61" s="3"/>
      <c r="BB61" s="3"/>
      <c r="BC61" s="3"/>
      <c r="BT61" s="3">
        <v>4202045</v>
      </c>
      <c r="BU61" s="3">
        <f>[1]monsters!$N61</f>
        <v>112.32</v>
      </c>
      <c r="BV61" s="3">
        <f>[1]monsters!$O61</f>
        <v>11.23</v>
      </c>
      <c r="BW61" s="3">
        <f>[1]monsters!$P61</f>
        <v>1920</v>
      </c>
      <c r="BX61" s="3">
        <f>[1]monsters!$Q61</f>
        <v>192</v>
      </c>
      <c r="BY61" s="3">
        <f>[1]monsters!$R61</f>
        <v>22.46</v>
      </c>
      <c r="BZ61" s="3">
        <f>[1]monsters!$S61</f>
        <v>2.25</v>
      </c>
      <c r="CA61" s="3">
        <f>[1]monsters!$K61</f>
        <v>1.3</v>
      </c>
      <c r="CB61" s="12">
        <f>[1]monsters!$D61</f>
        <v>3</v>
      </c>
      <c r="CC61" s="12">
        <f t="shared" ca="1" si="2"/>
        <v>0.1</v>
      </c>
      <c r="CD61" s="12">
        <f t="shared" ca="1" si="21"/>
        <v>77.689535353535305</v>
      </c>
      <c r="CE61" s="12">
        <f t="shared" ca="1" si="22"/>
        <v>7.7689535353535399</v>
      </c>
      <c r="CS61" s="32"/>
      <c r="CT61" s="32"/>
      <c r="CU61" s="33"/>
      <c r="CV61" s="32"/>
      <c r="CW61" s="32"/>
      <c r="CX61" s="32"/>
      <c r="CY61" s="34"/>
      <c r="CZ61" s="35"/>
      <c r="DA61" s="33"/>
      <c r="DB61" s="33"/>
      <c r="DC61" s="33"/>
      <c r="DD61" s="33"/>
      <c r="DE61" s="33"/>
      <c r="DF61" s="33"/>
      <c r="DG61" s="33"/>
      <c r="DH61" s="34"/>
      <c r="DI61" s="35"/>
      <c r="DJ61" s="33"/>
      <c r="DK61" s="34"/>
      <c r="DL61" s="34"/>
      <c r="DM61" s="34"/>
      <c r="DN61" s="3">
        <v>4202045</v>
      </c>
      <c r="DS61" s="21"/>
      <c r="DT61" s="21"/>
      <c r="DU61" s="21"/>
    </row>
    <row r="62" spans="4:125" ht="13.5" customHeight="1">
      <c r="D62" s="10">
        <v>65</v>
      </c>
      <c r="L62" s="11">
        <v>65</v>
      </c>
      <c r="M62" s="11">
        <v>65</v>
      </c>
      <c r="N62" s="11">
        <v>65</v>
      </c>
      <c r="O62" s="41">
        <v>65</v>
      </c>
      <c r="P62" s="11">
        <v>65</v>
      </c>
      <c r="Q62" s="11">
        <v>65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3"/>
      <c r="BA62" s="3"/>
      <c r="BB62" s="3"/>
      <c r="BC62" s="3"/>
      <c r="BT62" s="3">
        <v>4302045</v>
      </c>
      <c r="BU62" s="3">
        <f>[1]monsters!$N62</f>
        <v>120.96</v>
      </c>
      <c r="BV62" s="3">
        <f>[1]monsters!$O62</f>
        <v>12.1</v>
      </c>
      <c r="BW62" s="3">
        <f>[1]monsters!$P62</f>
        <v>1920</v>
      </c>
      <c r="BX62" s="3">
        <f>[1]monsters!$Q62</f>
        <v>192</v>
      </c>
      <c r="BY62" s="3">
        <f>[1]monsters!$R62</f>
        <v>24.19</v>
      </c>
      <c r="BZ62" s="3">
        <f>[1]monsters!$S62</f>
        <v>2.42</v>
      </c>
      <c r="CA62" s="3">
        <f>[1]monsters!$K62</f>
        <v>1.4000000000000001</v>
      </c>
      <c r="CB62" s="12">
        <f>[1]monsters!$D62</f>
        <v>3</v>
      </c>
      <c r="CC62" s="12">
        <f t="shared" ca="1" si="2"/>
        <v>0.1</v>
      </c>
      <c r="CD62" s="12">
        <f t="shared" ca="1" si="21"/>
        <v>60.0021647586981</v>
      </c>
      <c r="CE62" s="12">
        <f t="shared" ca="1" si="22"/>
        <v>6.0002164758698102</v>
      </c>
      <c r="CS62" s="32"/>
      <c r="CT62" s="32"/>
      <c r="CU62" s="33"/>
      <c r="CV62" s="32"/>
      <c r="CW62" s="32"/>
      <c r="CX62" s="32"/>
      <c r="CY62" s="34"/>
      <c r="CZ62" s="35"/>
      <c r="DA62" s="33"/>
      <c r="DB62" s="33"/>
      <c r="DC62" s="33"/>
      <c r="DD62" s="33"/>
      <c r="DE62" s="33"/>
      <c r="DF62" s="33"/>
      <c r="DG62" s="33"/>
      <c r="DH62" s="34"/>
      <c r="DI62" s="35"/>
      <c r="DJ62" s="33"/>
      <c r="DK62" s="34"/>
      <c r="DL62" s="34"/>
      <c r="DM62" s="34"/>
      <c r="DN62" s="3">
        <v>4302045</v>
      </c>
      <c r="DS62" s="21"/>
      <c r="DT62" s="21"/>
      <c r="DU62" s="21"/>
    </row>
    <row r="63" spans="4:125" ht="13.5" customHeight="1">
      <c r="D63" s="10">
        <v>80</v>
      </c>
      <c r="L63" s="11">
        <v>85</v>
      </c>
      <c r="M63" s="11">
        <v>85</v>
      </c>
      <c r="N63" s="11">
        <v>85</v>
      </c>
      <c r="O63" s="41">
        <v>85</v>
      </c>
      <c r="P63" s="11">
        <v>85</v>
      </c>
      <c r="Q63" s="11">
        <v>85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3"/>
      <c r="BA63" s="3"/>
      <c r="BB63" s="3"/>
      <c r="BC63" s="3"/>
      <c r="BT63" s="3">
        <v>4400045</v>
      </c>
      <c r="BU63" s="3">
        <f>[1]monsters!$N63</f>
        <v>161.28</v>
      </c>
      <c r="BV63" s="3">
        <f>[1]monsters!$O63</f>
        <v>16.13</v>
      </c>
      <c r="BW63" s="3">
        <f>[1]monsters!$P63</f>
        <v>1440</v>
      </c>
      <c r="BX63" s="3">
        <f>[1]monsters!$Q63</f>
        <v>144</v>
      </c>
      <c r="BY63" s="3">
        <f>[1]monsters!$R63</f>
        <v>23.04</v>
      </c>
      <c r="BZ63" s="3">
        <f>[1]monsters!$S63</f>
        <v>2.2999999999999998</v>
      </c>
      <c r="CA63" s="3">
        <f>[1]monsters!$K63</f>
        <v>1.4000000000000001</v>
      </c>
      <c r="CB63" s="12">
        <f>[1]monsters!$D63</f>
        <v>4</v>
      </c>
      <c r="CC63" s="12">
        <f t="shared" ca="1" si="2"/>
        <v>0.1</v>
      </c>
      <c r="CD63" s="12">
        <f t="shared" ca="1" si="21"/>
        <v>60.638862075298398</v>
      </c>
      <c r="CE63" s="12">
        <f t="shared" ca="1" si="22"/>
        <v>6.0638862075298396</v>
      </c>
      <c r="CS63" s="32"/>
      <c r="CT63" s="32"/>
      <c r="CU63" s="33"/>
      <c r="CV63" s="32"/>
      <c r="CW63" s="32"/>
      <c r="CX63" s="32"/>
      <c r="CY63" s="34"/>
      <c r="CZ63" s="35"/>
      <c r="DA63" s="33"/>
      <c r="DB63" s="33"/>
      <c r="DC63" s="33"/>
      <c r="DD63" s="33"/>
      <c r="DE63" s="33"/>
      <c r="DF63" s="33"/>
      <c r="DG63" s="33"/>
      <c r="DH63" s="34"/>
      <c r="DI63" s="35"/>
      <c r="DJ63" s="33"/>
      <c r="DK63" s="34"/>
      <c r="DL63" s="34"/>
      <c r="DM63" s="34"/>
      <c r="DN63" s="3">
        <v>4400045</v>
      </c>
      <c r="DS63" s="21"/>
      <c r="DT63" s="21"/>
      <c r="DU63" s="21"/>
    </row>
    <row r="64" spans="4:125" ht="13.5" customHeight="1">
      <c r="D64" s="10">
        <v>95</v>
      </c>
      <c r="L64" s="11">
        <v>105</v>
      </c>
      <c r="M64" s="11">
        <v>105</v>
      </c>
      <c r="N64" s="11">
        <v>105</v>
      </c>
      <c r="O64" s="41">
        <v>105</v>
      </c>
      <c r="P64" s="11">
        <v>105</v>
      </c>
      <c r="Q64" s="11">
        <v>105</v>
      </c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3"/>
      <c r="BA64" s="3"/>
      <c r="BB64" s="3"/>
      <c r="BC64" s="3"/>
      <c r="BT64" s="3">
        <v>4500045</v>
      </c>
      <c r="BU64" s="3">
        <f>[1]monsters!$N64</f>
        <v>172.8</v>
      </c>
      <c r="BV64" s="3">
        <f>[1]monsters!$O64</f>
        <v>17.28</v>
      </c>
      <c r="BW64" s="3">
        <f>[1]monsters!$P64</f>
        <v>2133.33</v>
      </c>
      <c r="BX64" s="3">
        <f>[1]monsters!$Q64</f>
        <v>213.33</v>
      </c>
      <c r="BY64" s="3">
        <f>[1]monsters!$R64</f>
        <v>34.56</v>
      </c>
      <c r="BZ64" s="3">
        <f>[1]monsters!$S64</f>
        <v>3.46</v>
      </c>
      <c r="CA64" s="3">
        <f>[1]monsters!$K64</f>
        <v>1.8</v>
      </c>
      <c r="CB64" s="12">
        <f>[1]monsters!$D64</f>
        <v>2</v>
      </c>
      <c r="CC64" s="12">
        <f t="shared" ca="1" si="2"/>
        <v>0.1</v>
      </c>
      <c r="CD64" s="12">
        <f t="shared" ca="1" si="21"/>
        <v>64.846623569023606</v>
      </c>
      <c r="CE64" s="12">
        <f t="shared" ca="1" si="22"/>
        <v>6.4846623569023603</v>
      </c>
      <c r="CS64" s="32"/>
      <c r="CT64" s="32"/>
      <c r="CU64" s="33"/>
      <c r="CV64" s="32"/>
      <c r="CW64" s="32"/>
      <c r="CX64" s="32"/>
      <c r="CY64" s="34"/>
      <c r="CZ64" s="35"/>
      <c r="DA64" s="33"/>
      <c r="DB64" s="33"/>
      <c r="DC64" s="33"/>
      <c r="DD64" s="33"/>
      <c r="DE64" s="33"/>
      <c r="DF64" s="33"/>
      <c r="DG64" s="33"/>
      <c r="DH64" s="34"/>
      <c r="DI64" s="35"/>
      <c r="DJ64" s="33"/>
      <c r="DK64" s="34"/>
      <c r="DL64" s="34"/>
      <c r="DM64" s="34"/>
      <c r="DN64" s="3">
        <v>4500045</v>
      </c>
      <c r="DS64" s="21"/>
      <c r="DT64" s="21"/>
      <c r="DU64" s="21"/>
    </row>
    <row r="65" spans="4:125" ht="13.5" customHeight="1">
      <c r="D65" s="11">
        <v>110</v>
      </c>
      <c r="L65" s="11">
        <v>125</v>
      </c>
      <c r="M65" s="11">
        <v>125</v>
      </c>
      <c r="N65" s="11">
        <v>125</v>
      </c>
      <c r="O65" s="41">
        <v>125</v>
      </c>
      <c r="P65" s="11">
        <v>125</v>
      </c>
      <c r="Q65" s="11">
        <v>125</v>
      </c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3"/>
      <c r="BA65" s="3"/>
      <c r="BB65" s="3"/>
      <c r="BC65" s="3"/>
      <c r="BT65" s="3">
        <v>4602045</v>
      </c>
      <c r="BU65" s="3">
        <f>[1]monsters!$N65</f>
        <v>115.2</v>
      </c>
      <c r="BV65" s="3">
        <f>[1]monsters!$O65</f>
        <v>11.52</v>
      </c>
      <c r="BW65" s="3">
        <f>[1]monsters!$P65</f>
        <v>2133.33</v>
      </c>
      <c r="BX65" s="3">
        <f>[1]monsters!$Q65</f>
        <v>213.33</v>
      </c>
      <c r="BY65" s="3">
        <f>[1]monsters!$R65</f>
        <v>23.04</v>
      </c>
      <c r="BZ65" s="3">
        <f>[1]monsters!$S65</f>
        <v>2.2999999999999998</v>
      </c>
      <c r="CA65" s="3">
        <f>[1]monsters!$K65</f>
        <v>1.2</v>
      </c>
      <c r="CB65" s="12">
        <f>[1]monsters!$D65</f>
        <v>3</v>
      </c>
      <c r="CC65" s="12">
        <f t="shared" ca="1" si="2"/>
        <v>0.1</v>
      </c>
      <c r="CD65" s="12">
        <f t="shared" ca="1" si="21"/>
        <v>81.202828282828307</v>
      </c>
      <c r="CE65" s="12">
        <f t="shared" ca="1" si="22"/>
        <v>8.1202828282828303</v>
      </c>
      <c r="CS65" s="32"/>
      <c r="CT65" s="32"/>
      <c r="CU65" s="33"/>
      <c r="CV65" s="32"/>
      <c r="CW65" s="32"/>
      <c r="CX65" s="32"/>
      <c r="CY65" s="34"/>
      <c r="CZ65" s="35"/>
      <c r="DA65" s="33"/>
      <c r="DB65" s="33"/>
      <c r="DC65" s="33"/>
      <c r="DD65" s="33"/>
      <c r="DE65" s="33"/>
      <c r="DF65" s="33"/>
      <c r="DG65" s="33"/>
      <c r="DH65" s="34"/>
      <c r="DI65" s="35"/>
      <c r="DJ65" s="33"/>
      <c r="DK65" s="34"/>
      <c r="DL65" s="34"/>
      <c r="DM65" s="34"/>
      <c r="DN65" s="3">
        <v>4602045</v>
      </c>
      <c r="DS65" s="21"/>
      <c r="DT65" s="21"/>
      <c r="DU65" s="21"/>
    </row>
    <row r="66" spans="4:125" ht="13.5" customHeight="1">
      <c r="D66" s="11">
        <v>125</v>
      </c>
      <c r="L66" s="11">
        <v>145</v>
      </c>
      <c r="M66" s="11">
        <v>145</v>
      </c>
      <c r="N66" s="11">
        <v>145</v>
      </c>
      <c r="O66" s="41">
        <v>145</v>
      </c>
      <c r="P66" s="11">
        <v>145</v>
      </c>
      <c r="Q66" s="11">
        <v>145</v>
      </c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3"/>
      <c r="BA66" s="3"/>
      <c r="BB66" s="3"/>
      <c r="BC66" s="3"/>
      <c r="BT66" s="3">
        <v>4301045</v>
      </c>
      <c r="BU66" s="3">
        <f>[1]monsters!$N66</f>
        <v>209.07</v>
      </c>
      <c r="BV66" s="3">
        <f>[1]monsters!$O66</f>
        <v>20.91</v>
      </c>
      <c r="BW66" s="3">
        <f>[1]monsters!$P66</f>
        <v>1371.43</v>
      </c>
      <c r="BX66" s="3">
        <f>[1]monsters!$Q66</f>
        <v>137.13999999999999</v>
      </c>
      <c r="BY66" s="3">
        <f>[1]monsters!$R66</f>
        <v>26.13</v>
      </c>
      <c r="BZ66" s="3">
        <f>[1]monsters!$S66</f>
        <v>2.61</v>
      </c>
      <c r="CA66" s="3">
        <f>[1]monsters!$K66</f>
        <v>1.4000000000000001</v>
      </c>
      <c r="CB66" s="12">
        <f>[1]monsters!$D66</f>
        <v>5</v>
      </c>
      <c r="CC66" s="12">
        <f t="shared" ca="1" si="2"/>
        <v>0.1</v>
      </c>
      <c r="CD66" s="12">
        <f t="shared" ca="1" si="21"/>
        <v>62.3835647586981</v>
      </c>
      <c r="CE66" s="12">
        <f t="shared" ca="1" si="22"/>
        <v>6.2383564758698098</v>
      </c>
      <c r="CS66" s="32"/>
      <c r="CT66" s="32"/>
      <c r="CU66" s="33"/>
      <c r="CV66" s="32"/>
      <c r="CW66" s="32"/>
      <c r="CX66" s="32"/>
      <c r="CY66" s="34"/>
      <c r="CZ66" s="35"/>
      <c r="DA66" s="33"/>
      <c r="DB66" s="33"/>
      <c r="DC66" s="33"/>
      <c r="DD66" s="33"/>
      <c r="DE66" s="33"/>
      <c r="DF66" s="33"/>
      <c r="DG66" s="33"/>
      <c r="DH66" s="34"/>
      <c r="DI66" s="35"/>
      <c r="DJ66" s="33"/>
      <c r="DK66" s="34"/>
      <c r="DL66" s="34"/>
      <c r="DM66" s="34"/>
      <c r="DN66" s="3">
        <v>4301045</v>
      </c>
      <c r="DS66" s="21"/>
      <c r="DT66" s="21"/>
      <c r="DU66" s="21"/>
    </row>
    <row r="67" spans="4:125" ht="13.5" customHeight="1">
      <c r="D67" s="11">
        <v>155</v>
      </c>
      <c r="L67" s="11">
        <v>165</v>
      </c>
      <c r="M67" s="11">
        <v>165</v>
      </c>
      <c r="N67" s="11">
        <v>165</v>
      </c>
      <c r="O67" s="41">
        <v>165</v>
      </c>
      <c r="P67" s="11">
        <v>165</v>
      </c>
      <c r="Q67" s="11">
        <v>165</v>
      </c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3"/>
      <c r="BA67" s="3"/>
      <c r="BB67" s="3"/>
      <c r="BC67" s="3"/>
      <c r="BT67" s="3">
        <v>4502045</v>
      </c>
      <c r="BU67" s="3">
        <f>[1]monsters!$N67</f>
        <v>153.6</v>
      </c>
      <c r="BV67" s="3">
        <f>[1]monsters!$O67</f>
        <v>15.36</v>
      </c>
      <c r="BW67" s="3">
        <f>[1]monsters!$P67</f>
        <v>2400</v>
      </c>
      <c r="BX67" s="3">
        <f>[1]monsters!$Q67</f>
        <v>240</v>
      </c>
      <c r="BY67" s="3">
        <f>[1]monsters!$R67</f>
        <v>51.2</v>
      </c>
      <c r="BZ67" s="3">
        <f>[1]monsters!$S67</f>
        <v>5.12</v>
      </c>
      <c r="CA67" s="3">
        <f>[1]monsters!$K67</f>
        <v>1.8</v>
      </c>
      <c r="CB67" s="12">
        <f>[1]monsters!$D67</f>
        <v>2</v>
      </c>
      <c r="CC67" s="12">
        <f t="shared" ca="1" si="2"/>
        <v>0.1</v>
      </c>
      <c r="CD67" s="12">
        <f t="shared" ca="1" si="21"/>
        <v>64.846623569023606</v>
      </c>
      <c r="CE67" s="12">
        <f t="shared" ca="1" si="22"/>
        <v>6.4846623569023603</v>
      </c>
      <c r="CS67" s="32"/>
      <c r="CT67" s="32"/>
      <c r="CU67" s="33"/>
      <c r="CV67" s="32"/>
      <c r="CW67" s="32"/>
      <c r="CX67" s="32"/>
      <c r="CY67" s="34"/>
      <c r="CZ67" s="35"/>
      <c r="DA67" s="33"/>
      <c r="DB67" s="33"/>
      <c r="DC67" s="33"/>
      <c r="DD67" s="33"/>
      <c r="DE67" s="33"/>
      <c r="DF67" s="33"/>
      <c r="DG67" s="33"/>
      <c r="DH67" s="34"/>
      <c r="DI67" s="35"/>
      <c r="DJ67" s="33"/>
      <c r="DK67" s="34"/>
      <c r="DL67" s="34"/>
      <c r="DM67" s="34"/>
      <c r="DN67" s="3">
        <v>4502045</v>
      </c>
      <c r="DS67" s="21"/>
      <c r="DT67" s="21"/>
      <c r="DU67" s="21"/>
    </row>
    <row r="68" spans="4:125" ht="13.5" customHeight="1">
      <c r="D68" s="11">
        <v>30</v>
      </c>
      <c r="L68" s="11">
        <v>185</v>
      </c>
      <c r="M68" s="11">
        <v>185</v>
      </c>
      <c r="N68" s="11">
        <v>185</v>
      </c>
      <c r="O68" s="41">
        <v>185</v>
      </c>
      <c r="P68" s="11">
        <v>185</v>
      </c>
      <c r="Q68" s="11">
        <v>185</v>
      </c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3"/>
      <c r="BA68" s="3"/>
      <c r="BB68" s="3"/>
      <c r="BC68" s="3"/>
      <c r="BT68" s="3">
        <v>4201045</v>
      </c>
      <c r="BU68" s="3">
        <f>[1]monsters!$N68</f>
        <v>224</v>
      </c>
      <c r="BV68" s="3">
        <f>[1]monsters!$O68</f>
        <v>22.4</v>
      </c>
      <c r="BW68" s="3">
        <f>[1]monsters!$P68</f>
        <v>1371.43</v>
      </c>
      <c r="BX68" s="3">
        <f>[1]monsters!$Q68</f>
        <v>137.13999999999999</v>
      </c>
      <c r="BY68" s="3">
        <f>[1]monsters!$R68</f>
        <v>28</v>
      </c>
      <c r="BZ68" s="3">
        <f>[1]monsters!$S68</f>
        <v>2.8</v>
      </c>
      <c r="CA68" s="3">
        <f>[1]monsters!$K68</f>
        <v>1.5</v>
      </c>
      <c r="CB68" s="12">
        <f>[1]monsters!$D68</f>
        <v>5</v>
      </c>
      <c r="CC68" s="12">
        <f t="shared" ref="CC68:CC131" ca="1" si="31">INDEX($CK$5:$CK$10,MATCH($CC68,$CJ$5:$CJ$10))</f>
        <v>0.1</v>
      </c>
      <c r="CD68" s="12">
        <f t="shared" ca="1" si="21"/>
        <v>77.689535353535305</v>
      </c>
      <c r="CE68" s="12">
        <f t="shared" ca="1" si="22"/>
        <v>7.7689535353535399</v>
      </c>
      <c r="CS68" s="32"/>
      <c r="CT68" s="32"/>
      <c r="CU68" s="33"/>
      <c r="CV68" s="32"/>
      <c r="CW68" s="32"/>
      <c r="CX68" s="32"/>
      <c r="CY68" s="34"/>
      <c r="CZ68" s="35"/>
      <c r="DA68" s="33"/>
      <c r="DB68" s="33"/>
      <c r="DC68" s="33"/>
      <c r="DD68" s="33"/>
      <c r="DE68" s="33"/>
      <c r="DF68" s="33"/>
      <c r="DG68" s="33"/>
      <c r="DH68" s="34"/>
      <c r="DI68" s="35"/>
      <c r="DJ68" s="33"/>
      <c r="DK68" s="34"/>
      <c r="DL68" s="34"/>
      <c r="DM68" s="34"/>
      <c r="DN68" s="3">
        <v>4201045</v>
      </c>
      <c r="DS68" s="21"/>
      <c r="DT68" s="21"/>
      <c r="DU68" s="21"/>
    </row>
    <row r="69" spans="4:125" ht="13.5" customHeight="1">
      <c r="D69" s="11">
        <v>50</v>
      </c>
      <c r="L69" s="11">
        <v>50</v>
      </c>
      <c r="M69" s="11">
        <v>50</v>
      </c>
      <c r="N69" s="11">
        <v>50</v>
      </c>
      <c r="O69" s="41">
        <v>50</v>
      </c>
      <c r="P69" s="11">
        <v>50</v>
      </c>
      <c r="Q69" s="11">
        <v>50</v>
      </c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3"/>
      <c r="BA69" s="3"/>
      <c r="BB69" s="3"/>
      <c r="BC69" s="3"/>
      <c r="BT69" s="3">
        <v>4201051</v>
      </c>
      <c r="BU69" s="3">
        <f>[1]monsters!$N69</f>
        <v>248</v>
      </c>
      <c r="BV69" s="3">
        <f>[1]monsters!$O69</f>
        <v>24.8</v>
      </c>
      <c r="BW69" s="3">
        <f>[1]monsters!$P69</f>
        <v>1238.71</v>
      </c>
      <c r="BX69" s="3">
        <f>[1]monsters!$Q69</f>
        <v>123.87</v>
      </c>
      <c r="BY69" s="3">
        <f>[1]monsters!$R69</f>
        <v>24.8</v>
      </c>
      <c r="BZ69" s="3">
        <f>[1]monsters!$S69</f>
        <v>2.48</v>
      </c>
      <c r="CA69" s="3">
        <f>[1]monsters!$K69</f>
        <v>1.5</v>
      </c>
      <c r="CB69" s="12">
        <f>[1]monsters!$D69</f>
        <v>6</v>
      </c>
      <c r="CC69" s="12">
        <f t="shared" ca="1" si="31"/>
        <v>0.1</v>
      </c>
      <c r="CD69" s="12">
        <f t="shared" ref="CD69:CD132" ca="1" si="32">(BW69/33/(1-CC69)/(1-0)+BU69*(1+0.5*0.1)*0.9)</f>
        <v>88.788040404040402</v>
      </c>
      <c r="CE69" s="12">
        <f t="shared" ref="CE69:CE132" ca="1" si="33">(BW69/33/(1-CC69)/(1-0)+BU69*(1+0.5*0.1)*0.9)*0.1</f>
        <v>8.8788040404040398</v>
      </c>
      <c r="CS69" s="32"/>
      <c r="CT69" s="32"/>
      <c r="CU69" s="33"/>
      <c r="CV69" s="32"/>
      <c r="CW69" s="32"/>
      <c r="CX69" s="32"/>
      <c r="CY69" s="34"/>
      <c r="CZ69" s="35"/>
      <c r="DA69" s="33"/>
      <c r="DB69" s="33"/>
      <c r="DC69" s="33"/>
      <c r="DD69" s="33"/>
      <c r="DE69" s="33"/>
      <c r="DF69" s="33"/>
      <c r="DG69" s="33"/>
      <c r="DH69" s="34"/>
      <c r="DI69" s="35"/>
      <c r="DJ69" s="33"/>
      <c r="DK69" s="34"/>
      <c r="DL69" s="34"/>
      <c r="DM69" s="34"/>
      <c r="DN69" s="3">
        <v>4201051</v>
      </c>
      <c r="DS69" s="21"/>
      <c r="DT69" s="21"/>
      <c r="DU69" s="21"/>
    </row>
    <row r="70" spans="4:125" ht="13.5" customHeight="1">
      <c r="D70" s="11">
        <v>70</v>
      </c>
      <c r="L70" s="11">
        <v>70</v>
      </c>
      <c r="M70" s="11">
        <v>70</v>
      </c>
      <c r="N70" s="11">
        <v>70</v>
      </c>
      <c r="O70" s="41">
        <v>70</v>
      </c>
      <c r="P70" s="11">
        <v>70</v>
      </c>
      <c r="Q70" s="11">
        <v>70</v>
      </c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3"/>
      <c r="BA70" s="3"/>
      <c r="BB70" s="3"/>
      <c r="BC70" s="3"/>
      <c r="BT70" s="3">
        <v>4300051</v>
      </c>
      <c r="BU70" s="3">
        <f>[1]monsters!$N70</f>
        <v>160</v>
      </c>
      <c r="BV70" s="3">
        <f>[1]monsters!$O70</f>
        <v>16</v>
      </c>
      <c r="BW70" s="3">
        <f>[1]monsters!$P70</f>
        <v>1920</v>
      </c>
      <c r="BX70" s="3">
        <f>[1]monsters!$Q70</f>
        <v>192</v>
      </c>
      <c r="BY70" s="3">
        <f>[1]monsters!$R70</f>
        <v>40</v>
      </c>
      <c r="BZ70" s="3">
        <f>[1]monsters!$S70</f>
        <v>4</v>
      </c>
      <c r="CA70" s="3">
        <f>[1]monsters!$K70</f>
        <v>1.5</v>
      </c>
      <c r="CB70" s="12">
        <f>[1]monsters!$D70</f>
        <v>2</v>
      </c>
      <c r="CC70" s="12">
        <f t="shared" ca="1" si="31"/>
        <v>0.1</v>
      </c>
      <c r="CD70" s="12">
        <f t="shared" ca="1" si="32"/>
        <v>71.295502581369405</v>
      </c>
      <c r="CE70" s="12">
        <f t="shared" ca="1" si="33"/>
        <v>7.1295502581369403</v>
      </c>
      <c r="CS70" s="32"/>
      <c r="CT70" s="32"/>
      <c r="CU70" s="33"/>
      <c r="CV70" s="32"/>
      <c r="CW70" s="32"/>
      <c r="CX70" s="32"/>
      <c r="CY70" s="34"/>
      <c r="CZ70" s="35"/>
      <c r="DA70" s="33"/>
      <c r="DB70" s="33"/>
      <c r="DC70" s="33"/>
      <c r="DD70" s="33"/>
      <c r="DE70" s="33"/>
      <c r="DF70" s="33"/>
      <c r="DG70" s="33"/>
      <c r="DH70" s="34"/>
      <c r="DI70" s="35"/>
      <c r="DJ70" s="33"/>
      <c r="DK70" s="34"/>
      <c r="DL70" s="34"/>
      <c r="DM70" s="34"/>
      <c r="DN70" s="3">
        <v>4300051</v>
      </c>
      <c r="DS70" s="21"/>
      <c r="DT70" s="21"/>
      <c r="DU70" s="21"/>
    </row>
    <row r="71" spans="4:125" ht="13.5" customHeight="1">
      <c r="D71" s="11">
        <v>85</v>
      </c>
      <c r="L71" s="11">
        <v>90</v>
      </c>
      <c r="M71" s="11">
        <v>90</v>
      </c>
      <c r="N71" s="11">
        <v>90</v>
      </c>
      <c r="O71" s="41">
        <v>90</v>
      </c>
      <c r="P71" s="11">
        <v>90</v>
      </c>
      <c r="Q71" s="11">
        <v>90</v>
      </c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3"/>
      <c r="BA71" s="3"/>
      <c r="BB71" s="3"/>
      <c r="BC71" s="3"/>
      <c r="BT71" s="3">
        <v>4401051</v>
      </c>
      <c r="BU71" s="3">
        <f>[1]monsters!$N71</f>
        <v>204.8</v>
      </c>
      <c r="BV71" s="3">
        <f>[1]monsters!$O71</f>
        <v>20.48</v>
      </c>
      <c r="BW71" s="3">
        <f>[1]monsters!$P71</f>
        <v>1600</v>
      </c>
      <c r="BX71" s="3">
        <f>[1]monsters!$Q71</f>
        <v>160</v>
      </c>
      <c r="BY71" s="3">
        <f>[1]monsters!$R71</f>
        <v>29.26</v>
      </c>
      <c r="BZ71" s="3">
        <f>[1]monsters!$S71</f>
        <v>2.93</v>
      </c>
      <c r="CA71" s="3">
        <f>[1]monsters!$K71</f>
        <v>1.6</v>
      </c>
      <c r="CB71" s="12">
        <f>[1]monsters!$D71</f>
        <v>4</v>
      </c>
      <c r="CC71" s="12">
        <f t="shared" ca="1" si="31"/>
        <v>0.1</v>
      </c>
      <c r="CD71" s="12">
        <f t="shared" ca="1" si="32"/>
        <v>79.280756657483906</v>
      </c>
      <c r="CE71" s="12">
        <f t="shared" ca="1" si="33"/>
        <v>7.9280756657483904</v>
      </c>
      <c r="CS71" s="32"/>
      <c r="CT71" s="32"/>
      <c r="CU71" s="33"/>
      <c r="CV71" s="32"/>
      <c r="CW71" s="32"/>
      <c r="CX71" s="32"/>
      <c r="CY71" s="34"/>
      <c r="CZ71" s="35"/>
      <c r="DA71" s="33"/>
      <c r="DB71" s="33"/>
      <c r="DC71" s="33"/>
      <c r="DD71" s="33"/>
      <c r="DE71" s="33"/>
      <c r="DF71" s="33"/>
      <c r="DG71" s="33"/>
      <c r="DH71" s="34"/>
      <c r="DI71" s="35"/>
      <c r="DJ71" s="33"/>
      <c r="DK71" s="34"/>
      <c r="DL71" s="34"/>
      <c r="DM71" s="34"/>
      <c r="DN71" s="3">
        <v>4401051</v>
      </c>
      <c r="DS71" s="21"/>
      <c r="DT71" s="21"/>
      <c r="DU71" s="21"/>
    </row>
    <row r="72" spans="4:125" ht="13.5" customHeight="1">
      <c r="D72" s="11">
        <v>100</v>
      </c>
      <c r="L72" s="11">
        <v>110</v>
      </c>
      <c r="M72" s="11">
        <v>110</v>
      </c>
      <c r="N72" s="11">
        <v>110</v>
      </c>
      <c r="O72" s="41">
        <v>110</v>
      </c>
      <c r="P72" s="11">
        <v>110</v>
      </c>
      <c r="Q72" s="11">
        <v>110</v>
      </c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3"/>
      <c r="BA72" s="3"/>
      <c r="BB72" s="3"/>
      <c r="BC72" s="3"/>
      <c r="BT72" s="3">
        <v>4500051</v>
      </c>
      <c r="BU72" s="3">
        <f>[1]monsters!$N72</f>
        <v>192</v>
      </c>
      <c r="BV72" s="3">
        <f>[1]monsters!$O72</f>
        <v>19.2</v>
      </c>
      <c r="BW72" s="3">
        <f>[1]monsters!$P72</f>
        <v>1600</v>
      </c>
      <c r="BX72" s="3">
        <f>[1]monsters!$Q72</f>
        <v>160</v>
      </c>
      <c r="BY72" s="3">
        <f>[1]monsters!$R72</f>
        <v>27.43</v>
      </c>
      <c r="BZ72" s="3">
        <f>[1]monsters!$S72</f>
        <v>2.74</v>
      </c>
      <c r="CA72" s="3">
        <f>[1]monsters!$K72</f>
        <v>1.5</v>
      </c>
      <c r="CB72" s="12">
        <f>[1]monsters!$D72</f>
        <v>4</v>
      </c>
      <c r="CC72" s="12">
        <f t="shared" ca="1" si="31"/>
        <v>0.1</v>
      </c>
      <c r="CD72" s="12">
        <f t="shared" ca="1" si="32"/>
        <v>74.110426936026897</v>
      </c>
      <c r="CE72" s="12">
        <f t="shared" ca="1" si="33"/>
        <v>7.4110426936026901</v>
      </c>
      <c r="CS72" s="32"/>
      <c r="CT72" s="32"/>
      <c r="CU72" s="33"/>
      <c r="CV72" s="32"/>
      <c r="CW72" s="32"/>
      <c r="CX72" s="32"/>
      <c r="CY72" s="34"/>
      <c r="CZ72" s="35"/>
      <c r="DA72" s="33"/>
      <c r="DB72" s="33"/>
      <c r="DC72" s="33"/>
      <c r="DD72" s="33"/>
      <c r="DE72" s="33"/>
      <c r="DF72" s="33"/>
      <c r="DG72" s="33"/>
      <c r="DH72" s="34"/>
      <c r="DI72" s="35"/>
      <c r="DJ72" s="33"/>
      <c r="DK72" s="34"/>
      <c r="DL72" s="34"/>
      <c r="DM72" s="34"/>
      <c r="DN72" s="3">
        <v>4500051</v>
      </c>
      <c r="DS72" s="21"/>
      <c r="DT72" s="21"/>
      <c r="DU72" s="21"/>
    </row>
    <row r="73" spans="4:125" ht="13.5" customHeight="1">
      <c r="D73" s="11">
        <v>115</v>
      </c>
      <c r="L73" s="11">
        <v>130</v>
      </c>
      <c r="M73" s="11">
        <v>130</v>
      </c>
      <c r="N73" s="11">
        <v>130</v>
      </c>
      <c r="O73" s="41">
        <v>130</v>
      </c>
      <c r="P73" s="11">
        <v>130</v>
      </c>
      <c r="Q73" s="11">
        <v>130</v>
      </c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3"/>
      <c r="BA73" s="3"/>
      <c r="BB73" s="3"/>
      <c r="BC73" s="3"/>
      <c r="BT73" s="3">
        <v>4601051</v>
      </c>
      <c r="BU73" s="3">
        <f>[1]monsters!$N73</f>
        <v>238.93</v>
      </c>
      <c r="BV73" s="3">
        <f>[1]monsters!$O73</f>
        <v>23.89</v>
      </c>
      <c r="BW73" s="3">
        <f>[1]monsters!$P73</f>
        <v>1371.43</v>
      </c>
      <c r="BX73" s="3">
        <f>[1]monsters!$Q73</f>
        <v>137.13999999999999</v>
      </c>
      <c r="BY73" s="3">
        <f>[1]monsters!$R73</f>
        <v>29.87</v>
      </c>
      <c r="BZ73" s="3">
        <f>[1]monsters!$S73</f>
        <v>2.99</v>
      </c>
      <c r="CA73" s="3">
        <f>[1]monsters!$K73</f>
        <v>1.6</v>
      </c>
      <c r="CB73" s="12">
        <f>[1]monsters!$D73</f>
        <v>5</v>
      </c>
      <c r="CC73" s="12">
        <f t="shared" ca="1" si="31"/>
        <v>0.1</v>
      </c>
      <c r="CD73" s="12">
        <f t="shared" ca="1" si="32"/>
        <v>77.683232323232303</v>
      </c>
      <c r="CE73" s="12">
        <f t="shared" ca="1" si="33"/>
        <v>7.7683232323232296</v>
      </c>
      <c r="CS73" s="32"/>
      <c r="CT73" s="32"/>
      <c r="CU73" s="33"/>
      <c r="CV73" s="32"/>
      <c r="CW73" s="32"/>
      <c r="CX73" s="32"/>
      <c r="CY73" s="34"/>
      <c r="CZ73" s="35"/>
      <c r="DA73" s="33"/>
      <c r="DB73" s="33"/>
      <c r="DC73" s="33"/>
      <c r="DD73" s="33"/>
      <c r="DE73" s="33"/>
      <c r="DF73" s="33"/>
      <c r="DG73" s="33"/>
      <c r="DH73" s="34"/>
      <c r="DI73" s="35"/>
      <c r="DJ73" s="33"/>
      <c r="DK73" s="34"/>
      <c r="DL73" s="34"/>
      <c r="DM73" s="34"/>
      <c r="DN73" s="3">
        <v>4601051</v>
      </c>
      <c r="DS73" s="21"/>
      <c r="DT73" s="21"/>
      <c r="DU73" s="21"/>
    </row>
    <row r="74" spans="4:125" ht="13.5" customHeight="1">
      <c r="D74" s="11">
        <v>130</v>
      </c>
      <c r="L74" s="11">
        <v>150</v>
      </c>
      <c r="M74" s="11">
        <v>150</v>
      </c>
      <c r="N74" s="11">
        <v>150</v>
      </c>
      <c r="O74" s="41">
        <v>150</v>
      </c>
      <c r="P74" s="11">
        <v>150</v>
      </c>
      <c r="Q74" s="11">
        <v>150</v>
      </c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3"/>
      <c r="BA74" s="3"/>
      <c r="BB74" s="3"/>
      <c r="BC74" s="3"/>
      <c r="BT74" s="3">
        <v>4301051</v>
      </c>
      <c r="BU74" s="3">
        <f>[1]monsters!$N74</f>
        <v>231.47</v>
      </c>
      <c r="BV74" s="3">
        <f>[1]monsters!$O74</f>
        <v>23.15</v>
      </c>
      <c r="BW74" s="3">
        <f>[1]monsters!$P74</f>
        <v>1238.71</v>
      </c>
      <c r="BX74" s="3">
        <f>[1]monsters!$Q74</f>
        <v>123.87</v>
      </c>
      <c r="BY74" s="3">
        <f>[1]monsters!$R74</f>
        <v>23.15</v>
      </c>
      <c r="BZ74" s="3">
        <f>[1]monsters!$S74</f>
        <v>2.31</v>
      </c>
      <c r="CA74" s="3">
        <f>[1]monsters!$K74</f>
        <v>1.4000000000000001</v>
      </c>
      <c r="CB74" s="12">
        <f>[1]monsters!$D74</f>
        <v>6</v>
      </c>
      <c r="CC74" s="12">
        <f t="shared" ca="1" si="31"/>
        <v>0.1</v>
      </c>
      <c r="CD74" s="12">
        <f t="shared" ca="1" si="32"/>
        <v>71.295502581369405</v>
      </c>
      <c r="CE74" s="12">
        <f t="shared" ca="1" si="33"/>
        <v>7.1295502581369403</v>
      </c>
      <c r="CS74" s="32"/>
      <c r="CT74" s="32"/>
      <c r="CU74" s="33"/>
      <c r="CV74" s="32"/>
      <c r="CW74" s="32"/>
      <c r="CX74" s="32"/>
      <c r="CY74" s="34"/>
      <c r="CZ74" s="35"/>
      <c r="DA74" s="33"/>
      <c r="DB74" s="33"/>
      <c r="DC74" s="33"/>
      <c r="DD74" s="33"/>
      <c r="DE74" s="33"/>
      <c r="DF74" s="33"/>
      <c r="DG74" s="33"/>
      <c r="DH74" s="34"/>
      <c r="DI74" s="35"/>
      <c r="DJ74" s="33"/>
      <c r="DK74" s="34"/>
      <c r="DL74" s="34"/>
      <c r="DM74" s="34"/>
      <c r="DN74" s="3">
        <v>4301051</v>
      </c>
      <c r="DS74" s="21"/>
      <c r="DT74" s="21"/>
      <c r="DU74" s="21"/>
    </row>
    <row r="75" spans="4:125" ht="13.5" customHeight="1">
      <c r="D75" s="11">
        <v>160</v>
      </c>
      <c r="L75" s="11">
        <v>170</v>
      </c>
      <c r="M75" s="11">
        <v>170</v>
      </c>
      <c r="N75" s="11">
        <v>170</v>
      </c>
      <c r="O75" s="41">
        <v>170</v>
      </c>
      <c r="P75" s="11">
        <v>170</v>
      </c>
      <c r="Q75" s="11">
        <v>170</v>
      </c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3"/>
      <c r="BA75" s="3"/>
      <c r="BB75" s="3"/>
      <c r="BC75" s="3"/>
      <c r="BT75" s="3">
        <v>4501051</v>
      </c>
      <c r="BU75" s="3">
        <f>[1]monsters!$N75</f>
        <v>297.60000000000002</v>
      </c>
      <c r="BV75" s="3">
        <f>[1]monsters!$O75</f>
        <v>29.76</v>
      </c>
      <c r="BW75" s="3">
        <f>[1]monsters!$P75</f>
        <v>1238.71</v>
      </c>
      <c r="BX75" s="3">
        <f>[1]monsters!$Q75</f>
        <v>123.87</v>
      </c>
      <c r="BY75" s="3">
        <f>[1]monsters!$R75</f>
        <v>29.76</v>
      </c>
      <c r="BZ75" s="3">
        <f>[1]monsters!$S75</f>
        <v>2.98</v>
      </c>
      <c r="CA75" s="3">
        <f>[1]monsters!$K75</f>
        <v>1.8</v>
      </c>
      <c r="CB75" s="12">
        <f>[1]monsters!$D75</f>
        <v>6</v>
      </c>
      <c r="CC75" s="12">
        <f t="shared" ca="1" si="31"/>
        <v>0.1</v>
      </c>
      <c r="CD75" s="12">
        <f t="shared" ca="1" si="32"/>
        <v>84.996826936026906</v>
      </c>
      <c r="CE75" s="12">
        <f t="shared" ca="1" si="33"/>
        <v>8.4996826936026899</v>
      </c>
      <c r="CS75" s="32"/>
      <c r="CT75" s="32"/>
      <c r="CU75" s="33"/>
      <c r="CV75" s="32"/>
      <c r="CW75" s="32"/>
      <c r="CX75" s="32"/>
      <c r="CY75" s="34"/>
      <c r="CZ75" s="35"/>
      <c r="DA75" s="33"/>
      <c r="DB75" s="33"/>
      <c r="DC75" s="33"/>
      <c r="DD75" s="33"/>
      <c r="DE75" s="33"/>
      <c r="DF75" s="33"/>
      <c r="DG75" s="33"/>
      <c r="DH75" s="34"/>
      <c r="DI75" s="35"/>
      <c r="DJ75" s="33"/>
      <c r="DK75" s="34"/>
      <c r="DL75" s="34"/>
      <c r="DM75" s="34"/>
      <c r="DN75" s="3">
        <v>4501051</v>
      </c>
      <c r="DS75" s="21"/>
      <c r="DT75" s="21"/>
      <c r="DU75" s="21"/>
    </row>
    <row r="76" spans="4:125" ht="13.5" customHeight="1">
      <c r="L76" s="11">
        <v>200</v>
      </c>
      <c r="M76" s="11">
        <v>200</v>
      </c>
      <c r="N76" s="11">
        <v>200</v>
      </c>
      <c r="O76" s="41">
        <v>200</v>
      </c>
      <c r="P76" s="11">
        <v>200</v>
      </c>
      <c r="Q76" s="11">
        <v>200</v>
      </c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3"/>
      <c r="BA76" s="3"/>
      <c r="BB76" s="3"/>
      <c r="BC76" s="3"/>
      <c r="BT76" s="3">
        <v>4202051</v>
      </c>
      <c r="BU76" s="3">
        <f>[1]monsters!$N76</f>
        <v>124.8</v>
      </c>
      <c r="BV76" s="3">
        <f>[1]monsters!$O76</f>
        <v>12.48</v>
      </c>
      <c r="BW76" s="3">
        <f>[1]monsters!$P76</f>
        <v>2133.33</v>
      </c>
      <c r="BX76" s="3">
        <f>[1]monsters!$Q76</f>
        <v>213.33</v>
      </c>
      <c r="BY76" s="3">
        <f>[1]monsters!$R76</f>
        <v>24.96</v>
      </c>
      <c r="BZ76" s="3">
        <f>[1]monsters!$S76</f>
        <v>2.5</v>
      </c>
      <c r="CA76" s="3">
        <f>[1]monsters!$K76</f>
        <v>1.3</v>
      </c>
      <c r="CB76" s="12">
        <f>[1]monsters!$D76</f>
        <v>3</v>
      </c>
      <c r="CC76" s="12">
        <f t="shared" ca="1" si="31"/>
        <v>0.1</v>
      </c>
      <c r="CD76" s="12">
        <f t="shared" ca="1" si="32"/>
        <v>88.788040404040402</v>
      </c>
      <c r="CE76" s="12">
        <f t="shared" ca="1" si="33"/>
        <v>8.8788040404040398</v>
      </c>
      <c r="CS76" s="32"/>
      <c r="CT76" s="32"/>
      <c r="CU76" s="33"/>
      <c r="CV76" s="32"/>
      <c r="CW76" s="32"/>
      <c r="CX76" s="32"/>
      <c r="CY76" s="34"/>
      <c r="CZ76" s="35"/>
      <c r="DA76" s="33"/>
      <c r="DB76" s="33"/>
      <c r="DC76" s="33"/>
      <c r="DD76" s="33"/>
      <c r="DE76" s="33"/>
      <c r="DF76" s="33"/>
      <c r="DG76" s="33"/>
      <c r="DH76" s="34"/>
      <c r="DI76" s="35"/>
      <c r="DJ76" s="33"/>
      <c r="DK76" s="34"/>
      <c r="DL76" s="34"/>
      <c r="DM76" s="34"/>
      <c r="DN76" s="3">
        <v>4202051</v>
      </c>
      <c r="DS76" s="21"/>
      <c r="DT76" s="21"/>
      <c r="DU76" s="21"/>
    </row>
    <row r="77" spans="4:125" ht="13.5" customHeight="1"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3"/>
      <c r="BA77" s="3"/>
      <c r="BB77" s="3"/>
      <c r="BC77" s="3"/>
      <c r="BT77" s="3">
        <v>4200052</v>
      </c>
      <c r="BU77" s="3">
        <f>[1]monsters!$N77</f>
        <v>134.4</v>
      </c>
      <c r="BV77" s="3">
        <f>[1]monsters!$O77</f>
        <v>13.44</v>
      </c>
      <c r="BW77" s="3">
        <f>[1]monsters!$P77</f>
        <v>2133.33</v>
      </c>
      <c r="BX77" s="3">
        <f>[1]monsters!$Q77</f>
        <v>213.33</v>
      </c>
      <c r="BY77" s="3">
        <f>[1]monsters!$R77</f>
        <v>26.88</v>
      </c>
      <c r="BZ77" s="3">
        <f>[1]monsters!$S77</f>
        <v>2.69</v>
      </c>
      <c r="CA77" s="3">
        <f>[1]monsters!$K77</f>
        <v>1.4000000000000001</v>
      </c>
      <c r="CB77" s="12">
        <f>[1]monsters!$D77</f>
        <v>3</v>
      </c>
      <c r="CC77" s="12">
        <f t="shared" ca="1" si="31"/>
        <v>0.1</v>
      </c>
      <c r="CD77" s="12">
        <f t="shared" ca="1" si="32"/>
        <v>76.692040404040398</v>
      </c>
      <c r="CE77" s="12">
        <f t="shared" ca="1" si="33"/>
        <v>7.6692040404040398</v>
      </c>
      <c r="CS77" s="32"/>
      <c r="CT77" s="32"/>
      <c r="CU77" s="33"/>
      <c r="CV77" s="32"/>
      <c r="CW77" s="32"/>
      <c r="CX77" s="32"/>
      <c r="CY77" s="34"/>
      <c r="CZ77" s="35"/>
      <c r="DA77" s="33"/>
      <c r="DB77" s="33"/>
      <c r="DC77" s="33"/>
      <c r="DD77" s="33"/>
      <c r="DE77" s="33"/>
      <c r="DF77" s="33"/>
      <c r="DG77" s="33"/>
      <c r="DH77" s="34"/>
      <c r="DI77" s="35"/>
      <c r="DJ77" s="33"/>
      <c r="DK77" s="34"/>
      <c r="DL77" s="34"/>
      <c r="DM77" s="34"/>
      <c r="DN77" s="3">
        <v>4200052</v>
      </c>
      <c r="DS77" s="21"/>
      <c r="DT77" s="21"/>
      <c r="DU77" s="21"/>
    </row>
    <row r="78" spans="4:125" ht="13.5" customHeight="1"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3"/>
      <c r="BA78" s="3"/>
      <c r="BB78" s="3"/>
      <c r="BC78" s="3"/>
      <c r="BT78" s="3">
        <v>4300052</v>
      </c>
      <c r="BU78" s="3">
        <f>[1]monsters!$N78</f>
        <v>179.2</v>
      </c>
      <c r="BV78" s="3">
        <f>[1]monsters!$O78</f>
        <v>17.920000000000002</v>
      </c>
      <c r="BW78" s="3">
        <f>[1]monsters!$P78</f>
        <v>1600</v>
      </c>
      <c r="BX78" s="3">
        <f>[1]monsters!$Q78</f>
        <v>160</v>
      </c>
      <c r="BY78" s="3">
        <f>[1]monsters!$R78</f>
        <v>25.6</v>
      </c>
      <c r="BZ78" s="3">
        <f>[1]monsters!$S78</f>
        <v>2.56</v>
      </c>
      <c r="CA78" s="3">
        <f>[1]monsters!$K78</f>
        <v>1.4000000000000001</v>
      </c>
      <c r="CB78" s="12">
        <f>[1]monsters!$D78</f>
        <v>4</v>
      </c>
      <c r="CC78" s="12">
        <f t="shared" ca="1" si="31"/>
        <v>0.1</v>
      </c>
      <c r="CD78" s="12">
        <f t="shared" ca="1" si="32"/>
        <v>71.295502581369405</v>
      </c>
      <c r="CE78" s="12">
        <f t="shared" ca="1" si="33"/>
        <v>7.1295502581369403</v>
      </c>
      <c r="CS78" s="32"/>
      <c r="CT78" s="32"/>
      <c r="CU78" s="33"/>
      <c r="CV78" s="32"/>
      <c r="CW78" s="32"/>
      <c r="CX78" s="32"/>
      <c r="CY78" s="34"/>
      <c r="CZ78" s="35"/>
      <c r="DA78" s="33"/>
      <c r="DB78" s="33"/>
      <c r="DC78" s="33"/>
      <c r="DD78" s="33"/>
      <c r="DE78" s="33"/>
      <c r="DF78" s="33"/>
      <c r="DG78" s="33"/>
      <c r="DH78" s="34"/>
      <c r="DI78" s="35"/>
      <c r="DJ78" s="33"/>
      <c r="DK78" s="34"/>
      <c r="DL78" s="34"/>
      <c r="DM78" s="34"/>
      <c r="DN78" s="3">
        <v>4300052</v>
      </c>
      <c r="DS78" s="21"/>
      <c r="DT78" s="21"/>
      <c r="DU78" s="21"/>
    </row>
    <row r="79" spans="4:125" ht="13.5" customHeight="1"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3"/>
      <c r="BA79" s="3"/>
      <c r="BB79" s="3"/>
      <c r="BC79" s="3"/>
      <c r="BT79" s="3">
        <v>4402052</v>
      </c>
      <c r="BU79" s="3">
        <f>[1]monsters!$N79</f>
        <v>190.08</v>
      </c>
      <c r="BV79" s="3">
        <f>[1]monsters!$O79</f>
        <v>19.010000000000002</v>
      </c>
      <c r="BW79" s="3">
        <f>[1]monsters!$P79</f>
        <v>2346.67</v>
      </c>
      <c r="BX79" s="3">
        <f>[1]monsters!$Q79</f>
        <v>234.67</v>
      </c>
      <c r="BY79" s="3">
        <f>[1]monsters!$R79</f>
        <v>38.020000000000003</v>
      </c>
      <c r="BZ79" s="3">
        <f>[1]monsters!$S79</f>
        <v>3.8</v>
      </c>
      <c r="CA79" s="3">
        <f>[1]monsters!$K79</f>
        <v>1.8</v>
      </c>
      <c r="CB79" s="12">
        <f>[1]monsters!$D79</f>
        <v>2</v>
      </c>
      <c r="CC79" s="12">
        <f t="shared" ca="1" si="31"/>
        <v>0.1</v>
      </c>
      <c r="CD79" s="12">
        <f t="shared" ca="1" si="32"/>
        <v>79.280756657483906</v>
      </c>
      <c r="CE79" s="12">
        <f t="shared" ca="1" si="33"/>
        <v>7.9280756657483904</v>
      </c>
      <c r="CS79" s="32"/>
      <c r="CT79" s="32"/>
      <c r="CU79" s="33"/>
      <c r="CV79" s="32"/>
      <c r="CW79" s="32"/>
      <c r="CX79" s="32"/>
      <c r="CY79" s="34"/>
      <c r="CZ79" s="35"/>
      <c r="DA79" s="33"/>
      <c r="DB79" s="33"/>
      <c r="DC79" s="33"/>
      <c r="DD79" s="33"/>
      <c r="DE79" s="33"/>
      <c r="DF79" s="33"/>
      <c r="DG79" s="33"/>
      <c r="DH79" s="34"/>
      <c r="DI79" s="35"/>
      <c r="DJ79" s="33"/>
      <c r="DK79" s="34"/>
      <c r="DL79" s="34"/>
      <c r="DM79" s="34"/>
      <c r="DN79" s="3">
        <v>4402052</v>
      </c>
      <c r="DS79" s="21"/>
      <c r="DT79" s="21"/>
      <c r="DU79" s="21"/>
    </row>
    <row r="80" spans="4:125" ht="13.5" customHeight="1"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3"/>
      <c r="BA80" s="3"/>
      <c r="BB80" s="3"/>
      <c r="BC80" s="3"/>
      <c r="BT80" s="3">
        <v>4502052</v>
      </c>
      <c r="BU80" s="3">
        <f>[1]monsters!$N80</f>
        <v>126.72</v>
      </c>
      <c r="BV80" s="3">
        <f>[1]monsters!$O80</f>
        <v>12.67</v>
      </c>
      <c r="BW80" s="3">
        <f>[1]monsters!$P80</f>
        <v>2346.67</v>
      </c>
      <c r="BX80" s="3">
        <f>[1]monsters!$Q80</f>
        <v>234.67</v>
      </c>
      <c r="BY80" s="3">
        <f>[1]monsters!$R80</f>
        <v>25.34</v>
      </c>
      <c r="BZ80" s="3">
        <f>[1]monsters!$S80</f>
        <v>2.5299999999999998</v>
      </c>
      <c r="CA80" s="3">
        <f>[1]monsters!$K80</f>
        <v>1.2</v>
      </c>
      <c r="CB80" s="12">
        <f>[1]monsters!$D80</f>
        <v>3</v>
      </c>
      <c r="CC80" s="12">
        <f t="shared" ca="1" si="31"/>
        <v>0.1</v>
      </c>
      <c r="CD80" s="12">
        <f t="shared" ca="1" si="32"/>
        <v>74.110426936026897</v>
      </c>
      <c r="CE80" s="12">
        <f t="shared" ca="1" si="33"/>
        <v>7.4110426936026901</v>
      </c>
      <c r="CS80" s="32"/>
      <c r="CT80" s="32"/>
      <c r="CU80" s="33"/>
      <c r="CV80" s="32"/>
      <c r="CW80" s="32"/>
      <c r="CX80" s="32"/>
      <c r="CY80" s="34"/>
      <c r="CZ80" s="35"/>
      <c r="DA80" s="33"/>
      <c r="DB80" s="33"/>
      <c r="DC80" s="33"/>
      <c r="DD80" s="33"/>
      <c r="DE80" s="33"/>
      <c r="DF80" s="33"/>
      <c r="DG80" s="33"/>
      <c r="DH80" s="34"/>
      <c r="DI80" s="35"/>
      <c r="DJ80" s="33"/>
      <c r="DK80" s="34"/>
      <c r="DL80" s="34"/>
      <c r="DM80" s="34"/>
      <c r="DN80" s="3">
        <v>4502052</v>
      </c>
      <c r="DS80" s="21"/>
      <c r="DT80" s="21"/>
      <c r="DU80" s="21"/>
    </row>
    <row r="81" spans="39:125" ht="13.5" customHeight="1"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3"/>
      <c r="BA81" s="3"/>
      <c r="BB81" s="3"/>
      <c r="BC81" s="3"/>
      <c r="BT81" s="3">
        <v>4602052</v>
      </c>
      <c r="BU81" s="3">
        <f>[1]monsters!$N81</f>
        <v>229.97</v>
      </c>
      <c r="BV81" s="3">
        <f>[1]monsters!$O81</f>
        <v>23</v>
      </c>
      <c r="BW81" s="3">
        <f>[1]monsters!$P81</f>
        <v>1508.57</v>
      </c>
      <c r="BX81" s="3">
        <f>[1]monsters!$Q81</f>
        <v>150.86000000000001</v>
      </c>
      <c r="BY81" s="3">
        <f>[1]monsters!$R81</f>
        <v>28.75</v>
      </c>
      <c r="BZ81" s="3">
        <f>[1]monsters!$S81</f>
        <v>2.87</v>
      </c>
      <c r="CA81" s="3">
        <f>[1]monsters!$K81</f>
        <v>1.4000000000000001</v>
      </c>
      <c r="CB81" s="12">
        <f>[1]monsters!$D81</f>
        <v>5</v>
      </c>
      <c r="CC81" s="12">
        <f t="shared" ca="1" si="31"/>
        <v>0.1</v>
      </c>
      <c r="CD81" s="12">
        <f t="shared" ca="1" si="32"/>
        <v>92.803232323232294</v>
      </c>
      <c r="CE81" s="12">
        <f t="shared" ca="1" si="33"/>
        <v>9.2803232323232301</v>
      </c>
      <c r="CS81" s="32"/>
      <c r="CT81" s="32"/>
      <c r="CU81" s="33"/>
      <c r="CV81" s="32"/>
      <c r="CW81" s="32"/>
      <c r="CX81" s="32"/>
      <c r="CY81" s="34"/>
      <c r="CZ81" s="35"/>
      <c r="DA81" s="33"/>
      <c r="DB81" s="33"/>
      <c r="DC81" s="33"/>
      <c r="DD81" s="33"/>
      <c r="DE81" s="33"/>
      <c r="DF81" s="33"/>
      <c r="DG81" s="33"/>
      <c r="DH81" s="34"/>
      <c r="DI81" s="35"/>
      <c r="DJ81" s="33"/>
      <c r="DK81" s="34"/>
      <c r="DL81" s="34"/>
      <c r="DM81" s="34"/>
      <c r="DN81" s="3">
        <v>4602052</v>
      </c>
      <c r="DS81" s="21"/>
      <c r="DT81" s="21"/>
      <c r="DU81" s="21"/>
    </row>
    <row r="82" spans="39:125" ht="13.5" customHeight="1"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3"/>
      <c r="BA82" s="3"/>
      <c r="BB82" s="3"/>
      <c r="BC82" s="3"/>
      <c r="BT82" s="3">
        <v>4601052</v>
      </c>
      <c r="BU82" s="3">
        <f>[1]monsters!$N82</f>
        <v>168.96</v>
      </c>
      <c r="BV82" s="3">
        <f>[1]monsters!$O82</f>
        <v>16.899999999999999</v>
      </c>
      <c r="BW82" s="3">
        <f>[1]monsters!$P82</f>
        <v>2640</v>
      </c>
      <c r="BX82" s="3">
        <f>[1]monsters!$Q82</f>
        <v>264</v>
      </c>
      <c r="BY82" s="3">
        <f>[1]monsters!$R82</f>
        <v>56.32</v>
      </c>
      <c r="BZ82" s="3">
        <f>[1]monsters!$S82</f>
        <v>5.63</v>
      </c>
      <c r="CA82" s="3">
        <f>[1]monsters!$K82</f>
        <v>1.8</v>
      </c>
      <c r="CB82" s="12">
        <f>[1]monsters!$D82</f>
        <v>2</v>
      </c>
      <c r="CC82" s="12">
        <f t="shared" ca="1" si="31"/>
        <v>0.1</v>
      </c>
      <c r="CD82" s="12">
        <f t="shared" ca="1" si="32"/>
        <v>77.683232323232303</v>
      </c>
      <c r="CE82" s="12">
        <f t="shared" ca="1" si="33"/>
        <v>7.7683232323232296</v>
      </c>
      <c r="CS82" s="32"/>
      <c r="CT82" s="32"/>
      <c r="CU82" s="33"/>
      <c r="CV82" s="32"/>
      <c r="CW82" s="32"/>
      <c r="CX82" s="32"/>
      <c r="CY82" s="34"/>
      <c r="CZ82" s="35"/>
      <c r="DA82" s="33"/>
      <c r="DB82" s="33"/>
      <c r="DC82" s="33"/>
      <c r="DD82" s="33"/>
      <c r="DE82" s="33"/>
      <c r="DF82" s="33"/>
      <c r="DG82" s="33"/>
      <c r="DH82" s="34"/>
      <c r="DI82" s="35"/>
      <c r="DJ82" s="33"/>
      <c r="DK82" s="34"/>
      <c r="DL82" s="34"/>
      <c r="DM82" s="34"/>
      <c r="DN82" s="3">
        <v>4601052</v>
      </c>
      <c r="DS82" s="21"/>
      <c r="DT82" s="21"/>
      <c r="DU82" s="21"/>
    </row>
    <row r="83" spans="39:125" ht="13.5" customHeight="1"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3"/>
      <c r="BA83" s="3"/>
      <c r="BB83" s="3"/>
      <c r="BC83" s="3"/>
      <c r="BT83" s="3">
        <v>4500052</v>
      </c>
      <c r="BU83" s="3">
        <f>[1]monsters!$N83</f>
        <v>246.4</v>
      </c>
      <c r="BV83" s="3">
        <f>[1]monsters!$O83</f>
        <v>24.64</v>
      </c>
      <c r="BW83" s="3">
        <f>[1]monsters!$P83</f>
        <v>1508.57</v>
      </c>
      <c r="BX83" s="3">
        <f>[1]monsters!$Q83</f>
        <v>150.86000000000001</v>
      </c>
      <c r="BY83" s="3">
        <f>[1]monsters!$R83</f>
        <v>30.8</v>
      </c>
      <c r="BZ83" s="3">
        <f>[1]monsters!$S83</f>
        <v>3.08</v>
      </c>
      <c r="CA83" s="3">
        <f>[1]monsters!$K83</f>
        <v>1.5</v>
      </c>
      <c r="CB83" s="12">
        <f>[1]monsters!$D83</f>
        <v>5</v>
      </c>
      <c r="CC83" s="12">
        <f t="shared" ca="1" si="31"/>
        <v>0.1</v>
      </c>
      <c r="CD83" s="12">
        <f t="shared" ca="1" si="32"/>
        <v>74.110426936026897</v>
      </c>
      <c r="CE83" s="12">
        <f t="shared" ca="1" si="33"/>
        <v>7.4110426936026901</v>
      </c>
      <c r="CS83" s="32"/>
      <c r="CT83" s="32"/>
      <c r="CU83" s="33"/>
      <c r="CV83" s="32"/>
      <c r="CW83" s="32"/>
      <c r="CX83" s="32"/>
      <c r="CY83" s="34"/>
      <c r="CZ83" s="35"/>
      <c r="DA83" s="33"/>
      <c r="DB83" s="33"/>
      <c r="DC83" s="33"/>
      <c r="DD83" s="33"/>
      <c r="DE83" s="33"/>
      <c r="DF83" s="33"/>
      <c r="DG83" s="33"/>
      <c r="DH83" s="34"/>
      <c r="DI83" s="35"/>
      <c r="DJ83" s="33"/>
      <c r="DK83" s="34"/>
      <c r="DL83" s="34"/>
      <c r="DM83" s="34"/>
      <c r="DN83" s="3">
        <v>4500052</v>
      </c>
      <c r="DS83" s="21"/>
      <c r="DT83" s="21"/>
      <c r="DU83" s="21"/>
    </row>
    <row r="84" spans="39:125" ht="13.5" customHeight="1"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3"/>
      <c r="BA84" s="3"/>
      <c r="BB84" s="3"/>
      <c r="BC84" s="3"/>
      <c r="BT84" s="3">
        <v>4301052</v>
      </c>
      <c r="BU84" s="3">
        <f>[1]monsters!$N84</f>
        <v>272.8</v>
      </c>
      <c r="BV84" s="3">
        <f>[1]monsters!$O84</f>
        <v>27.28</v>
      </c>
      <c r="BW84" s="3">
        <f>[1]monsters!$P84</f>
        <v>1362.58</v>
      </c>
      <c r="BX84" s="3">
        <f>[1]monsters!$Q84</f>
        <v>136.26</v>
      </c>
      <c r="BY84" s="3">
        <f>[1]monsters!$R84</f>
        <v>27.28</v>
      </c>
      <c r="BZ84" s="3">
        <f>[1]monsters!$S84</f>
        <v>2.73</v>
      </c>
      <c r="CA84" s="3">
        <f>[1]monsters!$K84</f>
        <v>1.5</v>
      </c>
      <c r="CB84" s="12">
        <f>[1]monsters!$D84</f>
        <v>6</v>
      </c>
      <c r="CC84" s="12">
        <f t="shared" ca="1" si="31"/>
        <v>0.1</v>
      </c>
      <c r="CD84" s="12">
        <f t="shared" ca="1" si="32"/>
        <v>71.295502581369405</v>
      </c>
      <c r="CE84" s="12">
        <f t="shared" ca="1" si="33"/>
        <v>7.1295502581369403</v>
      </c>
      <c r="CS84" s="32"/>
      <c r="CT84" s="32"/>
      <c r="CU84" s="33"/>
      <c r="CV84" s="32"/>
      <c r="CW84" s="32"/>
      <c r="CX84" s="32"/>
      <c r="CY84" s="34"/>
      <c r="CZ84" s="35"/>
      <c r="DA84" s="33"/>
      <c r="DB84" s="33"/>
      <c r="DC84" s="33"/>
      <c r="DD84" s="33"/>
      <c r="DE84" s="33"/>
      <c r="DF84" s="33"/>
      <c r="DG84" s="33"/>
      <c r="DH84" s="34"/>
      <c r="DI84" s="35"/>
      <c r="DJ84" s="33"/>
      <c r="DK84" s="34"/>
      <c r="DL84" s="34"/>
      <c r="DM84" s="34"/>
      <c r="DN84" s="3">
        <v>4301052</v>
      </c>
      <c r="DS84" s="21"/>
      <c r="DT84" s="21"/>
      <c r="DU84" s="21"/>
    </row>
    <row r="85" spans="39:125" ht="13.5" customHeight="1"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3"/>
      <c r="BA85" s="3"/>
      <c r="BB85" s="3"/>
      <c r="BC85" s="3"/>
      <c r="BT85" s="3">
        <v>4202053</v>
      </c>
      <c r="BU85" s="3">
        <f>[1]monsters!$N85</f>
        <v>176</v>
      </c>
      <c r="BV85" s="3">
        <f>[1]monsters!$O85</f>
        <v>17.600000000000001</v>
      </c>
      <c r="BW85" s="3">
        <f>[1]monsters!$P85</f>
        <v>2112</v>
      </c>
      <c r="BX85" s="3">
        <f>[1]monsters!$Q85</f>
        <v>211.2</v>
      </c>
      <c r="BY85" s="3">
        <f>[1]monsters!$R85</f>
        <v>44</v>
      </c>
      <c r="BZ85" s="3">
        <f>[1]monsters!$S85</f>
        <v>4.4000000000000004</v>
      </c>
      <c r="CA85" s="3">
        <f>[1]monsters!$K85</f>
        <v>1.5</v>
      </c>
      <c r="CB85" s="12">
        <f>[1]monsters!$D85</f>
        <v>2</v>
      </c>
      <c r="CC85" s="12">
        <f t="shared" ca="1" si="31"/>
        <v>0.1</v>
      </c>
      <c r="CD85" s="12">
        <f t="shared" ca="1" si="32"/>
        <v>88.788040404040402</v>
      </c>
      <c r="CE85" s="12">
        <f t="shared" ca="1" si="33"/>
        <v>8.8788040404040398</v>
      </c>
      <c r="CS85" s="32"/>
      <c r="CT85" s="32"/>
      <c r="CU85" s="33"/>
      <c r="CV85" s="32"/>
      <c r="CW85" s="32"/>
      <c r="CX85" s="32"/>
      <c r="CY85" s="34"/>
      <c r="CZ85" s="35"/>
      <c r="DA85" s="33"/>
      <c r="DB85" s="33"/>
      <c r="DC85" s="33"/>
      <c r="DD85" s="33"/>
      <c r="DE85" s="33"/>
      <c r="DF85" s="33"/>
      <c r="DG85" s="33"/>
      <c r="DH85" s="34"/>
      <c r="DI85" s="35"/>
      <c r="DJ85" s="33"/>
      <c r="DK85" s="34"/>
      <c r="DL85" s="34"/>
      <c r="DM85" s="34"/>
      <c r="DN85" s="3">
        <v>4202053</v>
      </c>
      <c r="DS85" s="21"/>
      <c r="DT85" s="21"/>
      <c r="DU85" s="21"/>
    </row>
    <row r="86" spans="39:125" ht="13.5" customHeight="1"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3"/>
      <c r="BA86" s="3"/>
      <c r="BB86" s="3"/>
      <c r="BC86" s="3"/>
      <c r="BT86" s="3">
        <v>4302053</v>
      </c>
      <c r="BU86" s="3">
        <f>[1]monsters!$N86</f>
        <v>225.28</v>
      </c>
      <c r="BV86" s="3">
        <f>[1]monsters!$O86</f>
        <v>22.53</v>
      </c>
      <c r="BW86" s="3">
        <f>[1]monsters!$P86</f>
        <v>1760</v>
      </c>
      <c r="BX86" s="3">
        <f>[1]monsters!$Q86</f>
        <v>176</v>
      </c>
      <c r="BY86" s="3">
        <f>[1]monsters!$R86</f>
        <v>32.18</v>
      </c>
      <c r="BZ86" s="3">
        <f>[1]monsters!$S86</f>
        <v>3.22</v>
      </c>
      <c r="CA86" s="3">
        <f>[1]monsters!$K86</f>
        <v>1.6</v>
      </c>
      <c r="CB86" s="12">
        <f>[1]monsters!$D86</f>
        <v>4</v>
      </c>
      <c r="CC86" s="12">
        <f t="shared" ca="1" si="31"/>
        <v>0.1</v>
      </c>
      <c r="CD86" s="12">
        <f t="shared" ca="1" si="32"/>
        <v>68.573902581369396</v>
      </c>
      <c r="CE86" s="12">
        <f t="shared" ca="1" si="33"/>
        <v>6.8573902581369399</v>
      </c>
      <c r="CS86" s="32"/>
      <c r="CT86" s="32"/>
      <c r="CU86" s="33"/>
      <c r="CV86" s="32"/>
      <c r="CW86" s="32"/>
      <c r="CX86" s="32"/>
      <c r="CY86" s="34"/>
      <c r="CZ86" s="35"/>
      <c r="DA86" s="33"/>
      <c r="DB86" s="33"/>
      <c r="DC86" s="33"/>
      <c r="DD86" s="33"/>
      <c r="DE86" s="33"/>
      <c r="DF86" s="33"/>
      <c r="DG86" s="33"/>
      <c r="DH86" s="34"/>
      <c r="DI86" s="35"/>
      <c r="DJ86" s="33"/>
      <c r="DK86" s="34"/>
      <c r="DL86" s="34"/>
      <c r="DM86" s="34"/>
      <c r="DN86" s="3">
        <v>4302053</v>
      </c>
      <c r="DS86" s="21"/>
      <c r="DT86" s="21"/>
      <c r="DU86" s="21"/>
    </row>
    <row r="87" spans="39:125" ht="13.5" customHeight="1"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3"/>
      <c r="BA87" s="3"/>
      <c r="BB87" s="3"/>
      <c r="BC87" s="3"/>
      <c r="BT87" s="3">
        <v>4400053</v>
      </c>
      <c r="BU87" s="3">
        <f>[1]monsters!$N87</f>
        <v>211.2</v>
      </c>
      <c r="BV87" s="3">
        <f>[1]monsters!$O87</f>
        <v>21.12</v>
      </c>
      <c r="BW87" s="3">
        <f>[1]monsters!$P87</f>
        <v>1760</v>
      </c>
      <c r="BX87" s="3">
        <f>[1]monsters!$Q87</f>
        <v>176</v>
      </c>
      <c r="BY87" s="3">
        <f>[1]monsters!$R87</f>
        <v>30.17</v>
      </c>
      <c r="BZ87" s="3">
        <f>[1]monsters!$S87</f>
        <v>3.02</v>
      </c>
      <c r="CA87" s="3">
        <f>[1]monsters!$K87</f>
        <v>1.5</v>
      </c>
      <c r="CB87" s="12">
        <f>[1]monsters!$D87</f>
        <v>4</v>
      </c>
      <c r="CC87" s="12">
        <f t="shared" ca="1" si="31"/>
        <v>0.1</v>
      </c>
      <c r="CD87" s="12">
        <f t="shared" ca="1" si="32"/>
        <v>69.3015566574839</v>
      </c>
      <c r="CE87" s="12">
        <f t="shared" ca="1" si="33"/>
        <v>6.9301556657483898</v>
      </c>
      <c r="CS87" s="32"/>
      <c r="CT87" s="32"/>
      <c r="CU87" s="33"/>
      <c r="CV87" s="32"/>
      <c r="CW87" s="32"/>
      <c r="CX87" s="32"/>
      <c r="CY87" s="34"/>
      <c r="CZ87" s="35"/>
      <c r="DA87" s="33"/>
      <c r="DB87" s="33"/>
      <c r="DC87" s="33"/>
      <c r="DD87" s="33"/>
      <c r="DE87" s="33"/>
      <c r="DF87" s="33"/>
      <c r="DG87" s="33"/>
      <c r="DH87" s="34"/>
      <c r="DI87" s="35"/>
      <c r="DJ87" s="33"/>
      <c r="DK87" s="34"/>
      <c r="DL87" s="34"/>
      <c r="DM87" s="34"/>
      <c r="DN87" s="3">
        <v>4400053</v>
      </c>
      <c r="DS87" s="21"/>
      <c r="DT87" s="21"/>
      <c r="DU87" s="21"/>
    </row>
    <row r="88" spans="39:125" ht="13.5" customHeight="1"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3"/>
      <c r="BA88" s="3"/>
      <c r="BB88" s="3"/>
      <c r="BC88" s="3"/>
      <c r="BT88" s="3">
        <v>4501053</v>
      </c>
      <c r="BU88" s="3">
        <f>[1]monsters!$N88</f>
        <v>262.83</v>
      </c>
      <c r="BV88" s="3">
        <f>[1]monsters!$O88</f>
        <v>26.28</v>
      </c>
      <c r="BW88" s="3">
        <f>[1]monsters!$P88</f>
        <v>1508.57</v>
      </c>
      <c r="BX88" s="3">
        <f>[1]monsters!$Q88</f>
        <v>150.86000000000001</v>
      </c>
      <c r="BY88" s="3">
        <f>[1]monsters!$R88</f>
        <v>32.85</v>
      </c>
      <c r="BZ88" s="3">
        <f>[1]monsters!$S88</f>
        <v>3.29</v>
      </c>
      <c r="CA88" s="3">
        <f>[1]monsters!$K88</f>
        <v>1.6</v>
      </c>
      <c r="CB88" s="12">
        <f>[1]monsters!$D88</f>
        <v>5</v>
      </c>
      <c r="CC88" s="12">
        <f t="shared" ca="1" si="31"/>
        <v>0.1</v>
      </c>
      <c r="CD88" s="12">
        <f t="shared" ca="1" si="32"/>
        <v>84.996826936026906</v>
      </c>
      <c r="CE88" s="12">
        <f t="shared" ca="1" si="33"/>
        <v>8.4996826936026899</v>
      </c>
      <c r="CS88" s="32"/>
      <c r="CT88" s="32"/>
      <c r="CU88" s="33"/>
      <c r="CV88" s="32"/>
      <c r="CW88" s="32"/>
      <c r="CX88" s="32"/>
      <c r="CY88" s="34"/>
      <c r="CZ88" s="35"/>
      <c r="DA88" s="33"/>
      <c r="DB88" s="33"/>
      <c r="DC88" s="33"/>
      <c r="DD88" s="33"/>
      <c r="DE88" s="33"/>
      <c r="DF88" s="33"/>
      <c r="DG88" s="33"/>
      <c r="DH88" s="34"/>
      <c r="DI88" s="35"/>
      <c r="DJ88" s="33"/>
      <c r="DK88" s="34"/>
      <c r="DL88" s="34"/>
      <c r="DM88" s="34"/>
      <c r="DN88" s="3">
        <v>4501053</v>
      </c>
      <c r="DS88" s="21"/>
      <c r="DT88" s="21"/>
      <c r="DU88" s="21"/>
    </row>
    <row r="89" spans="39:125" ht="13.5" customHeight="1"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3"/>
      <c r="BA89" s="3"/>
      <c r="BB89" s="3"/>
      <c r="BC89" s="3"/>
      <c r="BT89" s="3">
        <v>4600053</v>
      </c>
      <c r="BU89" s="3">
        <f>[1]monsters!$N89</f>
        <v>254.61</v>
      </c>
      <c r="BV89" s="3">
        <f>[1]monsters!$O89</f>
        <v>25.46</v>
      </c>
      <c r="BW89" s="3">
        <f>[1]monsters!$P89</f>
        <v>1362.58</v>
      </c>
      <c r="BX89" s="3">
        <f>[1]monsters!$Q89</f>
        <v>136.26</v>
      </c>
      <c r="BY89" s="3">
        <f>[1]monsters!$R89</f>
        <v>25.46</v>
      </c>
      <c r="BZ89" s="3">
        <f>[1]monsters!$S89</f>
        <v>2.5499999999999998</v>
      </c>
      <c r="CA89" s="3">
        <f>[1]monsters!$K89</f>
        <v>1.4000000000000001</v>
      </c>
      <c r="CB89" s="12">
        <f>[1]monsters!$D89</f>
        <v>6</v>
      </c>
      <c r="CC89" s="12">
        <f t="shared" ca="1" si="31"/>
        <v>0.1</v>
      </c>
      <c r="CD89" s="12">
        <f t="shared" ca="1" si="32"/>
        <v>71.635232323232302</v>
      </c>
      <c r="CE89" s="12">
        <f t="shared" ca="1" si="33"/>
        <v>7.1635232323232296</v>
      </c>
      <c r="CS89" s="32"/>
      <c r="CT89" s="32"/>
      <c r="CU89" s="33"/>
      <c r="CV89" s="32"/>
      <c r="CW89" s="32"/>
      <c r="CX89" s="32"/>
      <c r="CY89" s="34"/>
      <c r="CZ89" s="35"/>
      <c r="DA89" s="33"/>
      <c r="DB89" s="33"/>
      <c r="DC89" s="33"/>
      <c r="DD89" s="33"/>
      <c r="DE89" s="33"/>
      <c r="DF89" s="33"/>
      <c r="DG89" s="33"/>
      <c r="DH89" s="34"/>
      <c r="DI89" s="35"/>
      <c r="DJ89" s="33"/>
      <c r="DK89" s="34"/>
      <c r="DL89" s="34"/>
      <c r="DM89" s="34"/>
      <c r="DN89" s="3">
        <v>4600053</v>
      </c>
      <c r="DS89" s="21"/>
      <c r="DT89" s="21"/>
      <c r="DU89" s="21"/>
    </row>
    <row r="90" spans="39:125" ht="13.5" customHeight="1"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3"/>
      <c r="BA90" s="3"/>
      <c r="BB90" s="3"/>
      <c r="BC90" s="3"/>
      <c r="BT90" s="3">
        <v>4201053</v>
      </c>
      <c r="BU90" s="3">
        <f>[1]monsters!$N90</f>
        <v>327.36</v>
      </c>
      <c r="BV90" s="3">
        <f>[1]monsters!$O90</f>
        <v>32.74</v>
      </c>
      <c r="BW90" s="3">
        <f>[1]monsters!$P90</f>
        <v>1362.58</v>
      </c>
      <c r="BX90" s="3">
        <f>[1]monsters!$Q90</f>
        <v>136.26</v>
      </c>
      <c r="BY90" s="3">
        <f>[1]monsters!$R90</f>
        <v>32.74</v>
      </c>
      <c r="BZ90" s="3">
        <f>[1]monsters!$S90</f>
        <v>3.27</v>
      </c>
      <c r="CA90" s="3">
        <f>[1]monsters!$K90</f>
        <v>1.8</v>
      </c>
      <c r="CB90" s="12">
        <f>[1]monsters!$D90</f>
        <v>6</v>
      </c>
      <c r="CC90" s="12">
        <f t="shared" ca="1" si="31"/>
        <v>0.1</v>
      </c>
      <c r="CD90" s="12">
        <f t="shared" ca="1" si="32"/>
        <v>88.788040404040402</v>
      </c>
      <c r="CE90" s="12">
        <f t="shared" ca="1" si="33"/>
        <v>8.8788040404040398</v>
      </c>
      <c r="CS90" s="32"/>
      <c r="CT90" s="32"/>
      <c r="CU90" s="33"/>
      <c r="CV90" s="32"/>
      <c r="CW90" s="32"/>
      <c r="CX90" s="32"/>
      <c r="CY90" s="34"/>
      <c r="CZ90" s="35"/>
      <c r="DA90" s="33"/>
      <c r="DB90" s="33"/>
      <c r="DC90" s="33"/>
      <c r="DD90" s="33"/>
      <c r="DE90" s="33"/>
      <c r="DF90" s="33"/>
      <c r="DG90" s="33"/>
      <c r="DH90" s="34"/>
      <c r="DI90" s="35"/>
      <c r="DJ90" s="33"/>
      <c r="DK90" s="34"/>
      <c r="DL90" s="34"/>
      <c r="DM90" s="34"/>
      <c r="DN90" s="3">
        <v>4201053</v>
      </c>
      <c r="DS90" s="21"/>
      <c r="DT90" s="21"/>
      <c r="DU90" s="21"/>
    </row>
    <row r="91" spans="39:125" ht="13.5" customHeight="1"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3"/>
      <c r="BA91" s="3"/>
      <c r="BB91" s="3"/>
      <c r="BC91" s="3"/>
      <c r="BT91" s="3">
        <v>4502053</v>
      </c>
      <c r="BU91" s="3">
        <f>[1]monsters!$N91</f>
        <v>137.28</v>
      </c>
      <c r="BV91" s="3">
        <f>[1]monsters!$O91</f>
        <v>13.73</v>
      </c>
      <c r="BW91" s="3">
        <f>[1]monsters!$P91</f>
        <v>2346.67</v>
      </c>
      <c r="BX91" s="3">
        <f>[1]monsters!$Q91</f>
        <v>234.67</v>
      </c>
      <c r="BY91" s="3">
        <f>[1]monsters!$R91</f>
        <v>27.46</v>
      </c>
      <c r="BZ91" s="3">
        <f>[1]monsters!$S91</f>
        <v>2.75</v>
      </c>
      <c r="CA91" s="3">
        <f>[1]monsters!$K91</f>
        <v>1.3</v>
      </c>
      <c r="CB91" s="12">
        <f>[1]monsters!$D91</f>
        <v>3</v>
      </c>
      <c r="CC91" s="12">
        <f t="shared" ca="1" si="31"/>
        <v>0.1</v>
      </c>
      <c r="CD91" s="12">
        <f t="shared" ca="1" si="32"/>
        <v>74.110426936026897</v>
      </c>
      <c r="CE91" s="12">
        <f t="shared" ca="1" si="33"/>
        <v>7.4110426936026901</v>
      </c>
      <c r="CS91" s="32"/>
      <c r="CT91" s="32"/>
      <c r="CU91" s="33"/>
      <c r="CV91" s="32"/>
      <c r="CW91" s="32"/>
      <c r="CX91" s="32"/>
      <c r="CY91" s="34"/>
      <c r="CZ91" s="35"/>
      <c r="DA91" s="33"/>
      <c r="DB91" s="33"/>
      <c r="DC91" s="33"/>
      <c r="DD91" s="33"/>
      <c r="DE91" s="33"/>
      <c r="DF91" s="33"/>
      <c r="DG91" s="33"/>
      <c r="DH91" s="34"/>
      <c r="DI91" s="35"/>
      <c r="DJ91" s="33"/>
      <c r="DK91" s="34"/>
      <c r="DL91" s="34"/>
      <c r="DM91" s="34"/>
      <c r="DN91" s="3">
        <v>4502053</v>
      </c>
      <c r="DS91" s="21"/>
      <c r="DT91" s="21"/>
      <c r="DU91" s="21"/>
    </row>
    <row r="92" spans="39:125" ht="13.5" customHeight="1"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3"/>
      <c r="BA92" s="3"/>
      <c r="BB92" s="3"/>
      <c r="BC92" s="3"/>
      <c r="BT92" s="3">
        <v>4401053</v>
      </c>
      <c r="BU92" s="3">
        <f>[1]monsters!$N92</f>
        <v>147.84</v>
      </c>
      <c r="BV92" s="3">
        <f>[1]monsters!$O92</f>
        <v>14.78</v>
      </c>
      <c r="BW92" s="3">
        <f>[1]monsters!$P92</f>
        <v>2346.67</v>
      </c>
      <c r="BX92" s="3">
        <f>[1]monsters!$Q92</f>
        <v>234.67</v>
      </c>
      <c r="BY92" s="3">
        <f>[1]monsters!$R92</f>
        <v>29.57</v>
      </c>
      <c r="BZ92" s="3">
        <f>[1]monsters!$S92</f>
        <v>2.96</v>
      </c>
      <c r="CA92" s="3">
        <f>[1]monsters!$K92</f>
        <v>1.4000000000000001</v>
      </c>
      <c r="CB92" s="12">
        <f>[1]monsters!$D92</f>
        <v>3</v>
      </c>
      <c r="CC92" s="12">
        <f t="shared" ca="1" si="31"/>
        <v>0.1</v>
      </c>
      <c r="CD92" s="12">
        <f t="shared" ca="1" si="32"/>
        <v>79.280756657483906</v>
      </c>
      <c r="CE92" s="12">
        <f t="shared" ca="1" si="33"/>
        <v>7.9280756657483904</v>
      </c>
      <c r="CS92" s="32"/>
      <c r="CT92" s="32"/>
      <c r="CU92" s="33"/>
      <c r="CV92" s="32"/>
      <c r="CW92" s="32"/>
      <c r="CX92" s="32"/>
      <c r="CY92" s="34"/>
      <c r="CZ92" s="35"/>
      <c r="DA92" s="33"/>
      <c r="DB92" s="33"/>
      <c r="DC92" s="33"/>
      <c r="DD92" s="33"/>
      <c r="DE92" s="33"/>
      <c r="DF92" s="33"/>
      <c r="DG92" s="33"/>
      <c r="DH92" s="34"/>
      <c r="DI92" s="35"/>
      <c r="DJ92" s="33"/>
      <c r="DK92" s="34"/>
      <c r="DL92" s="34"/>
      <c r="DM92" s="34"/>
      <c r="DN92" s="3">
        <v>4401053</v>
      </c>
      <c r="DS92" s="21"/>
      <c r="DT92" s="21"/>
      <c r="DU92" s="21"/>
    </row>
    <row r="93" spans="39:125" ht="13.5" customHeight="1"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3"/>
      <c r="BA93" s="3"/>
      <c r="BB93" s="3"/>
      <c r="BC93" s="3"/>
      <c r="BT93" s="3">
        <v>4201054</v>
      </c>
      <c r="BU93" s="3">
        <f>[1]monsters!$N93</f>
        <v>197.12</v>
      </c>
      <c r="BV93" s="3">
        <f>[1]monsters!$O93</f>
        <v>19.71</v>
      </c>
      <c r="BW93" s="3">
        <f>[1]monsters!$P93</f>
        <v>1760</v>
      </c>
      <c r="BX93" s="3">
        <f>[1]monsters!$Q93</f>
        <v>176</v>
      </c>
      <c r="BY93" s="3">
        <f>[1]monsters!$R93</f>
        <v>28.16</v>
      </c>
      <c r="BZ93" s="3">
        <f>[1]monsters!$S93</f>
        <v>2.82</v>
      </c>
      <c r="CA93" s="3">
        <f>[1]monsters!$K93</f>
        <v>1.4000000000000001</v>
      </c>
      <c r="CB93" s="12">
        <f>[1]monsters!$D93</f>
        <v>4</v>
      </c>
      <c r="CC93" s="12">
        <f t="shared" ca="1" si="31"/>
        <v>0.1</v>
      </c>
      <c r="CD93" s="12">
        <f t="shared" ca="1" si="32"/>
        <v>88.788040404040402</v>
      </c>
      <c r="CE93" s="12">
        <f t="shared" ca="1" si="33"/>
        <v>8.8788040404040398</v>
      </c>
      <c r="CS93" s="32"/>
      <c r="CT93" s="32"/>
      <c r="CU93" s="33"/>
      <c r="CV93" s="32"/>
      <c r="CW93" s="32"/>
      <c r="CX93" s="32"/>
      <c r="CY93" s="34"/>
      <c r="CZ93" s="35"/>
      <c r="DA93" s="33"/>
      <c r="DB93" s="33"/>
      <c r="DC93" s="33"/>
      <c r="DD93" s="33"/>
      <c r="DE93" s="33"/>
      <c r="DF93" s="33"/>
      <c r="DG93" s="33"/>
      <c r="DH93" s="34"/>
      <c r="DI93" s="35"/>
      <c r="DJ93" s="33"/>
      <c r="DK93" s="34"/>
      <c r="DL93" s="34"/>
      <c r="DM93" s="34"/>
      <c r="DN93" s="3">
        <v>4201054</v>
      </c>
      <c r="DS93" s="21"/>
      <c r="DT93" s="21"/>
      <c r="DU93" s="21"/>
    </row>
    <row r="94" spans="39:125" ht="13.5" customHeight="1">
      <c r="AZ94" s="3"/>
      <c r="BA94" s="3"/>
      <c r="BB94" s="3"/>
      <c r="BC94" s="3"/>
      <c r="BT94" s="3">
        <v>4301054</v>
      </c>
      <c r="BU94" s="3">
        <f>[1]monsters!$N94</f>
        <v>128</v>
      </c>
      <c r="BV94" s="3">
        <f>[1]monsters!$O94</f>
        <v>12.8</v>
      </c>
      <c r="BW94" s="3">
        <f>[1]monsters!$P94</f>
        <v>1536</v>
      </c>
      <c r="BX94" s="3">
        <f>[1]monsters!$Q94</f>
        <v>153.6</v>
      </c>
      <c r="BY94" s="3">
        <f>[1]monsters!$R94</f>
        <v>32</v>
      </c>
      <c r="BZ94" s="3">
        <f>[1]monsters!$S94</f>
        <v>3.2</v>
      </c>
      <c r="CA94" s="3">
        <f>[1]monsters!$K94</f>
        <v>1.5</v>
      </c>
      <c r="CB94" s="12">
        <f>[1]monsters!$D94</f>
        <v>2</v>
      </c>
      <c r="CC94" s="12">
        <f t="shared" ca="1" si="31"/>
        <v>0.1</v>
      </c>
      <c r="CD94" s="12">
        <f t="shared" ca="1" si="32"/>
        <v>71.295502581369405</v>
      </c>
      <c r="CE94" s="12">
        <f t="shared" ca="1" si="33"/>
        <v>7.1295502581369403</v>
      </c>
      <c r="CS94" s="32"/>
      <c r="CT94" s="32"/>
      <c r="CU94" s="33"/>
      <c r="CV94" s="32"/>
      <c r="CW94" s="32"/>
      <c r="CX94" s="32"/>
      <c r="CY94" s="34"/>
      <c r="CZ94" s="35"/>
      <c r="DA94" s="33"/>
      <c r="DB94" s="33"/>
      <c r="DC94" s="33"/>
      <c r="DD94" s="33"/>
      <c r="DE94" s="33"/>
      <c r="DF94" s="33"/>
      <c r="DG94" s="33"/>
      <c r="DH94" s="34"/>
      <c r="DI94" s="35"/>
      <c r="DJ94" s="33"/>
      <c r="DK94" s="34"/>
      <c r="DL94" s="34"/>
      <c r="DM94" s="34"/>
      <c r="DN94" s="3">
        <v>4301054</v>
      </c>
      <c r="DS94" s="21"/>
      <c r="DT94" s="21"/>
      <c r="DU94" s="21"/>
    </row>
    <row r="95" spans="39:125" ht="13.5" customHeight="1">
      <c r="AZ95" s="3"/>
      <c r="BA95" s="3"/>
      <c r="BB95" s="3"/>
      <c r="BC95" s="3"/>
      <c r="BT95" s="3">
        <v>4401054</v>
      </c>
      <c r="BU95" s="3">
        <f>[1]monsters!$N95</f>
        <v>122.88</v>
      </c>
      <c r="BV95" s="3">
        <f>[1]monsters!$O95</f>
        <v>12.29</v>
      </c>
      <c r="BW95" s="3">
        <f>[1]monsters!$P95</f>
        <v>1920</v>
      </c>
      <c r="BX95" s="3">
        <f>[1]monsters!$Q95</f>
        <v>192</v>
      </c>
      <c r="BY95" s="3">
        <f>[1]monsters!$R95</f>
        <v>40.96</v>
      </c>
      <c r="BZ95" s="3">
        <f>[1]monsters!$S95</f>
        <v>4.0999999999999996</v>
      </c>
      <c r="CA95" s="3">
        <f>[1]monsters!$K95</f>
        <v>1.8</v>
      </c>
      <c r="CB95" s="12">
        <f>[1]monsters!$D95</f>
        <v>2</v>
      </c>
      <c r="CC95" s="12">
        <f t="shared" ca="1" si="31"/>
        <v>0.1</v>
      </c>
      <c r="CD95" s="12">
        <f t="shared" ca="1" si="32"/>
        <v>79.280756657483906</v>
      </c>
      <c r="CE95" s="12">
        <f t="shared" ca="1" si="33"/>
        <v>7.9280756657483904</v>
      </c>
      <c r="CS95" s="32"/>
      <c r="CT95" s="32"/>
      <c r="CU95" s="33"/>
      <c r="CV95" s="32"/>
      <c r="CW95" s="32"/>
      <c r="CX95" s="32"/>
      <c r="CY95" s="34"/>
      <c r="CZ95" s="35"/>
      <c r="DA95" s="33"/>
      <c r="DB95" s="33"/>
      <c r="DC95" s="33"/>
      <c r="DD95" s="33"/>
      <c r="DE95" s="33"/>
      <c r="DF95" s="33"/>
      <c r="DG95" s="33"/>
      <c r="DH95" s="34"/>
      <c r="DI95" s="35"/>
      <c r="DJ95" s="33"/>
      <c r="DK95" s="34"/>
      <c r="DL95" s="34"/>
      <c r="DM95" s="34"/>
      <c r="DN95" s="3">
        <v>4401054</v>
      </c>
      <c r="DS95" s="21"/>
      <c r="DT95" s="21"/>
      <c r="DU95" s="21"/>
    </row>
    <row r="96" spans="39:125" ht="13.5" customHeight="1">
      <c r="AZ96" s="3"/>
      <c r="BA96" s="3"/>
      <c r="BB96" s="3"/>
      <c r="BC96" s="3"/>
      <c r="BT96" s="3">
        <v>4501054</v>
      </c>
      <c r="BU96" s="3">
        <f>[1]monsters!$N96</f>
        <v>138.24</v>
      </c>
      <c r="BV96" s="3">
        <f>[1]monsters!$O96</f>
        <v>13.82</v>
      </c>
      <c r="BW96" s="3">
        <f>[1]monsters!$P96</f>
        <v>1706.67</v>
      </c>
      <c r="BX96" s="3">
        <f>[1]monsters!$Q96</f>
        <v>170.67</v>
      </c>
      <c r="BY96" s="3">
        <f>[1]monsters!$R96</f>
        <v>27.65</v>
      </c>
      <c r="BZ96" s="3">
        <f>[1]monsters!$S96</f>
        <v>2.76</v>
      </c>
      <c r="CA96" s="3">
        <f>[1]monsters!$K96</f>
        <v>1.8</v>
      </c>
      <c r="CB96" s="12">
        <f>[1]monsters!$D96</f>
        <v>2</v>
      </c>
      <c r="CC96" s="12">
        <f t="shared" ca="1" si="31"/>
        <v>0.1</v>
      </c>
      <c r="CD96" s="12">
        <f t="shared" ca="1" si="32"/>
        <v>84.996826936026906</v>
      </c>
      <c r="CE96" s="12">
        <f t="shared" ca="1" si="33"/>
        <v>8.4996826936026899</v>
      </c>
      <c r="CS96" s="32"/>
      <c r="CT96" s="32"/>
      <c r="CU96" s="33"/>
      <c r="CV96" s="32"/>
      <c r="CW96" s="32"/>
      <c r="CX96" s="32"/>
      <c r="CY96" s="34"/>
      <c r="CZ96" s="35"/>
      <c r="DA96" s="33"/>
      <c r="DB96" s="33"/>
      <c r="DC96" s="33"/>
      <c r="DD96" s="33"/>
      <c r="DE96" s="33"/>
      <c r="DF96" s="33"/>
      <c r="DG96" s="33"/>
      <c r="DH96" s="34"/>
      <c r="DI96" s="35"/>
      <c r="DJ96" s="33"/>
      <c r="DK96" s="34"/>
      <c r="DL96" s="34"/>
      <c r="DM96" s="34"/>
      <c r="DN96" s="3">
        <v>4501054</v>
      </c>
      <c r="DS96" s="21"/>
      <c r="DT96" s="21"/>
      <c r="DU96" s="21"/>
    </row>
    <row r="97" spans="52:125" ht="13.5" customHeight="1">
      <c r="AZ97" s="3"/>
      <c r="BA97" s="3"/>
      <c r="BB97" s="3"/>
      <c r="BC97" s="3"/>
      <c r="BT97" s="3">
        <v>4601054</v>
      </c>
      <c r="BU97" s="3">
        <f>[1]monsters!$N97</f>
        <v>92.16</v>
      </c>
      <c r="BV97" s="3">
        <f>[1]monsters!$O97</f>
        <v>9.2200000000000006</v>
      </c>
      <c r="BW97" s="3">
        <f>[1]monsters!$P97</f>
        <v>1706.67</v>
      </c>
      <c r="BX97" s="3">
        <f>[1]monsters!$Q97</f>
        <v>170.67</v>
      </c>
      <c r="BY97" s="3">
        <f>[1]monsters!$R97</f>
        <v>18.43</v>
      </c>
      <c r="BZ97" s="3">
        <f>[1]monsters!$S97</f>
        <v>1.84</v>
      </c>
      <c r="CA97" s="3">
        <f>[1]monsters!$K97</f>
        <v>1.2</v>
      </c>
      <c r="CB97" s="12">
        <f>[1]monsters!$D97</f>
        <v>3</v>
      </c>
      <c r="CC97" s="12">
        <f t="shared" ca="1" si="31"/>
        <v>0.1</v>
      </c>
      <c r="CD97" s="12">
        <f t="shared" ca="1" si="32"/>
        <v>77.683232323232303</v>
      </c>
      <c r="CE97" s="12">
        <f t="shared" ca="1" si="33"/>
        <v>7.7683232323232296</v>
      </c>
      <c r="CS97" s="32"/>
      <c r="CT97" s="32"/>
      <c r="CU97" s="33"/>
      <c r="CV97" s="32"/>
      <c r="CW97" s="32"/>
      <c r="CX97" s="32"/>
      <c r="CY97" s="34"/>
      <c r="CZ97" s="35"/>
      <c r="DA97" s="33"/>
      <c r="DB97" s="33"/>
      <c r="DC97" s="33"/>
      <c r="DD97" s="33"/>
      <c r="DE97" s="33"/>
      <c r="DF97" s="33"/>
      <c r="DG97" s="33"/>
      <c r="DH97" s="34"/>
      <c r="DI97" s="35"/>
      <c r="DJ97" s="33"/>
      <c r="DK97" s="34"/>
      <c r="DL97" s="34"/>
      <c r="DM97" s="34"/>
      <c r="DN97" s="3">
        <v>4601054</v>
      </c>
      <c r="DS97" s="21"/>
      <c r="DT97" s="21"/>
      <c r="DU97" s="21"/>
    </row>
    <row r="98" spans="52:125" ht="13.5" customHeight="1">
      <c r="AZ98" s="3"/>
      <c r="BA98" s="3"/>
      <c r="BB98" s="3"/>
      <c r="BC98" s="3"/>
      <c r="BT98" s="3">
        <v>4502054</v>
      </c>
      <c r="BU98" s="3">
        <f>[1]monsters!$N98</f>
        <v>163.84</v>
      </c>
      <c r="BV98" s="3">
        <f>[1]monsters!$O98</f>
        <v>16.38</v>
      </c>
      <c r="BW98" s="3">
        <f>[1]monsters!$P98</f>
        <v>1280</v>
      </c>
      <c r="BX98" s="3">
        <f>[1]monsters!$Q98</f>
        <v>128</v>
      </c>
      <c r="BY98" s="3">
        <f>[1]monsters!$R98</f>
        <v>23.41</v>
      </c>
      <c r="BZ98" s="3">
        <f>[1]monsters!$S98</f>
        <v>2.34</v>
      </c>
      <c r="CA98" s="3">
        <f>[1]monsters!$K98</f>
        <v>1.6</v>
      </c>
      <c r="CB98" s="12">
        <f>[1]monsters!$D98</f>
        <v>4</v>
      </c>
      <c r="CC98" s="12">
        <f t="shared" ca="1" si="31"/>
        <v>0.1</v>
      </c>
      <c r="CD98" s="12">
        <f t="shared" ca="1" si="32"/>
        <v>74.110426936026897</v>
      </c>
      <c r="CE98" s="12">
        <f t="shared" ca="1" si="33"/>
        <v>7.4110426936026901</v>
      </c>
      <c r="CS98" s="32"/>
      <c r="CT98" s="32"/>
      <c r="CU98" s="33"/>
      <c r="CV98" s="32"/>
      <c r="CW98" s="32"/>
      <c r="CX98" s="32"/>
      <c r="CY98" s="34"/>
      <c r="CZ98" s="35"/>
      <c r="DA98" s="33"/>
      <c r="DB98" s="33"/>
      <c r="DC98" s="33"/>
      <c r="DD98" s="33"/>
      <c r="DE98" s="33"/>
      <c r="DF98" s="33"/>
      <c r="DG98" s="33"/>
      <c r="DH98" s="34"/>
      <c r="DI98" s="35"/>
      <c r="DJ98" s="33"/>
      <c r="DK98" s="34"/>
      <c r="DL98" s="34"/>
      <c r="DM98" s="34"/>
      <c r="DN98" s="3">
        <v>4502054</v>
      </c>
      <c r="DS98" s="21"/>
      <c r="DT98" s="21"/>
      <c r="DU98" s="21"/>
    </row>
    <row r="99" spans="52:125" ht="13.5" customHeight="1">
      <c r="AZ99" s="3"/>
      <c r="BA99" s="3"/>
      <c r="BB99" s="3"/>
      <c r="BC99" s="3"/>
      <c r="BT99" s="3">
        <v>4600054</v>
      </c>
      <c r="BU99" s="3">
        <f>[1]monsters!$N99</f>
        <v>153.6</v>
      </c>
      <c r="BV99" s="3">
        <f>[1]monsters!$O99</f>
        <v>15.36</v>
      </c>
      <c r="BW99" s="3">
        <f>[1]monsters!$P99</f>
        <v>1280</v>
      </c>
      <c r="BX99" s="3">
        <f>[1]monsters!$Q99</f>
        <v>128</v>
      </c>
      <c r="BY99" s="3">
        <f>[1]monsters!$R99</f>
        <v>21.94</v>
      </c>
      <c r="BZ99" s="3">
        <f>[1]monsters!$S99</f>
        <v>2.19</v>
      </c>
      <c r="CA99" s="3">
        <f>[1]monsters!$K99</f>
        <v>1.5</v>
      </c>
      <c r="CB99" s="12">
        <f>[1]monsters!$D99</f>
        <v>4</v>
      </c>
      <c r="CC99" s="12">
        <f t="shared" ca="1" si="31"/>
        <v>0.1</v>
      </c>
      <c r="CD99" s="12">
        <f t="shared" ca="1" si="32"/>
        <v>71.635232323232302</v>
      </c>
      <c r="CE99" s="12">
        <f t="shared" ca="1" si="33"/>
        <v>7.1635232323232296</v>
      </c>
      <c r="CS99" s="32"/>
      <c r="CT99" s="32"/>
      <c r="CU99" s="33"/>
      <c r="CV99" s="32"/>
      <c r="CW99" s="32"/>
      <c r="CX99" s="32"/>
      <c r="CY99" s="34"/>
      <c r="CZ99" s="35"/>
      <c r="DA99" s="33"/>
      <c r="DB99" s="33"/>
      <c r="DC99" s="33"/>
      <c r="DD99" s="33"/>
      <c r="DE99" s="33"/>
      <c r="DF99" s="33"/>
      <c r="DG99" s="33"/>
      <c r="DH99" s="34"/>
      <c r="DI99" s="35"/>
      <c r="DJ99" s="33"/>
      <c r="DK99" s="34"/>
      <c r="DL99" s="34"/>
      <c r="DM99" s="34"/>
      <c r="DN99" s="3">
        <v>4600054</v>
      </c>
      <c r="DS99" s="21"/>
      <c r="DT99" s="21"/>
      <c r="DU99" s="21"/>
    </row>
    <row r="100" spans="52:125" ht="13.5" customHeight="1">
      <c r="AZ100" s="3"/>
      <c r="BA100" s="3"/>
      <c r="BB100" s="3"/>
      <c r="BC100" s="3"/>
      <c r="BT100" s="3">
        <v>4200054</v>
      </c>
      <c r="BU100" s="3">
        <f>[1]monsters!$N100</f>
        <v>179.2</v>
      </c>
      <c r="BV100" s="3">
        <f>[1]monsters!$O100</f>
        <v>17.920000000000002</v>
      </c>
      <c r="BW100" s="3">
        <f>[1]monsters!$P100</f>
        <v>1097.1400000000001</v>
      </c>
      <c r="BX100" s="3">
        <f>[1]monsters!$Q100</f>
        <v>109.71</v>
      </c>
      <c r="BY100" s="3">
        <f>[1]monsters!$R100</f>
        <v>22.4</v>
      </c>
      <c r="BZ100" s="3">
        <f>[1]monsters!$S100</f>
        <v>2.2400000000000002</v>
      </c>
      <c r="CA100" s="3">
        <f>[1]monsters!$K100</f>
        <v>1.5</v>
      </c>
      <c r="CB100" s="12">
        <f>[1]monsters!$D100</f>
        <v>5</v>
      </c>
      <c r="CC100" s="12">
        <f t="shared" ca="1" si="31"/>
        <v>0.1</v>
      </c>
      <c r="CD100" s="12">
        <f t="shared" ca="1" si="32"/>
        <v>76.692040404040398</v>
      </c>
      <c r="CE100" s="12">
        <f t="shared" ca="1" si="33"/>
        <v>7.6692040404040398</v>
      </c>
      <c r="CS100" s="32"/>
      <c r="CT100" s="32"/>
      <c r="CU100" s="33"/>
      <c r="CV100" s="32"/>
      <c r="CW100" s="32"/>
      <c r="CX100" s="32"/>
      <c r="CY100" s="34"/>
      <c r="CZ100" s="35"/>
      <c r="DA100" s="33"/>
      <c r="DB100" s="33"/>
      <c r="DC100" s="33"/>
      <c r="DD100" s="33"/>
      <c r="DE100" s="33"/>
      <c r="DF100" s="33"/>
      <c r="DG100" s="33"/>
      <c r="DH100" s="34"/>
      <c r="DI100" s="35"/>
      <c r="DJ100" s="33"/>
      <c r="DK100" s="34"/>
      <c r="DL100" s="34"/>
      <c r="DM100" s="34"/>
      <c r="DN100" s="3">
        <v>4200054</v>
      </c>
      <c r="DS100" s="21"/>
      <c r="DT100" s="21"/>
      <c r="DU100" s="21"/>
    </row>
    <row r="101" spans="52:125" ht="13.5" customHeight="1">
      <c r="AZ101" s="3"/>
      <c r="BA101" s="3"/>
      <c r="BB101" s="3"/>
      <c r="BC101" s="3"/>
      <c r="BT101" s="3">
        <v>4202055</v>
      </c>
      <c r="BU101" s="3">
        <f>[1]monsters!$N101</f>
        <v>167.25</v>
      </c>
      <c r="BV101" s="3">
        <f>[1]monsters!$O101</f>
        <v>16.73</v>
      </c>
      <c r="BW101" s="3">
        <f>[1]monsters!$P101</f>
        <v>1097.1400000000001</v>
      </c>
      <c r="BX101" s="3">
        <f>[1]monsters!$Q101</f>
        <v>109.71</v>
      </c>
      <c r="BY101" s="3">
        <f>[1]monsters!$R101</f>
        <v>20.91</v>
      </c>
      <c r="BZ101" s="3">
        <f>[1]monsters!$S101</f>
        <v>2.09</v>
      </c>
      <c r="CA101" s="3">
        <f>[1]monsters!$K101</f>
        <v>1.4000000000000001</v>
      </c>
      <c r="CB101" s="12">
        <f>[1]monsters!$D101</f>
        <v>5</v>
      </c>
      <c r="CC101" s="12">
        <f t="shared" ca="1" si="31"/>
        <v>0.1</v>
      </c>
      <c r="CD101" s="12">
        <f t="shared" ca="1" si="32"/>
        <v>88.788040404040402</v>
      </c>
      <c r="CE101" s="12">
        <f t="shared" ca="1" si="33"/>
        <v>8.8788040404040398</v>
      </c>
      <c r="CS101" s="32"/>
      <c r="CT101" s="32"/>
      <c r="CU101" s="33"/>
      <c r="CV101" s="32"/>
      <c r="CW101" s="32"/>
      <c r="CX101" s="32"/>
      <c r="CY101" s="34"/>
      <c r="CZ101" s="35"/>
      <c r="DA101" s="33"/>
      <c r="DB101" s="33"/>
      <c r="DC101" s="33"/>
      <c r="DD101" s="33"/>
      <c r="DE101" s="33"/>
      <c r="DF101" s="33"/>
      <c r="DG101" s="33"/>
      <c r="DH101" s="34"/>
      <c r="DI101" s="35"/>
      <c r="DJ101" s="33"/>
      <c r="DK101" s="34"/>
      <c r="DL101" s="34"/>
      <c r="DM101" s="34"/>
      <c r="DN101" s="3">
        <v>4202055</v>
      </c>
      <c r="DS101" s="21"/>
      <c r="DT101" s="21"/>
      <c r="DU101" s="21"/>
    </row>
    <row r="102" spans="52:125" ht="13.5" customHeight="1">
      <c r="AZ102" s="3"/>
      <c r="BA102" s="3"/>
      <c r="BB102" s="3"/>
      <c r="BC102" s="3"/>
      <c r="BT102" s="3">
        <v>4302055</v>
      </c>
      <c r="BU102" s="3">
        <f>[1]monsters!$N102</f>
        <v>198.4</v>
      </c>
      <c r="BV102" s="3">
        <f>[1]monsters!$O102</f>
        <v>19.84</v>
      </c>
      <c r="BW102" s="3">
        <f>[1]monsters!$P102</f>
        <v>990.97</v>
      </c>
      <c r="BX102" s="3">
        <f>[1]monsters!$Q102</f>
        <v>99.1</v>
      </c>
      <c r="BY102" s="3">
        <f>[1]monsters!$R102</f>
        <v>19.84</v>
      </c>
      <c r="BZ102" s="3">
        <f>[1]monsters!$S102</f>
        <v>1.98</v>
      </c>
      <c r="CA102" s="3">
        <f>[1]monsters!$K102</f>
        <v>1.5</v>
      </c>
      <c r="CB102" s="12">
        <f>[1]monsters!$D102</f>
        <v>6</v>
      </c>
      <c r="CC102" s="12">
        <f t="shared" ca="1" si="31"/>
        <v>0.1</v>
      </c>
      <c r="CD102" s="12">
        <f t="shared" ca="1" si="32"/>
        <v>68.573902581369396</v>
      </c>
      <c r="CE102" s="12">
        <f t="shared" ca="1" si="33"/>
        <v>6.8573902581369399</v>
      </c>
      <c r="CS102" s="32"/>
      <c r="CT102" s="32"/>
      <c r="CU102" s="33"/>
      <c r="CV102" s="32"/>
      <c r="CW102" s="32"/>
      <c r="CX102" s="32"/>
      <c r="CY102" s="34"/>
      <c r="CZ102" s="35"/>
      <c r="DA102" s="33"/>
      <c r="DB102" s="33"/>
      <c r="DC102" s="33"/>
      <c r="DD102" s="33"/>
      <c r="DE102" s="33"/>
      <c r="DF102" s="33"/>
      <c r="DG102" s="33"/>
      <c r="DH102" s="34"/>
      <c r="DI102" s="35"/>
      <c r="DJ102" s="33"/>
      <c r="DK102" s="34"/>
      <c r="DL102" s="34"/>
      <c r="DM102" s="34"/>
      <c r="DN102" s="3">
        <v>4302055</v>
      </c>
      <c r="DS102" s="21"/>
      <c r="DT102" s="21"/>
      <c r="DU102" s="21"/>
    </row>
    <row r="103" spans="52:125" ht="13.5" customHeight="1">
      <c r="AZ103" s="3"/>
      <c r="BA103" s="3"/>
      <c r="BB103" s="3"/>
      <c r="BC103" s="3"/>
      <c r="BT103" s="3">
        <v>4400055</v>
      </c>
      <c r="BU103" s="3">
        <f>[1]monsters!$N103</f>
        <v>128</v>
      </c>
      <c r="BV103" s="3">
        <f>[1]monsters!$O103</f>
        <v>12.8</v>
      </c>
      <c r="BW103" s="3">
        <f>[1]monsters!$P103</f>
        <v>1536</v>
      </c>
      <c r="BX103" s="3">
        <f>[1]monsters!$Q103</f>
        <v>153.6</v>
      </c>
      <c r="BY103" s="3">
        <f>[1]monsters!$R103</f>
        <v>32</v>
      </c>
      <c r="BZ103" s="3">
        <f>[1]monsters!$S103</f>
        <v>3.2</v>
      </c>
      <c r="CA103" s="3">
        <f>[1]monsters!$K103</f>
        <v>1.5</v>
      </c>
      <c r="CB103" s="12">
        <f>[1]monsters!$D103</f>
        <v>2</v>
      </c>
      <c r="CC103" s="12">
        <f t="shared" ca="1" si="31"/>
        <v>0.1</v>
      </c>
      <c r="CD103" s="12">
        <f t="shared" ca="1" si="32"/>
        <v>69.3015566574839</v>
      </c>
      <c r="CE103" s="12">
        <f t="shared" ca="1" si="33"/>
        <v>6.9301556657483898</v>
      </c>
      <c r="CS103" s="32"/>
      <c r="CT103" s="32"/>
      <c r="CU103" s="33"/>
      <c r="CV103" s="32"/>
      <c r="CW103" s="32"/>
      <c r="CX103" s="32"/>
      <c r="CY103" s="34"/>
      <c r="CZ103" s="35"/>
      <c r="DA103" s="33"/>
      <c r="DB103" s="33"/>
      <c r="DC103" s="33"/>
      <c r="DD103" s="33"/>
      <c r="DE103" s="33"/>
      <c r="DF103" s="33"/>
      <c r="DG103" s="33"/>
      <c r="DH103" s="34"/>
      <c r="DI103" s="35"/>
      <c r="DJ103" s="33"/>
      <c r="DK103" s="34"/>
      <c r="DL103" s="34"/>
      <c r="DM103" s="34"/>
      <c r="DN103" s="3">
        <v>4400055</v>
      </c>
      <c r="DS103" s="21"/>
      <c r="DT103" s="21"/>
      <c r="DU103" s="21"/>
    </row>
    <row r="104" spans="52:125" ht="13.5" customHeight="1">
      <c r="AZ104" s="3"/>
      <c r="BA104" s="3"/>
      <c r="BB104" s="3"/>
      <c r="BC104" s="3"/>
      <c r="BT104" s="3">
        <v>4500055</v>
      </c>
      <c r="BU104" s="3">
        <f>[1]monsters!$N104</f>
        <v>122.88</v>
      </c>
      <c r="BV104" s="3">
        <f>[1]monsters!$O104</f>
        <v>12.29</v>
      </c>
      <c r="BW104" s="3">
        <f>[1]monsters!$P104</f>
        <v>1920</v>
      </c>
      <c r="BX104" s="3">
        <f>[1]monsters!$Q104</f>
        <v>192</v>
      </c>
      <c r="BY104" s="3">
        <f>[1]monsters!$R104</f>
        <v>40.96</v>
      </c>
      <c r="BZ104" s="3">
        <f>[1]monsters!$S104</f>
        <v>4.0999999999999996</v>
      </c>
      <c r="CA104" s="3">
        <f>[1]monsters!$K104</f>
        <v>1.8</v>
      </c>
      <c r="CB104" s="12">
        <f>[1]monsters!$D104</f>
        <v>2</v>
      </c>
      <c r="CC104" s="12">
        <f t="shared" ca="1" si="31"/>
        <v>0.1</v>
      </c>
      <c r="CD104" s="12">
        <f t="shared" ca="1" si="32"/>
        <v>74.110426936026897</v>
      </c>
      <c r="CE104" s="12">
        <f t="shared" ca="1" si="33"/>
        <v>7.4110426936026901</v>
      </c>
      <c r="CS104" s="32"/>
      <c r="CT104" s="32"/>
      <c r="CU104" s="33"/>
      <c r="CV104" s="32"/>
      <c r="CW104" s="32"/>
      <c r="CX104" s="32"/>
      <c r="CY104" s="34"/>
      <c r="CZ104" s="35"/>
      <c r="DA104" s="33"/>
      <c r="DB104" s="33"/>
      <c r="DC104" s="33"/>
      <c r="DD104" s="33"/>
      <c r="DE104" s="33"/>
      <c r="DF104" s="33"/>
      <c r="DG104" s="33"/>
      <c r="DH104" s="34"/>
      <c r="DI104" s="35"/>
      <c r="DJ104" s="33"/>
      <c r="DK104" s="34"/>
      <c r="DL104" s="34"/>
      <c r="DM104" s="34"/>
      <c r="DN104" s="3">
        <v>4500055</v>
      </c>
      <c r="DS104" s="21"/>
      <c r="DT104" s="21"/>
      <c r="DU104" s="21"/>
    </row>
    <row r="105" spans="52:125" ht="13.5" customHeight="1">
      <c r="AZ105" s="3"/>
      <c r="BA105" s="3"/>
      <c r="BB105" s="3"/>
      <c r="BC105" s="3"/>
      <c r="BT105" s="3">
        <v>4602055</v>
      </c>
      <c r="BU105" s="3">
        <f>[1]monsters!$N105</f>
        <v>138.24</v>
      </c>
      <c r="BV105" s="3">
        <f>[1]monsters!$O105</f>
        <v>13.82</v>
      </c>
      <c r="BW105" s="3">
        <f>[1]monsters!$P105</f>
        <v>1706.67</v>
      </c>
      <c r="BX105" s="3">
        <f>[1]monsters!$Q105</f>
        <v>170.67</v>
      </c>
      <c r="BY105" s="3">
        <f>[1]monsters!$R105</f>
        <v>27.65</v>
      </c>
      <c r="BZ105" s="3">
        <f>[1]monsters!$S105</f>
        <v>2.76</v>
      </c>
      <c r="CA105" s="3">
        <f>[1]monsters!$K105</f>
        <v>1.8</v>
      </c>
      <c r="CB105" s="12">
        <f>[1]monsters!$D105</f>
        <v>2</v>
      </c>
      <c r="CC105" s="12">
        <f t="shared" ca="1" si="31"/>
        <v>0.1</v>
      </c>
      <c r="CD105" s="12">
        <f t="shared" ca="1" si="32"/>
        <v>92.803232323232294</v>
      </c>
      <c r="CE105" s="12">
        <f t="shared" ca="1" si="33"/>
        <v>9.2803232323232301</v>
      </c>
      <c r="CS105" s="32"/>
      <c r="CT105" s="32"/>
      <c r="CU105" s="33"/>
      <c r="CV105" s="32"/>
      <c r="CW105" s="32"/>
      <c r="CX105" s="32"/>
      <c r="CY105" s="34"/>
      <c r="CZ105" s="35"/>
      <c r="DA105" s="33"/>
      <c r="DB105" s="33"/>
      <c r="DC105" s="33"/>
      <c r="DD105" s="33"/>
      <c r="DE105" s="33"/>
      <c r="DF105" s="33"/>
      <c r="DG105" s="33"/>
      <c r="DH105" s="34"/>
      <c r="DI105" s="35"/>
      <c r="DJ105" s="33"/>
      <c r="DK105" s="34"/>
      <c r="DL105" s="34"/>
      <c r="DM105" s="34"/>
      <c r="DN105" s="3">
        <v>4602055</v>
      </c>
      <c r="DS105" s="21"/>
      <c r="DT105" s="21"/>
      <c r="DU105" s="21"/>
    </row>
    <row r="106" spans="52:125" ht="13.5" customHeight="1">
      <c r="AZ106" s="3"/>
      <c r="BA106" s="3"/>
      <c r="BB106" s="3"/>
      <c r="BC106" s="3"/>
      <c r="BT106" s="3">
        <v>4301055</v>
      </c>
      <c r="BU106" s="3">
        <f>[1]monsters!$N106</f>
        <v>92.16</v>
      </c>
      <c r="BV106" s="3">
        <f>[1]monsters!$O106</f>
        <v>9.2200000000000006</v>
      </c>
      <c r="BW106" s="3">
        <f>[1]monsters!$P106</f>
        <v>1706.67</v>
      </c>
      <c r="BX106" s="3">
        <f>[1]monsters!$Q106</f>
        <v>170.67</v>
      </c>
      <c r="BY106" s="3">
        <f>[1]monsters!$R106</f>
        <v>18.43</v>
      </c>
      <c r="BZ106" s="3">
        <f>[1]monsters!$S106</f>
        <v>1.84</v>
      </c>
      <c r="CA106" s="3">
        <f>[1]monsters!$K106</f>
        <v>1.2</v>
      </c>
      <c r="CB106" s="12">
        <f>[1]monsters!$D106</f>
        <v>3</v>
      </c>
      <c r="CC106" s="12">
        <f t="shared" ca="1" si="31"/>
        <v>0.1</v>
      </c>
      <c r="CD106" s="12">
        <f t="shared" ca="1" si="32"/>
        <v>71.295502581369405</v>
      </c>
      <c r="CE106" s="12">
        <f t="shared" ca="1" si="33"/>
        <v>7.1295502581369403</v>
      </c>
      <c r="CS106" s="32"/>
      <c r="CT106" s="32"/>
      <c r="CU106" s="33"/>
      <c r="CV106" s="32"/>
      <c r="CW106" s="32"/>
      <c r="CX106" s="32"/>
      <c r="CY106" s="34"/>
      <c r="CZ106" s="35"/>
      <c r="DA106" s="33"/>
      <c r="DB106" s="33"/>
      <c r="DC106" s="33"/>
      <c r="DD106" s="33"/>
      <c r="DE106" s="33"/>
      <c r="DF106" s="33"/>
      <c r="DG106" s="33"/>
      <c r="DH106" s="34"/>
      <c r="DI106" s="35"/>
      <c r="DJ106" s="33"/>
      <c r="DK106" s="34"/>
      <c r="DL106" s="34"/>
      <c r="DM106" s="34"/>
      <c r="DN106" s="3">
        <v>4301055</v>
      </c>
      <c r="DS106" s="21"/>
      <c r="DT106" s="21"/>
      <c r="DU106" s="21"/>
    </row>
    <row r="107" spans="52:125" ht="13.5" customHeight="1">
      <c r="AZ107" s="3"/>
      <c r="BA107" s="3"/>
      <c r="BB107" s="3"/>
      <c r="BC107" s="3"/>
      <c r="BT107" s="3">
        <v>4502055</v>
      </c>
      <c r="BU107" s="3">
        <f>[1]monsters!$N107</f>
        <v>163.84</v>
      </c>
      <c r="BV107" s="3">
        <f>[1]monsters!$O107</f>
        <v>16.38</v>
      </c>
      <c r="BW107" s="3">
        <f>[1]monsters!$P107</f>
        <v>1280</v>
      </c>
      <c r="BX107" s="3">
        <f>[1]monsters!$Q107</f>
        <v>128</v>
      </c>
      <c r="BY107" s="3">
        <f>[1]monsters!$R107</f>
        <v>23.41</v>
      </c>
      <c r="BZ107" s="3">
        <f>[1]monsters!$S107</f>
        <v>2.34</v>
      </c>
      <c r="CA107" s="3">
        <f>[1]monsters!$K107</f>
        <v>1.6</v>
      </c>
      <c r="CB107" s="12">
        <f>[1]monsters!$D107</f>
        <v>4</v>
      </c>
      <c r="CC107" s="12">
        <f t="shared" ca="1" si="31"/>
        <v>0.1</v>
      </c>
      <c r="CD107" s="12">
        <f t="shared" ca="1" si="32"/>
        <v>74.110426936026897</v>
      </c>
      <c r="CE107" s="12">
        <f t="shared" ca="1" si="33"/>
        <v>7.4110426936026901</v>
      </c>
      <c r="CS107" s="32"/>
      <c r="CT107" s="32"/>
      <c r="CU107" s="33"/>
      <c r="CV107" s="32"/>
      <c r="CW107" s="32"/>
      <c r="CX107" s="32"/>
      <c r="CY107" s="34"/>
      <c r="CZ107" s="35"/>
      <c r="DA107" s="33"/>
      <c r="DB107" s="33"/>
      <c r="DC107" s="33"/>
      <c r="DD107" s="33"/>
      <c r="DE107" s="33"/>
      <c r="DF107" s="33"/>
      <c r="DG107" s="33"/>
      <c r="DH107" s="34"/>
      <c r="DI107" s="35"/>
      <c r="DJ107" s="33"/>
      <c r="DK107" s="34"/>
      <c r="DL107" s="34"/>
      <c r="DM107" s="34"/>
      <c r="DN107" s="3">
        <v>4502055</v>
      </c>
      <c r="DS107" s="21"/>
      <c r="DT107" s="21"/>
      <c r="DU107" s="21"/>
    </row>
    <row r="108" spans="52:125" ht="13.5" customHeight="1">
      <c r="AZ108" s="3"/>
      <c r="BA108" s="3"/>
      <c r="BB108" s="3"/>
      <c r="BC108" s="3"/>
      <c r="BT108" s="3">
        <v>4201055</v>
      </c>
      <c r="BU108" s="3">
        <f>[1]monsters!$N108</f>
        <v>153.6</v>
      </c>
      <c r="BV108" s="3">
        <f>[1]monsters!$O108</f>
        <v>15.36</v>
      </c>
      <c r="BW108" s="3">
        <f>[1]monsters!$P108</f>
        <v>1280</v>
      </c>
      <c r="BX108" s="3">
        <f>[1]monsters!$Q108</f>
        <v>128</v>
      </c>
      <c r="BY108" s="3">
        <f>[1]monsters!$R108</f>
        <v>21.94</v>
      </c>
      <c r="BZ108" s="3">
        <f>[1]monsters!$S108</f>
        <v>2.19</v>
      </c>
      <c r="CA108" s="3">
        <f>[1]monsters!$K108</f>
        <v>1.5</v>
      </c>
      <c r="CB108" s="12">
        <f>[1]monsters!$D108</f>
        <v>4</v>
      </c>
      <c r="CC108" s="12">
        <f t="shared" ca="1" si="31"/>
        <v>0.1</v>
      </c>
      <c r="CD108" s="12">
        <f t="shared" ca="1" si="32"/>
        <v>88.788040404040402</v>
      </c>
      <c r="CE108" s="12">
        <f t="shared" ca="1" si="33"/>
        <v>8.8788040404040398</v>
      </c>
      <c r="CS108" s="32"/>
      <c r="CT108" s="32"/>
      <c r="CU108" s="33"/>
      <c r="CV108" s="32"/>
      <c r="CW108" s="32"/>
      <c r="CX108" s="32"/>
      <c r="CY108" s="34"/>
      <c r="CZ108" s="35"/>
      <c r="DA108" s="33"/>
      <c r="DB108" s="33"/>
      <c r="DC108" s="33"/>
      <c r="DD108" s="33"/>
      <c r="DE108" s="33"/>
      <c r="DF108" s="33"/>
      <c r="DG108" s="33"/>
      <c r="DH108" s="34"/>
      <c r="DI108" s="35"/>
      <c r="DJ108" s="33"/>
      <c r="DK108" s="34"/>
      <c r="DL108" s="34"/>
      <c r="DM108" s="34"/>
      <c r="DN108" s="3">
        <v>4201055</v>
      </c>
      <c r="DS108" s="21"/>
      <c r="DT108" s="21"/>
      <c r="DU108" s="21"/>
    </row>
    <row r="109" spans="52:125" ht="13.5" customHeight="1">
      <c r="AZ109" s="3"/>
      <c r="BA109" s="3"/>
      <c r="BB109" s="3"/>
      <c r="BC109" s="3"/>
      <c r="BT109" s="3">
        <v>5200051</v>
      </c>
      <c r="BU109" s="3">
        <f>[1]monsters!$N109</f>
        <v>179.2</v>
      </c>
      <c r="BV109" s="3">
        <f>[1]monsters!$O109</f>
        <v>17.920000000000002</v>
      </c>
      <c r="BW109" s="3">
        <f>[1]monsters!$P109</f>
        <v>1097.1400000000001</v>
      </c>
      <c r="BX109" s="3">
        <f>[1]monsters!$Q109</f>
        <v>109.71</v>
      </c>
      <c r="BY109" s="3">
        <f>[1]monsters!$R109</f>
        <v>22.4</v>
      </c>
      <c r="BZ109" s="3">
        <f>[1]monsters!$S109</f>
        <v>2.2400000000000002</v>
      </c>
      <c r="CA109" s="3">
        <f>[1]monsters!$K109</f>
        <v>1.5</v>
      </c>
      <c r="CB109" s="12">
        <f>[1]monsters!$D109</f>
        <v>5</v>
      </c>
      <c r="CC109" s="12">
        <f t="shared" ca="1" si="31"/>
        <v>0.1</v>
      </c>
      <c r="CD109" s="12">
        <f t="shared" ca="1" si="32"/>
        <v>76.692040404040398</v>
      </c>
      <c r="CE109" s="12">
        <f t="shared" ca="1" si="33"/>
        <v>7.6692040404040398</v>
      </c>
      <c r="CS109" s="32"/>
      <c r="CT109" s="32"/>
      <c r="CU109" s="33"/>
      <c r="CV109" s="32"/>
      <c r="CW109" s="32"/>
      <c r="CX109" s="32"/>
      <c r="CY109" s="34"/>
      <c r="CZ109" s="35"/>
      <c r="DA109" s="33"/>
      <c r="DB109" s="33"/>
      <c r="DC109" s="33"/>
      <c r="DD109" s="33"/>
      <c r="DE109" s="33"/>
      <c r="DF109" s="33"/>
      <c r="DG109" s="33"/>
      <c r="DH109" s="34"/>
      <c r="DI109" s="35"/>
      <c r="DJ109" s="33"/>
      <c r="DK109" s="34"/>
      <c r="DL109" s="34"/>
      <c r="DM109" s="34"/>
      <c r="DN109" s="3">
        <v>5200051</v>
      </c>
      <c r="DS109" s="21"/>
      <c r="DT109" s="21"/>
      <c r="DU109" s="21"/>
    </row>
    <row r="110" spans="52:125" ht="13.5" customHeight="1">
      <c r="AZ110" s="3"/>
      <c r="BA110" s="3"/>
      <c r="BB110" s="3"/>
      <c r="BC110" s="3"/>
      <c r="BT110" s="3">
        <v>5201051</v>
      </c>
      <c r="BU110" s="3">
        <f>[1]monsters!$N110</f>
        <v>167.25</v>
      </c>
      <c r="BV110" s="3">
        <f>[1]monsters!$O110</f>
        <v>16.73</v>
      </c>
      <c r="BW110" s="3">
        <f>[1]monsters!$P110</f>
        <v>1097.1400000000001</v>
      </c>
      <c r="BX110" s="3">
        <f>[1]monsters!$Q110</f>
        <v>109.71</v>
      </c>
      <c r="BY110" s="3">
        <f>[1]monsters!$R110</f>
        <v>20.91</v>
      </c>
      <c r="BZ110" s="3">
        <f>[1]monsters!$S110</f>
        <v>2.09</v>
      </c>
      <c r="CA110" s="3">
        <f>[1]monsters!$K110</f>
        <v>1.4000000000000001</v>
      </c>
      <c r="CB110" s="12">
        <f>[1]monsters!$D110</f>
        <v>5</v>
      </c>
      <c r="CC110" s="12">
        <f t="shared" ca="1" si="31"/>
        <v>0.1</v>
      </c>
      <c r="CD110" s="12">
        <f t="shared" ca="1" si="32"/>
        <v>88.788040404040402</v>
      </c>
      <c r="CE110" s="12">
        <f t="shared" ca="1" si="33"/>
        <v>8.8788040404040398</v>
      </c>
      <c r="CS110" s="32"/>
      <c r="CT110" s="32"/>
      <c r="CU110" s="33"/>
      <c r="CV110" s="32"/>
      <c r="CW110" s="32"/>
      <c r="CX110" s="32"/>
      <c r="CY110" s="34"/>
      <c r="CZ110" s="35"/>
      <c r="DA110" s="33"/>
      <c r="DB110" s="33"/>
      <c r="DC110" s="33"/>
      <c r="DD110" s="33"/>
      <c r="DE110" s="33"/>
      <c r="DF110" s="33"/>
      <c r="DG110" s="33"/>
      <c r="DH110" s="34"/>
      <c r="DI110" s="35"/>
      <c r="DJ110" s="33"/>
      <c r="DK110" s="34"/>
      <c r="DL110" s="34"/>
      <c r="DM110" s="34"/>
      <c r="DN110" s="3">
        <v>5201051</v>
      </c>
      <c r="DS110" s="21"/>
      <c r="DT110" s="21"/>
      <c r="DU110" s="21"/>
    </row>
    <row r="111" spans="52:125" ht="13.5" customHeight="1">
      <c r="AZ111" s="3"/>
      <c r="BA111" s="3"/>
      <c r="BB111" s="3"/>
      <c r="BC111" s="3"/>
      <c r="BT111" s="3">
        <v>5300051</v>
      </c>
      <c r="BU111" s="3">
        <f>[1]monsters!$N111</f>
        <v>198.4</v>
      </c>
      <c r="BV111" s="3">
        <f>[1]monsters!$O111</f>
        <v>19.84</v>
      </c>
      <c r="BW111" s="3">
        <f>[1]monsters!$P111</f>
        <v>990.97</v>
      </c>
      <c r="BX111" s="3">
        <f>[1]monsters!$Q111</f>
        <v>99.1</v>
      </c>
      <c r="BY111" s="3">
        <f>[1]monsters!$R111</f>
        <v>19.84</v>
      </c>
      <c r="BZ111" s="3">
        <f>[1]monsters!$S111</f>
        <v>1.98</v>
      </c>
      <c r="CA111" s="3">
        <f>[1]monsters!$K111</f>
        <v>1.5</v>
      </c>
      <c r="CB111" s="12">
        <f>[1]monsters!$D111</f>
        <v>6</v>
      </c>
      <c r="CC111" s="12">
        <f t="shared" ca="1" si="31"/>
        <v>0.1</v>
      </c>
      <c r="CD111" s="12">
        <f t="shared" ca="1" si="32"/>
        <v>71.295502581369405</v>
      </c>
      <c r="CE111" s="12">
        <f t="shared" ca="1" si="33"/>
        <v>7.1295502581369403</v>
      </c>
      <c r="CS111" s="32"/>
      <c r="CT111" s="32"/>
      <c r="CU111" s="33"/>
      <c r="CV111" s="32"/>
      <c r="CW111" s="32"/>
      <c r="CX111" s="32"/>
      <c r="CY111" s="34"/>
      <c r="CZ111" s="35"/>
      <c r="DA111" s="33"/>
      <c r="DB111" s="33"/>
      <c r="DC111" s="33"/>
      <c r="DD111" s="33"/>
      <c r="DE111" s="33"/>
      <c r="DF111" s="33"/>
      <c r="DG111" s="33"/>
      <c r="DH111" s="34"/>
      <c r="DI111" s="35"/>
      <c r="DJ111" s="33"/>
      <c r="DK111" s="34"/>
      <c r="DL111" s="34"/>
      <c r="DM111" s="34"/>
      <c r="DN111" s="3">
        <v>5300051</v>
      </c>
      <c r="DS111" s="21"/>
      <c r="DT111" s="21"/>
      <c r="DU111" s="21"/>
    </row>
    <row r="112" spans="52:125" ht="13.5" customHeight="1">
      <c r="AZ112" s="3"/>
      <c r="BA112" s="3"/>
      <c r="BB112" s="3"/>
      <c r="BC112" s="3"/>
      <c r="BT112" s="3">
        <v>5301051</v>
      </c>
      <c r="BU112" s="3">
        <f>[1]monsters!$N112</f>
        <v>128</v>
      </c>
      <c r="BV112" s="3">
        <f>[1]monsters!$O112</f>
        <v>12.8</v>
      </c>
      <c r="BW112" s="3">
        <f>[1]monsters!$P112</f>
        <v>1536</v>
      </c>
      <c r="BX112" s="3">
        <f>[1]monsters!$Q112</f>
        <v>153.6</v>
      </c>
      <c r="BY112" s="3">
        <f>[1]monsters!$R112</f>
        <v>32</v>
      </c>
      <c r="BZ112" s="3">
        <f>[1]monsters!$S112</f>
        <v>3.2</v>
      </c>
      <c r="CA112" s="3">
        <f>[1]monsters!$K112</f>
        <v>1.5</v>
      </c>
      <c r="CB112" s="12">
        <f>[1]monsters!$D112</f>
        <v>2</v>
      </c>
      <c r="CC112" s="12">
        <f t="shared" ca="1" si="31"/>
        <v>0.1</v>
      </c>
      <c r="CD112" s="12">
        <f t="shared" ca="1" si="32"/>
        <v>71.295502581369405</v>
      </c>
      <c r="CE112" s="12">
        <f t="shared" ca="1" si="33"/>
        <v>7.1295502581369403</v>
      </c>
      <c r="CS112" s="32"/>
      <c r="CT112" s="32"/>
      <c r="CU112" s="33"/>
      <c r="CV112" s="32"/>
      <c r="CW112" s="32"/>
      <c r="CX112" s="32"/>
      <c r="CY112" s="34"/>
      <c r="CZ112" s="35"/>
      <c r="DA112" s="33"/>
      <c r="DB112" s="33"/>
      <c r="DC112" s="33"/>
      <c r="DD112" s="33"/>
      <c r="DE112" s="33"/>
      <c r="DF112" s="33"/>
      <c r="DG112" s="33"/>
      <c r="DH112" s="34"/>
      <c r="DI112" s="35"/>
      <c r="DJ112" s="33"/>
      <c r="DK112" s="34"/>
      <c r="DL112" s="34"/>
      <c r="DM112" s="34"/>
      <c r="DN112" s="3">
        <v>5301051</v>
      </c>
      <c r="DS112" s="21"/>
      <c r="DT112" s="21"/>
      <c r="DU112" s="21"/>
    </row>
    <row r="113" spans="52:125" ht="13.5" customHeight="1">
      <c r="AZ113" s="3"/>
      <c r="BA113" s="3"/>
      <c r="BB113" s="3"/>
      <c r="BC113" s="3"/>
      <c r="BT113" s="3">
        <v>5401051</v>
      </c>
      <c r="BU113" s="3">
        <f>[1]monsters!$N113</f>
        <v>122.88</v>
      </c>
      <c r="BV113" s="3">
        <f>[1]monsters!$O113</f>
        <v>12.29</v>
      </c>
      <c r="BW113" s="3">
        <f>[1]monsters!$P113</f>
        <v>1920</v>
      </c>
      <c r="BX113" s="3">
        <f>[1]monsters!$Q113</f>
        <v>192</v>
      </c>
      <c r="BY113" s="3">
        <f>[1]monsters!$R113</f>
        <v>40.96</v>
      </c>
      <c r="BZ113" s="3">
        <f>[1]monsters!$S113</f>
        <v>4.0999999999999996</v>
      </c>
      <c r="CA113" s="3">
        <f>[1]monsters!$K113</f>
        <v>1.8</v>
      </c>
      <c r="CB113" s="12">
        <f>[1]monsters!$D113</f>
        <v>2</v>
      </c>
      <c r="CC113" s="12">
        <f t="shared" ca="1" si="31"/>
        <v>0.1</v>
      </c>
      <c r="CD113" s="12">
        <f t="shared" ca="1" si="32"/>
        <v>79.280756657483906</v>
      </c>
      <c r="CE113" s="12">
        <f t="shared" ca="1" si="33"/>
        <v>7.9280756657483904</v>
      </c>
      <c r="CS113" s="32"/>
      <c r="CT113" s="32"/>
      <c r="CU113" s="33"/>
      <c r="CV113" s="32"/>
      <c r="CW113" s="32"/>
      <c r="CX113" s="32"/>
      <c r="CY113" s="34"/>
      <c r="CZ113" s="35"/>
      <c r="DA113" s="33"/>
      <c r="DB113" s="33"/>
      <c r="DC113" s="33"/>
      <c r="DD113" s="33"/>
      <c r="DE113" s="33"/>
      <c r="DF113" s="33"/>
      <c r="DG113" s="33"/>
      <c r="DH113" s="34"/>
      <c r="DI113" s="35"/>
      <c r="DJ113" s="33"/>
      <c r="DK113" s="34"/>
      <c r="DL113" s="34"/>
      <c r="DM113" s="34"/>
      <c r="DN113" s="3">
        <v>5401051</v>
      </c>
      <c r="DS113" s="21"/>
      <c r="DT113" s="21"/>
      <c r="DU113" s="21"/>
    </row>
    <row r="114" spans="52:125" ht="13.5" customHeight="1">
      <c r="AZ114" s="3"/>
      <c r="BA114" s="3"/>
      <c r="BB114" s="3"/>
      <c r="BC114" s="3"/>
      <c r="BT114" s="3">
        <v>5402051</v>
      </c>
      <c r="BU114" s="3">
        <f>[1]monsters!$N114</f>
        <v>138.24</v>
      </c>
      <c r="BV114" s="3">
        <f>[1]monsters!$O114</f>
        <v>13.82</v>
      </c>
      <c r="BW114" s="3">
        <f>[1]monsters!$P114</f>
        <v>1706.67</v>
      </c>
      <c r="BX114" s="3">
        <f>[1]monsters!$Q114</f>
        <v>170.67</v>
      </c>
      <c r="BY114" s="3">
        <f>[1]monsters!$R114</f>
        <v>27.65</v>
      </c>
      <c r="BZ114" s="3">
        <f>[1]monsters!$S114</f>
        <v>2.76</v>
      </c>
      <c r="CA114" s="3">
        <f>[1]monsters!$K114</f>
        <v>1.8</v>
      </c>
      <c r="CB114" s="12">
        <f>[1]monsters!$D114</f>
        <v>2</v>
      </c>
      <c r="CC114" s="12">
        <f t="shared" ca="1" si="31"/>
        <v>0.1</v>
      </c>
      <c r="CD114" s="12">
        <f t="shared" ca="1" si="32"/>
        <v>79.280756657483906</v>
      </c>
      <c r="CE114" s="12">
        <f t="shared" ca="1" si="33"/>
        <v>7.9280756657483904</v>
      </c>
      <c r="CS114" s="32"/>
      <c r="CT114" s="32"/>
      <c r="CU114" s="33"/>
      <c r="CV114" s="32"/>
      <c r="CW114" s="32"/>
      <c r="CX114" s="32"/>
      <c r="CY114" s="34"/>
      <c r="CZ114" s="35"/>
      <c r="DA114" s="33"/>
      <c r="DB114" s="33"/>
      <c r="DC114" s="33"/>
      <c r="DD114" s="33"/>
      <c r="DE114" s="33"/>
      <c r="DF114" s="33"/>
      <c r="DG114" s="33"/>
      <c r="DH114" s="34"/>
      <c r="DI114" s="35"/>
      <c r="DJ114" s="33"/>
      <c r="DK114" s="34"/>
      <c r="DL114" s="34"/>
      <c r="DM114" s="34"/>
      <c r="DN114" s="3">
        <v>5402051</v>
      </c>
      <c r="DS114" s="21"/>
      <c r="DT114" s="21"/>
      <c r="DU114" s="21"/>
    </row>
    <row r="115" spans="52:125" ht="13.5" customHeight="1">
      <c r="AZ115" s="3"/>
      <c r="BA115" s="3"/>
      <c r="BB115" s="3"/>
      <c r="BC115" s="3"/>
      <c r="BT115" s="3">
        <v>5500051</v>
      </c>
      <c r="BU115" s="3">
        <f>[1]monsters!$N115</f>
        <v>92.16</v>
      </c>
      <c r="BV115" s="3">
        <f>[1]monsters!$O115</f>
        <v>9.2200000000000006</v>
      </c>
      <c r="BW115" s="3">
        <f>[1]monsters!$P115</f>
        <v>1706.67</v>
      </c>
      <c r="BX115" s="3">
        <f>[1]monsters!$Q115</f>
        <v>170.67</v>
      </c>
      <c r="BY115" s="3">
        <f>[1]monsters!$R115</f>
        <v>18.43</v>
      </c>
      <c r="BZ115" s="3">
        <f>[1]monsters!$S115</f>
        <v>1.84</v>
      </c>
      <c r="CA115" s="3">
        <f>[1]monsters!$K115</f>
        <v>1.2</v>
      </c>
      <c r="CB115" s="12">
        <f>[1]monsters!$D115</f>
        <v>3</v>
      </c>
      <c r="CC115" s="12">
        <f t="shared" ca="1" si="31"/>
        <v>0.1</v>
      </c>
      <c r="CD115" s="12">
        <f t="shared" ca="1" si="32"/>
        <v>74.110426936026897</v>
      </c>
      <c r="CE115" s="12">
        <f t="shared" ca="1" si="33"/>
        <v>7.4110426936026901</v>
      </c>
      <c r="CS115" s="32"/>
      <c r="CT115" s="32"/>
      <c r="CU115" s="33"/>
      <c r="CV115" s="32"/>
      <c r="CW115" s="32"/>
      <c r="CX115" s="32"/>
      <c r="CY115" s="34"/>
      <c r="CZ115" s="35"/>
      <c r="DA115" s="33"/>
      <c r="DB115" s="33"/>
      <c r="DC115" s="33"/>
      <c r="DD115" s="33"/>
      <c r="DE115" s="33"/>
      <c r="DF115" s="33"/>
      <c r="DG115" s="33"/>
      <c r="DH115" s="34"/>
      <c r="DI115" s="35"/>
      <c r="DJ115" s="33"/>
      <c r="DK115" s="34"/>
      <c r="DL115" s="34"/>
      <c r="DM115" s="34"/>
      <c r="DN115" s="3">
        <v>5500051</v>
      </c>
      <c r="DS115" s="21"/>
      <c r="DT115" s="21"/>
      <c r="DU115" s="21"/>
    </row>
    <row r="116" spans="52:125" ht="13.5" customHeight="1">
      <c r="AZ116" s="3"/>
      <c r="BA116" s="3"/>
      <c r="BB116" s="3"/>
      <c r="BC116" s="3"/>
      <c r="BT116" s="3">
        <v>5501051</v>
      </c>
      <c r="BU116" s="3">
        <f>[1]monsters!$N116</f>
        <v>163.84</v>
      </c>
      <c r="BV116" s="3">
        <f>[1]monsters!$O116</f>
        <v>16.38</v>
      </c>
      <c r="BW116" s="3">
        <f>[1]monsters!$P116</f>
        <v>1280</v>
      </c>
      <c r="BX116" s="3">
        <f>[1]monsters!$Q116</f>
        <v>128</v>
      </c>
      <c r="BY116" s="3">
        <f>[1]monsters!$R116</f>
        <v>23.41</v>
      </c>
      <c r="BZ116" s="3">
        <f>[1]monsters!$S116</f>
        <v>2.34</v>
      </c>
      <c r="CA116" s="3">
        <f>[1]monsters!$K116</f>
        <v>1.6</v>
      </c>
      <c r="CB116" s="12">
        <f>[1]monsters!$D116</f>
        <v>4</v>
      </c>
      <c r="CC116" s="12">
        <f t="shared" ca="1" si="31"/>
        <v>0.1</v>
      </c>
      <c r="CD116" s="12">
        <f t="shared" ca="1" si="32"/>
        <v>84.996826936026906</v>
      </c>
      <c r="CE116" s="12">
        <f t="shared" ca="1" si="33"/>
        <v>8.4996826936026899</v>
      </c>
      <c r="CS116" s="32"/>
      <c r="CT116" s="32"/>
      <c r="CU116" s="33"/>
      <c r="CV116" s="32"/>
      <c r="CW116" s="32"/>
      <c r="CX116" s="32"/>
      <c r="CY116" s="34"/>
      <c r="CZ116" s="35"/>
      <c r="DA116" s="33"/>
      <c r="DB116" s="33"/>
      <c r="DC116" s="33"/>
      <c r="DD116" s="33"/>
      <c r="DE116" s="33"/>
      <c r="DF116" s="33"/>
      <c r="DG116" s="33"/>
      <c r="DH116" s="34"/>
      <c r="DI116" s="35"/>
      <c r="DJ116" s="33"/>
      <c r="DK116" s="34"/>
      <c r="DL116" s="34"/>
      <c r="DM116" s="34"/>
      <c r="DN116" s="3">
        <v>5501051</v>
      </c>
      <c r="DS116" s="21"/>
      <c r="DT116" s="21"/>
      <c r="DU116" s="21"/>
    </row>
    <row r="117" spans="52:125" ht="13.5" customHeight="1">
      <c r="AZ117" s="3"/>
      <c r="BA117" s="3"/>
      <c r="BB117" s="3"/>
      <c r="BC117" s="3"/>
      <c r="BT117" s="3">
        <v>5600051</v>
      </c>
      <c r="BU117" s="3">
        <f>[1]monsters!$N117</f>
        <v>153.6</v>
      </c>
      <c r="BV117" s="3">
        <f>[1]monsters!$O117</f>
        <v>15.36</v>
      </c>
      <c r="BW117" s="3">
        <f>[1]monsters!$P117</f>
        <v>1280</v>
      </c>
      <c r="BX117" s="3">
        <f>[1]monsters!$Q117</f>
        <v>128</v>
      </c>
      <c r="BY117" s="3">
        <f>[1]monsters!$R117</f>
        <v>21.94</v>
      </c>
      <c r="BZ117" s="3">
        <f>[1]monsters!$S117</f>
        <v>2.19</v>
      </c>
      <c r="CA117" s="3">
        <f>[1]monsters!$K117</f>
        <v>1.5</v>
      </c>
      <c r="CB117" s="12">
        <f>[1]monsters!$D117</f>
        <v>4</v>
      </c>
      <c r="CC117" s="12">
        <f t="shared" ca="1" si="31"/>
        <v>0.1</v>
      </c>
      <c r="CD117" s="12">
        <f t="shared" ca="1" si="32"/>
        <v>71.635232323232302</v>
      </c>
      <c r="CE117" s="12">
        <f t="shared" ca="1" si="33"/>
        <v>7.1635232323232296</v>
      </c>
      <c r="CS117" s="32"/>
      <c r="CT117" s="32"/>
      <c r="CU117" s="33"/>
      <c r="CV117" s="32"/>
      <c r="CW117" s="32"/>
      <c r="CX117" s="32"/>
      <c r="CY117" s="34"/>
      <c r="CZ117" s="35"/>
      <c r="DA117" s="33"/>
      <c r="DB117" s="33"/>
      <c r="DC117" s="33"/>
      <c r="DD117" s="33"/>
      <c r="DE117" s="33"/>
      <c r="DF117" s="33"/>
      <c r="DG117" s="33"/>
      <c r="DH117" s="34"/>
      <c r="DI117" s="35"/>
      <c r="DJ117" s="33"/>
      <c r="DK117" s="34"/>
      <c r="DL117" s="34"/>
      <c r="DM117" s="34"/>
      <c r="DN117" s="3">
        <v>5600051</v>
      </c>
      <c r="DS117" s="21"/>
      <c r="DT117" s="21"/>
      <c r="DU117" s="21"/>
    </row>
    <row r="118" spans="52:125" ht="13.5" customHeight="1">
      <c r="AZ118" s="3"/>
      <c r="BA118" s="3"/>
      <c r="BB118" s="3"/>
      <c r="BC118" s="3"/>
      <c r="BT118" s="3">
        <v>5601051</v>
      </c>
      <c r="BU118" s="3">
        <f>[1]monsters!$N118</f>
        <v>179.2</v>
      </c>
      <c r="BV118" s="3">
        <f>[1]monsters!$O118</f>
        <v>17.920000000000002</v>
      </c>
      <c r="BW118" s="3">
        <f>[1]monsters!$P118</f>
        <v>1097.1400000000001</v>
      </c>
      <c r="BX118" s="3">
        <f>[1]monsters!$Q118</f>
        <v>109.71</v>
      </c>
      <c r="BY118" s="3">
        <f>[1]monsters!$R118</f>
        <v>22.4</v>
      </c>
      <c r="BZ118" s="3">
        <f>[1]monsters!$S118</f>
        <v>2.2400000000000002</v>
      </c>
      <c r="CA118" s="3">
        <f>[1]monsters!$K118</f>
        <v>1.5</v>
      </c>
      <c r="CB118" s="12">
        <f>[1]monsters!$D118</f>
        <v>5</v>
      </c>
      <c r="CC118" s="12">
        <f t="shared" ca="1" si="31"/>
        <v>0.1</v>
      </c>
      <c r="CD118" s="12">
        <f t="shared" ca="1" si="32"/>
        <v>77.683232323232303</v>
      </c>
      <c r="CE118" s="12">
        <f t="shared" ca="1" si="33"/>
        <v>7.7683232323232296</v>
      </c>
      <c r="CS118" s="32"/>
      <c r="CT118" s="32"/>
      <c r="CU118" s="33"/>
      <c r="CV118" s="32"/>
      <c r="CW118" s="32"/>
      <c r="CX118" s="32"/>
      <c r="CY118" s="34"/>
      <c r="CZ118" s="35"/>
      <c r="DA118" s="33"/>
      <c r="DB118" s="33"/>
      <c r="DC118" s="33"/>
      <c r="DD118" s="33"/>
      <c r="DE118" s="33"/>
      <c r="DF118" s="33"/>
      <c r="DG118" s="33"/>
      <c r="DH118" s="34"/>
      <c r="DI118" s="35"/>
      <c r="DJ118" s="33"/>
      <c r="DK118" s="34"/>
      <c r="DL118" s="34"/>
      <c r="DM118" s="34"/>
      <c r="DN118" s="3">
        <v>5601051</v>
      </c>
      <c r="DS118" s="21"/>
      <c r="DT118" s="21"/>
      <c r="DU118" s="21"/>
    </row>
    <row r="119" spans="52:125" ht="13.5" customHeight="1">
      <c r="AZ119" s="3"/>
      <c r="BA119" s="3"/>
      <c r="BB119" s="3"/>
      <c r="BC119" s="3"/>
      <c r="BT119" s="3">
        <v>5200052</v>
      </c>
      <c r="BU119" s="3">
        <f>[1]monsters!$N119</f>
        <v>167.25</v>
      </c>
      <c r="BV119" s="3">
        <f>[1]monsters!$O119</f>
        <v>16.73</v>
      </c>
      <c r="BW119" s="3">
        <f>[1]monsters!$P119</f>
        <v>1097.1400000000001</v>
      </c>
      <c r="BX119" s="3">
        <f>[1]monsters!$Q119</f>
        <v>109.71</v>
      </c>
      <c r="BY119" s="3">
        <f>[1]monsters!$R119</f>
        <v>20.91</v>
      </c>
      <c r="BZ119" s="3">
        <f>[1]monsters!$S119</f>
        <v>2.09</v>
      </c>
      <c r="CA119" s="3">
        <f>[1]monsters!$K119</f>
        <v>1.4000000000000001</v>
      </c>
      <c r="CB119" s="12">
        <f>[1]monsters!$D119</f>
        <v>5</v>
      </c>
      <c r="CC119" s="12">
        <f t="shared" ca="1" si="31"/>
        <v>0.1</v>
      </c>
      <c r="CD119" s="12">
        <f t="shared" ca="1" si="32"/>
        <v>76.692040404040398</v>
      </c>
      <c r="CE119" s="12">
        <f t="shared" ca="1" si="33"/>
        <v>7.6692040404040398</v>
      </c>
      <c r="CS119" s="32"/>
      <c r="CT119" s="32"/>
      <c r="CU119" s="33"/>
      <c r="CV119" s="32"/>
      <c r="CW119" s="32"/>
      <c r="CX119" s="32"/>
      <c r="CY119" s="34"/>
      <c r="CZ119" s="35"/>
      <c r="DA119" s="33"/>
      <c r="DB119" s="33"/>
      <c r="DC119" s="33"/>
      <c r="DD119" s="33"/>
      <c r="DE119" s="33"/>
      <c r="DF119" s="33"/>
      <c r="DG119" s="33"/>
      <c r="DH119" s="34"/>
      <c r="DI119" s="35"/>
      <c r="DJ119" s="33"/>
      <c r="DK119" s="34"/>
      <c r="DL119" s="34"/>
      <c r="DM119" s="34"/>
      <c r="DN119" s="3">
        <v>5200052</v>
      </c>
      <c r="DS119" s="21"/>
      <c r="DT119" s="21"/>
      <c r="DU119" s="21"/>
    </row>
    <row r="120" spans="52:125" ht="13.5" customHeight="1">
      <c r="AZ120" s="3"/>
      <c r="BA120" s="3"/>
      <c r="BB120" s="3"/>
      <c r="BC120" s="3"/>
      <c r="BT120" s="3">
        <v>5202052</v>
      </c>
      <c r="BU120" s="3">
        <f>[1]monsters!$N120</f>
        <v>198.4</v>
      </c>
      <c r="BV120" s="3">
        <f>[1]monsters!$O120</f>
        <v>19.84</v>
      </c>
      <c r="BW120" s="3">
        <f>[1]monsters!$P120</f>
        <v>990.97</v>
      </c>
      <c r="BX120" s="3">
        <f>[1]monsters!$Q120</f>
        <v>99.1</v>
      </c>
      <c r="BY120" s="3">
        <f>[1]monsters!$R120</f>
        <v>19.84</v>
      </c>
      <c r="BZ120" s="3">
        <f>[1]monsters!$S120</f>
        <v>1.98</v>
      </c>
      <c r="CA120" s="3">
        <f>[1]monsters!$K120</f>
        <v>1.5</v>
      </c>
      <c r="CB120" s="12">
        <f>[1]monsters!$D120</f>
        <v>6</v>
      </c>
      <c r="CC120" s="12">
        <f t="shared" ca="1" si="31"/>
        <v>0.1</v>
      </c>
      <c r="CD120" s="12">
        <f t="shared" ca="1" si="32"/>
        <v>88.788040404040402</v>
      </c>
      <c r="CE120" s="12">
        <f t="shared" ca="1" si="33"/>
        <v>8.8788040404040398</v>
      </c>
      <c r="CS120" s="32"/>
      <c r="CT120" s="32"/>
      <c r="CU120" s="33"/>
      <c r="CV120" s="32"/>
      <c r="CW120" s="32"/>
      <c r="CX120" s="32"/>
      <c r="CY120" s="34"/>
      <c r="CZ120" s="35"/>
      <c r="DA120" s="33"/>
      <c r="DB120" s="33"/>
      <c r="DC120" s="33"/>
      <c r="DD120" s="33"/>
      <c r="DE120" s="33"/>
      <c r="DF120" s="33"/>
      <c r="DG120" s="33"/>
      <c r="DH120" s="34"/>
      <c r="DI120" s="35"/>
      <c r="DJ120" s="33"/>
      <c r="DK120" s="34"/>
      <c r="DL120" s="34"/>
      <c r="DM120" s="34"/>
      <c r="DN120" s="3">
        <v>5202052</v>
      </c>
      <c r="DS120" s="21"/>
      <c r="DT120" s="21"/>
      <c r="DU120" s="21"/>
    </row>
    <row r="121" spans="52:125" ht="13.5" customHeight="1">
      <c r="AZ121" s="3"/>
      <c r="BA121" s="3"/>
      <c r="BB121" s="3"/>
      <c r="BC121" s="3"/>
      <c r="BT121" s="3">
        <v>5302052</v>
      </c>
      <c r="BU121" s="3">
        <f>[1]monsters!$N121</f>
        <v>122.88</v>
      </c>
      <c r="BV121" s="3">
        <f>[1]monsters!$O121</f>
        <v>12.29</v>
      </c>
      <c r="BW121" s="3">
        <f>[1]monsters!$P121</f>
        <v>1920</v>
      </c>
      <c r="BX121" s="3">
        <f>[1]monsters!$Q121</f>
        <v>192</v>
      </c>
      <c r="BY121" s="3">
        <f>[1]monsters!$R121</f>
        <v>40.96</v>
      </c>
      <c r="BZ121" s="3">
        <f>[1]monsters!$S121</f>
        <v>4.0999999999999996</v>
      </c>
      <c r="CA121" s="3">
        <f>[1]monsters!$K121</f>
        <v>1.8</v>
      </c>
      <c r="CB121" s="12">
        <f>[1]monsters!$D121</f>
        <v>2</v>
      </c>
      <c r="CC121" s="12">
        <f t="shared" ca="1" si="31"/>
        <v>0.1</v>
      </c>
      <c r="CD121" s="12">
        <f t="shared" ca="1" si="32"/>
        <v>68.573902581369396</v>
      </c>
      <c r="CE121" s="12">
        <f t="shared" ca="1" si="33"/>
        <v>6.8573902581369399</v>
      </c>
      <c r="CS121" s="32"/>
      <c r="CT121" s="32"/>
      <c r="CU121" s="33"/>
      <c r="CV121" s="32"/>
      <c r="CW121" s="32"/>
      <c r="CX121" s="32"/>
      <c r="CY121" s="34"/>
      <c r="CZ121" s="35"/>
      <c r="DA121" s="33"/>
      <c r="DB121" s="33"/>
      <c r="DC121" s="33"/>
      <c r="DD121" s="33"/>
      <c r="DE121" s="33"/>
      <c r="DF121" s="33"/>
      <c r="DG121" s="33"/>
      <c r="DH121" s="34"/>
      <c r="DI121" s="35"/>
      <c r="DJ121" s="33"/>
      <c r="DK121" s="34"/>
      <c r="DL121" s="34"/>
      <c r="DM121" s="34"/>
      <c r="DN121" s="3">
        <v>5302052</v>
      </c>
      <c r="DS121" s="21"/>
      <c r="DT121" s="21"/>
      <c r="DU121" s="21"/>
    </row>
    <row r="122" spans="52:125" ht="13.5" customHeight="1">
      <c r="AZ122" s="3"/>
      <c r="BA122" s="3"/>
      <c r="BB122" s="3"/>
      <c r="BC122" s="3"/>
      <c r="BT122" s="3">
        <v>5300052</v>
      </c>
      <c r="BU122" s="3">
        <f>[1]monsters!$N122</f>
        <v>107.52</v>
      </c>
      <c r="BV122" s="3">
        <f>[1]monsters!$O122</f>
        <v>10.75</v>
      </c>
      <c r="BW122" s="3">
        <f>[1]monsters!$P122</f>
        <v>1706.67</v>
      </c>
      <c r="BX122" s="3">
        <f>[1]monsters!$Q122</f>
        <v>170.67</v>
      </c>
      <c r="BY122" s="3">
        <f>[1]monsters!$R122</f>
        <v>21.5</v>
      </c>
      <c r="BZ122" s="3">
        <f>[1]monsters!$S122</f>
        <v>2.15</v>
      </c>
      <c r="CA122" s="3">
        <f>[1]monsters!$K122</f>
        <v>1.4000000000000001</v>
      </c>
      <c r="CB122" s="12">
        <f>[1]monsters!$D122</f>
        <v>3</v>
      </c>
      <c r="CC122" s="12">
        <f t="shared" ca="1" si="31"/>
        <v>0.1</v>
      </c>
      <c r="CD122" s="12">
        <f t="shared" ca="1" si="32"/>
        <v>71.295502581369405</v>
      </c>
      <c r="CE122" s="12">
        <f t="shared" ca="1" si="33"/>
        <v>7.1295502581369403</v>
      </c>
      <c r="CJ122" s="12">
        <v>1</v>
      </c>
      <c r="CK122" s="12">
        <v>2</v>
      </c>
      <c r="CL122" s="12">
        <v>3</v>
      </c>
      <c r="CM122" s="12">
        <v>4</v>
      </c>
      <c r="CN122" s="12">
        <v>5</v>
      </c>
      <c r="CO122" s="12">
        <v>6</v>
      </c>
      <c r="CS122" s="32"/>
      <c r="CT122" s="32"/>
      <c r="CU122" s="33"/>
      <c r="CV122" s="32"/>
      <c r="CW122" s="32"/>
      <c r="CX122" s="32"/>
      <c r="CY122" s="34"/>
      <c r="CZ122" s="35"/>
      <c r="DA122" s="33"/>
      <c r="DB122" s="33"/>
      <c r="DC122" s="33"/>
      <c r="DD122" s="33"/>
      <c r="DE122" s="33"/>
      <c r="DF122" s="33"/>
      <c r="DG122" s="33"/>
      <c r="DH122" s="34"/>
      <c r="DI122" s="35"/>
      <c r="DJ122" s="33"/>
      <c r="DK122" s="34"/>
      <c r="DL122" s="34"/>
      <c r="DM122" s="34"/>
      <c r="DN122" s="3">
        <v>5300052</v>
      </c>
      <c r="DS122" s="21"/>
      <c r="DT122" s="21"/>
      <c r="DU122" s="21"/>
    </row>
    <row r="123" spans="52:125" ht="13.5" customHeight="1">
      <c r="AZ123" s="3"/>
      <c r="BA123" s="3"/>
      <c r="BB123" s="3"/>
      <c r="BC123" s="3"/>
      <c r="BT123" s="3">
        <v>5400052</v>
      </c>
      <c r="BU123" s="3">
        <f>[1]monsters!$N123</f>
        <v>191.15</v>
      </c>
      <c r="BV123" s="3">
        <f>[1]monsters!$O123</f>
        <v>19.11</v>
      </c>
      <c r="BW123" s="3">
        <f>[1]monsters!$P123</f>
        <v>1097.1400000000001</v>
      </c>
      <c r="BX123" s="3">
        <f>[1]monsters!$Q123</f>
        <v>109.71</v>
      </c>
      <c r="BY123" s="3">
        <f>[1]monsters!$R123</f>
        <v>23.89</v>
      </c>
      <c r="BZ123" s="3">
        <f>[1]monsters!$S123</f>
        <v>2.39</v>
      </c>
      <c r="CA123" s="3">
        <f>[1]monsters!$K123</f>
        <v>1.6</v>
      </c>
      <c r="CB123" s="12">
        <f>[1]monsters!$D123</f>
        <v>5</v>
      </c>
      <c r="CC123" s="12">
        <f t="shared" ca="1" si="31"/>
        <v>0.1</v>
      </c>
      <c r="CD123" s="12">
        <f t="shared" ca="1" si="32"/>
        <v>69.3015566574839</v>
      </c>
      <c r="CE123" s="12">
        <f t="shared" ca="1" si="33"/>
        <v>6.9301556657483898</v>
      </c>
      <c r="CF123" s="21" t="s">
        <v>145</v>
      </c>
      <c r="CG123" s="21" t="s">
        <v>146</v>
      </c>
      <c r="CJ123" s="21" t="s">
        <v>147</v>
      </c>
      <c r="CK123" s="21" t="s">
        <v>148</v>
      </c>
      <c r="CL123" s="21" t="s">
        <v>148</v>
      </c>
      <c r="CM123" s="21" t="s">
        <v>148</v>
      </c>
      <c r="CN123" s="21" t="s">
        <v>147</v>
      </c>
      <c r="CO123" s="21" t="s">
        <v>147</v>
      </c>
      <c r="CS123" s="32"/>
      <c r="CT123" s="32"/>
      <c r="CU123" s="33"/>
      <c r="CV123" s="32"/>
      <c r="CW123" s="32"/>
      <c r="CX123" s="32"/>
      <c r="CY123" s="34"/>
      <c r="CZ123" s="35"/>
      <c r="DA123" s="33"/>
      <c r="DB123" s="33"/>
      <c r="DC123" s="33"/>
      <c r="DD123" s="33"/>
      <c r="DE123" s="33"/>
      <c r="DF123" s="33"/>
      <c r="DG123" s="33"/>
      <c r="DH123" s="34"/>
      <c r="DI123" s="35"/>
      <c r="DJ123" s="33"/>
      <c r="DK123" s="34"/>
      <c r="DL123" s="34"/>
      <c r="DM123" s="34"/>
      <c r="DN123" s="3">
        <v>5400052</v>
      </c>
      <c r="DS123" s="21"/>
      <c r="DT123" s="21"/>
      <c r="DU123" s="21"/>
    </row>
    <row r="124" spans="52:125" ht="13.5" customHeight="1">
      <c r="AZ124" s="3"/>
      <c r="BA124" s="3"/>
      <c r="BB124" s="3"/>
      <c r="BC124" s="3"/>
      <c r="BT124" s="3">
        <v>5402052</v>
      </c>
      <c r="BU124" s="3">
        <f>[1]monsters!$N124</f>
        <v>185.17</v>
      </c>
      <c r="BV124" s="3">
        <f>[1]monsters!$O124</f>
        <v>18.52</v>
      </c>
      <c r="BW124" s="3">
        <f>[1]monsters!$P124</f>
        <v>990.97</v>
      </c>
      <c r="BX124" s="3">
        <f>[1]monsters!$Q124</f>
        <v>99.1</v>
      </c>
      <c r="BY124" s="3">
        <f>[1]monsters!$R124</f>
        <v>18.52</v>
      </c>
      <c r="BZ124" s="3">
        <f>[1]monsters!$S124</f>
        <v>1.85</v>
      </c>
      <c r="CA124" s="3">
        <f>[1]monsters!$K124</f>
        <v>1.4000000000000001</v>
      </c>
      <c r="CB124" s="12">
        <f>[1]monsters!$D124</f>
        <v>6</v>
      </c>
      <c r="CC124" s="12">
        <f t="shared" ca="1" si="31"/>
        <v>0.1</v>
      </c>
      <c r="CD124" s="12">
        <f t="shared" ca="1" si="32"/>
        <v>79.280756657483906</v>
      </c>
      <c r="CE124" s="12">
        <f t="shared" ca="1" si="33"/>
        <v>7.9280756657483904</v>
      </c>
      <c r="CF124" s="21"/>
      <c r="CG124" s="21" t="s">
        <v>149</v>
      </c>
      <c r="CH124" s="21"/>
      <c r="CJ124" s="21" t="s">
        <v>148</v>
      </c>
      <c r="CK124" s="21" t="s">
        <v>147</v>
      </c>
      <c r="CL124" s="21" t="s">
        <v>147</v>
      </c>
      <c r="CM124" s="21" t="s">
        <v>148</v>
      </c>
      <c r="CN124" s="21" t="s">
        <v>148</v>
      </c>
      <c r="CO124" s="21" t="s">
        <v>147</v>
      </c>
      <c r="CS124" s="32"/>
      <c r="CT124" s="32"/>
      <c r="CU124" s="33"/>
      <c r="CV124" s="32"/>
      <c r="CW124" s="32"/>
      <c r="CX124" s="32"/>
      <c r="CY124" s="34"/>
      <c r="CZ124" s="35"/>
      <c r="DA124" s="33"/>
      <c r="DB124" s="33"/>
      <c r="DC124" s="33"/>
      <c r="DD124" s="33"/>
      <c r="DE124" s="33"/>
      <c r="DF124" s="33"/>
      <c r="DG124" s="33"/>
      <c r="DH124" s="34"/>
      <c r="DI124" s="35"/>
      <c r="DJ124" s="33"/>
      <c r="DK124" s="34"/>
      <c r="DL124" s="34"/>
      <c r="DM124" s="34"/>
      <c r="DN124" s="3">
        <v>5402052</v>
      </c>
      <c r="DS124" s="21"/>
      <c r="DT124" s="21"/>
      <c r="DU124" s="21"/>
    </row>
    <row r="125" spans="52:125" ht="13.5" customHeight="1">
      <c r="AZ125" s="3"/>
      <c r="BA125" s="3"/>
      <c r="BB125" s="3"/>
      <c r="BC125" s="3"/>
      <c r="BT125" s="3">
        <v>5500052</v>
      </c>
      <c r="BU125" s="3">
        <f>[1]monsters!$N125</f>
        <v>238.08</v>
      </c>
      <c r="BV125" s="3">
        <f>[1]monsters!$O125</f>
        <v>23.81</v>
      </c>
      <c r="BW125" s="3">
        <f>[1]monsters!$P125</f>
        <v>990.97</v>
      </c>
      <c r="BX125" s="3">
        <f>[1]monsters!$Q125</f>
        <v>99.1</v>
      </c>
      <c r="BY125" s="3">
        <f>[1]monsters!$R125</f>
        <v>23.81</v>
      </c>
      <c r="BZ125" s="3">
        <f>[1]monsters!$S125</f>
        <v>2.38</v>
      </c>
      <c r="CA125" s="3">
        <f>[1]monsters!$K125</f>
        <v>1.8</v>
      </c>
      <c r="CB125" s="12">
        <f>[1]monsters!$D125</f>
        <v>6</v>
      </c>
      <c r="CC125" s="12">
        <f t="shared" ca="1" si="31"/>
        <v>0.1</v>
      </c>
      <c r="CD125" s="12">
        <f t="shared" ca="1" si="32"/>
        <v>74.110426936026897</v>
      </c>
      <c r="CE125" s="12">
        <f t="shared" ca="1" si="33"/>
        <v>7.4110426936026901</v>
      </c>
      <c r="CF125" s="21" t="s">
        <v>150</v>
      </c>
      <c r="CG125" s="21" t="s">
        <v>151</v>
      </c>
      <c r="CJ125" s="21" t="s">
        <v>148</v>
      </c>
      <c r="CK125" s="21" t="s">
        <v>148</v>
      </c>
      <c r="CL125" s="21" t="s">
        <v>148</v>
      </c>
      <c r="CM125" s="21" t="s">
        <v>148</v>
      </c>
      <c r="CN125" s="21" t="s">
        <v>148</v>
      </c>
      <c r="CO125" s="21" t="s">
        <v>148</v>
      </c>
      <c r="CS125" s="32"/>
      <c r="CT125" s="32"/>
      <c r="CU125" s="33"/>
      <c r="CV125" s="32"/>
      <c r="CW125" s="32"/>
      <c r="CX125" s="32"/>
      <c r="CY125" s="34"/>
      <c r="CZ125" s="35"/>
      <c r="DA125" s="33"/>
      <c r="DB125" s="33"/>
      <c r="DC125" s="33"/>
      <c r="DD125" s="33"/>
      <c r="DE125" s="33"/>
      <c r="DF125" s="33"/>
      <c r="DG125" s="33"/>
      <c r="DH125" s="34"/>
      <c r="DI125" s="35"/>
      <c r="DJ125" s="33"/>
      <c r="DK125" s="34"/>
      <c r="DL125" s="34"/>
      <c r="DM125" s="34"/>
      <c r="DN125" s="3">
        <v>5500052</v>
      </c>
      <c r="DS125" s="21"/>
      <c r="DT125" s="21"/>
      <c r="DU125" s="21"/>
    </row>
    <row r="126" spans="52:125" ht="13.5" customHeight="1">
      <c r="AZ126" s="3"/>
      <c r="BA126" s="3"/>
      <c r="BB126" s="3"/>
      <c r="BC126" s="3"/>
      <c r="BT126" s="3">
        <v>5502052</v>
      </c>
      <c r="BU126" s="3">
        <f>[1]monsters!$N126</f>
        <v>138.24</v>
      </c>
      <c r="BV126" s="3">
        <f>[1]monsters!$O126</f>
        <v>13.82</v>
      </c>
      <c r="BW126" s="3">
        <f>[1]monsters!$P126</f>
        <v>1706.67</v>
      </c>
      <c r="BX126" s="3">
        <f>[1]monsters!$Q126</f>
        <v>170.67</v>
      </c>
      <c r="BY126" s="3">
        <f>[1]monsters!$R126</f>
        <v>27.65</v>
      </c>
      <c r="BZ126" s="3">
        <f>[1]monsters!$S126</f>
        <v>2.76</v>
      </c>
      <c r="CA126" s="3">
        <f>[1]monsters!$K126</f>
        <v>1.8</v>
      </c>
      <c r="CB126" s="12">
        <f>[1]monsters!$D126</f>
        <v>2</v>
      </c>
      <c r="CC126" s="12">
        <f t="shared" ca="1" si="31"/>
        <v>0.1</v>
      </c>
      <c r="CD126" s="12">
        <f t="shared" ca="1" si="32"/>
        <v>74.110426936026897</v>
      </c>
      <c r="CE126" s="12">
        <f t="shared" ca="1" si="33"/>
        <v>7.4110426936026901</v>
      </c>
      <c r="CG126" s="21" t="s">
        <v>152</v>
      </c>
      <c r="CJ126" s="21" t="s">
        <v>147</v>
      </c>
      <c r="CK126" s="21" t="s">
        <v>147</v>
      </c>
      <c r="CL126" s="21" t="s">
        <v>147</v>
      </c>
      <c r="CM126" s="21" t="s">
        <v>147</v>
      </c>
      <c r="CN126" s="21" t="s">
        <v>147</v>
      </c>
      <c r="CO126" s="21" t="s">
        <v>147</v>
      </c>
      <c r="CS126" s="32"/>
      <c r="CT126" s="32"/>
      <c r="CU126" s="33"/>
      <c r="CV126" s="32"/>
      <c r="CW126" s="32"/>
      <c r="CX126" s="32"/>
      <c r="CY126" s="34"/>
      <c r="CZ126" s="35"/>
      <c r="DA126" s="33"/>
      <c r="DB126" s="33"/>
      <c r="DC126" s="33"/>
      <c r="DD126" s="33"/>
      <c r="DE126" s="33"/>
      <c r="DF126" s="33"/>
      <c r="DG126" s="33"/>
      <c r="DH126" s="34"/>
      <c r="DI126" s="35"/>
      <c r="DJ126" s="33"/>
      <c r="DK126" s="34"/>
      <c r="DL126" s="34"/>
      <c r="DM126" s="34"/>
      <c r="DN126" s="3">
        <v>5502052</v>
      </c>
      <c r="DS126" s="21"/>
      <c r="DT126" s="21"/>
      <c r="DU126" s="21"/>
    </row>
    <row r="127" spans="52:125" ht="13.5" customHeight="1">
      <c r="AZ127" s="3"/>
      <c r="BA127" s="3"/>
      <c r="BB127" s="3"/>
      <c r="BC127" s="3"/>
      <c r="BT127" s="3">
        <v>5600052</v>
      </c>
      <c r="BU127" s="3">
        <f>[1]monsters!$N127</f>
        <v>99.84</v>
      </c>
      <c r="BV127" s="3">
        <f>[1]monsters!$O127</f>
        <v>9.98</v>
      </c>
      <c r="BW127" s="3">
        <f>[1]monsters!$P127</f>
        <v>1706.67</v>
      </c>
      <c r="BX127" s="3">
        <f>[1]monsters!$Q127</f>
        <v>170.67</v>
      </c>
      <c r="BY127" s="3">
        <f>[1]monsters!$R127</f>
        <v>19.97</v>
      </c>
      <c r="BZ127" s="3">
        <f>[1]monsters!$S127</f>
        <v>2</v>
      </c>
      <c r="CA127" s="3">
        <f>[1]monsters!$K127</f>
        <v>1.3</v>
      </c>
      <c r="CB127" s="12">
        <f>[1]monsters!$D127</f>
        <v>3</v>
      </c>
      <c r="CC127" s="12">
        <f t="shared" ca="1" si="31"/>
        <v>0.1</v>
      </c>
      <c r="CD127" s="12">
        <f t="shared" ca="1" si="32"/>
        <v>71.635232323232302</v>
      </c>
      <c r="CE127" s="12">
        <f t="shared" ca="1" si="33"/>
        <v>7.1635232323232296</v>
      </c>
      <c r="CG127" s="21" t="s">
        <v>153</v>
      </c>
      <c r="CJ127" s="21" t="s">
        <v>147</v>
      </c>
      <c r="CK127" s="21" t="s">
        <v>147</v>
      </c>
      <c r="CL127" s="21" t="s">
        <v>147</v>
      </c>
      <c r="CM127" s="21" t="s">
        <v>147</v>
      </c>
      <c r="CN127" s="21" t="s">
        <v>147</v>
      </c>
      <c r="CO127" s="21" t="s">
        <v>147</v>
      </c>
      <c r="CS127" s="32"/>
      <c r="CT127" s="32"/>
      <c r="CU127" s="33"/>
      <c r="CV127" s="32"/>
      <c r="CW127" s="32"/>
      <c r="CX127" s="32"/>
      <c r="CY127" s="34"/>
      <c r="CZ127" s="35"/>
      <c r="DA127" s="33"/>
      <c r="DB127" s="33"/>
      <c r="DC127" s="33"/>
      <c r="DD127" s="33"/>
      <c r="DE127" s="33"/>
      <c r="DF127" s="33"/>
      <c r="DG127" s="33"/>
      <c r="DH127" s="34"/>
      <c r="DI127" s="35"/>
      <c r="DJ127" s="33"/>
      <c r="DK127" s="34"/>
      <c r="DL127" s="34"/>
      <c r="DM127" s="34"/>
      <c r="DN127" s="3">
        <v>5600052</v>
      </c>
      <c r="DS127" s="21"/>
      <c r="DT127" s="21"/>
      <c r="DU127" s="21"/>
    </row>
    <row r="128" spans="52:125" ht="13.5" customHeight="1">
      <c r="AZ128" s="3"/>
      <c r="BA128" s="3"/>
      <c r="BB128" s="3"/>
      <c r="BC128" s="3"/>
      <c r="BT128" s="3">
        <v>5602052</v>
      </c>
      <c r="BU128" s="3">
        <f>[1]monsters!$N128</f>
        <v>107.52</v>
      </c>
      <c r="BV128" s="3">
        <f>[1]monsters!$O128</f>
        <v>10.75</v>
      </c>
      <c r="BW128" s="3">
        <f>[1]monsters!$P128</f>
        <v>1706.67</v>
      </c>
      <c r="BX128" s="3">
        <f>[1]monsters!$Q128</f>
        <v>170.67</v>
      </c>
      <c r="BY128" s="3">
        <f>[1]monsters!$R128</f>
        <v>21.5</v>
      </c>
      <c r="BZ128" s="3">
        <f>[1]monsters!$S128</f>
        <v>2.15</v>
      </c>
      <c r="CA128" s="3">
        <f>[1]monsters!$K128</f>
        <v>1.4000000000000001</v>
      </c>
      <c r="CB128" s="12">
        <f>[1]monsters!$D128</f>
        <v>3</v>
      </c>
      <c r="CC128" s="12">
        <f t="shared" ca="1" si="31"/>
        <v>0.1</v>
      </c>
      <c r="CD128" s="12">
        <f t="shared" ca="1" si="32"/>
        <v>92.803232323232294</v>
      </c>
      <c r="CE128" s="12">
        <f t="shared" ca="1" si="33"/>
        <v>9.2803232323232301</v>
      </c>
      <c r="CG128" s="21" t="s">
        <v>154</v>
      </c>
      <c r="CJ128" s="21" t="s">
        <v>148</v>
      </c>
      <c r="CK128" s="21" t="s">
        <v>148</v>
      </c>
      <c r="CL128" s="21" t="s">
        <v>148</v>
      </c>
      <c r="CM128" s="21" t="s">
        <v>148</v>
      </c>
      <c r="CN128" s="21" t="s">
        <v>148</v>
      </c>
      <c r="CO128" s="21" t="s">
        <v>148</v>
      </c>
      <c r="CS128" s="32"/>
      <c r="CT128" s="32"/>
      <c r="CU128" s="33"/>
      <c r="CV128" s="32"/>
      <c r="CW128" s="32"/>
      <c r="CX128" s="32"/>
      <c r="CY128" s="34"/>
      <c r="CZ128" s="35"/>
      <c r="DA128" s="33"/>
      <c r="DB128" s="33"/>
      <c r="DC128" s="33"/>
      <c r="DD128" s="33"/>
      <c r="DE128" s="33"/>
      <c r="DF128" s="33"/>
      <c r="DG128" s="33"/>
      <c r="DH128" s="34"/>
      <c r="DI128" s="35"/>
      <c r="DJ128" s="33"/>
      <c r="DK128" s="34"/>
      <c r="DL128" s="34"/>
      <c r="DM128" s="34"/>
      <c r="DN128" s="3">
        <v>5602052</v>
      </c>
      <c r="DS128" s="21"/>
      <c r="DT128" s="21"/>
      <c r="DU128" s="21"/>
    </row>
    <row r="129" spans="52:125" ht="13.5" customHeight="1">
      <c r="AZ129" s="3"/>
      <c r="BA129" s="3"/>
      <c r="BB129" s="3"/>
      <c r="BC129" s="3"/>
      <c r="BT129" s="3">
        <v>5200053</v>
      </c>
      <c r="BU129" s="3">
        <f>[1]monsters!$N129</f>
        <v>143.36000000000001</v>
      </c>
      <c r="BV129" s="3">
        <f>[1]monsters!$O129</f>
        <v>14.34</v>
      </c>
      <c r="BW129" s="3">
        <f>[1]monsters!$P129</f>
        <v>1280</v>
      </c>
      <c r="BX129" s="3">
        <f>[1]monsters!$Q129</f>
        <v>128</v>
      </c>
      <c r="BY129" s="3">
        <f>[1]monsters!$R129</f>
        <v>20.48</v>
      </c>
      <c r="BZ129" s="3">
        <f>[1]monsters!$S129</f>
        <v>2.0499999999999998</v>
      </c>
      <c r="CA129" s="3">
        <f>[1]monsters!$K129</f>
        <v>1.4000000000000001</v>
      </c>
      <c r="CB129" s="12">
        <f>[1]monsters!$D129</f>
        <v>4</v>
      </c>
      <c r="CC129" s="12">
        <f t="shared" ca="1" si="31"/>
        <v>0.1</v>
      </c>
      <c r="CD129" s="12">
        <f t="shared" ca="1" si="32"/>
        <v>76.692040404040398</v>
      </c>
      <c r="CE129" s="12">
        <f t="shared" ca="1" si="33"/>
        <v>7.6692040404040398</v>
      </c>
      <c r="CF129" s="21" t="s">
        <v>155</v>
      </c>
      <c r="CG129" s="21" t="s">
        <v>156</v>
      </c>
      <c r="CS129" s="32"/>
      <c r="CT129" s="32"/>
      <c r="CU129" s="33"/>
      <c r="CV129" s="32"/>
      <c r="CW129" s="32"/>
      <c r="CX129" s="32"/>
      <c r="CY129" s="34"/>
      <c r="CZ129" s="35"/>
      <c r="DA129" s="33"/>
      <c r="DB129" s="33"/>
      <c r="DC129" s="33"/>
      <c r="DD129" s="33"/>
      <c r="DE129" s="33"/>
      <c r="DF129" s="33"/>
      <c r="DG129" s="33"/>
      <c r="DH129" s="34"/>
      <c r="DI129" s="35"/>
      <c r="DJ129" s="33"/>
      <c r="DK129" s="34"/>
      <c r="DL129" s="34"/>
      <c r="DM129" s="34"/>
      <c r="DN129" s="3">
        <v>5200053</v>
      </c>
      <c r="DS129" s="21"/>
      <c r="DT129" s="21"/>
      <c r="DU129" s="21"/>
    </row>
    <row r="130" spans="52:125" ht="13.5" customHeight="1">
      <c r="AZ130" s="3"/>
      <c r="BA130" s="3"/>
      <c r="BB130" s="3"/>
      <c r="BC130" s="3"/>
      <c r="BT130" s="3">
        <v>5202053</v>
      </c>
      <c r="BU130" s="3">
        <f>[1]monsters!$N130</f>
        <v>191.15</v>
      </c>
      <c r="BV130" s="3">
        <f>[1]monsters!$O130</f>
        <v>19.11</v>
      </c>
      <c r="BW130" s="3">
        <f>[1]monsters!$P130</f>
        <v>1097.1400000000001</v>
      </c>
      <c r="BX130" s="3">
        <f>[1]monsters!$Q130</f>
        <v>109.71</v>
      </c>
      <c r="BY130" s="3">
        <f>[1]monsters!$R130</f>
        <v>23.89</v>
      </c>
      <c r="BZ130" s="3">
        <f>[1]monsters!$S130</f>
        <v>2.39</v>
      </c>
      <c r="CA130" s="3">
        <f>[1]monsters!$K130</f>
        <v>1.6</v>
      </c>
      <c r="CB130" s="12">
        <f>[1]monsters!$D130</f>
        <v>5</v>
      </c>
      <c r="CC130" s="12">
        <f t="shared" ca="1" si="31"/>
        <v>0.1</v>
      </c>
      <c r="CD130" s="12">
        <f t="shared" ca="1" si="32"/>
        <v>88.788040404040402</v>
      </c>
      <c r="CE130" s="12">
        <f t="shared" ca="1" si="33"/>
        <v>8.8788040404040398</v>
      </c>
      <c r="CS130" s="32"/>
      <c r="CT130" s="32"/>
      <c r="CU130" s="33"/>
      <c r="CV130" s="32"/>
      <c r="CW130" s="32"/>
      <c r="CX130" s="32"/>
      <c r="CY130" s="34"/>
      <c r="CZ130" s="35"/>
      <c r="DA130" s="33"/>
      <c r="DB130" s="33"/>
      <c r="DC130" s="33"/>
      <c r="DD130" s="33"/>
      <c r="DE130" s="33"/>
      <c r="DF130" s="33"/>
      <c r="DG130" s="33"/>
      <c r="DH130" s="34"/>
      <c r="DI130" s="35"/>
      <c r="DJ130" s="33"/>
      <c r="DK130" s="34"/>
      <c r="DL130" s="34"/>
      <c r="DM130" s="34"/>
      <c r="DN130" s="3">
        <v>5202053</v>
      </c>
      <c r="DS130" s="21"/>
      <c r="DT130" s="21"/>
      <c r="DU130" s="21"/>
    </row>
    <row r="131" spans="52:125" ht="13.5" customHeight="1">
      <c r="AZ131" s="3"/>
      <c r="BA131" s="3"/>
      <c r="BB131" s="3"/>
      <c r="BC131" s="3"/>
      <c r="BT131" s="3">
        <v>5302053</v>
      </c>
      <c r="BU131" s="3">
        <f>[1]monsters!$N131</f>
        <v>144</v>
      </c>
      <c r="BV131" s="3">
        <f>[1]monsters!$O131</f>
        <v>14.4</v>
      </c>
      <c r="BW131" s="3">
        <f>[1]monsters!$P131</f>
        <v>1728</v>
      </c>
      <c r="BX131" s="3">
        <f>[1]monsters!$Q131</f>
        <v>172.8</v>
      </c>
      <c r="BY131" s="3">
        <f>[1]monsters!$R131</f>
        <v>36</v>
      </c>
      <c r="BZ131" s="3">
        <f>[1]monsters!$S131</f>
        <v>3.6</v>
      </c>
      <c r="CA131" s="3">
        <f>[1]monsters!$K131</f>
        <v>1.5</v>
      </c>
      <c r="CB131" s="12">
        <f>[1]monsters!$D131</f>
        <v>2</v>
      </c>
      <c r="CC131" s="12">
        <f t="shared" ca="1" si="31"/>
        <v>0.1</v>
      </c>
      <c r="CD131" s="12">
        <f t="shared" ca="1" si="32"/>
        <v>68.573902581369396</v>
      </c>
      <c r="CE131" s="12">
        <f t="shared" ca="1" si="33"/>
        <v>6.8573902581369399</v>
      </c>
      <c r="CS131" s="32"/>
      <c r="CT131" s="32"/>
      <c r="CU131" s="33"/>
      <c r="CV131" s="32"/>
      <c r="CW131" s="32"/>
      <c r="CX131" s="32"/>
      <c r="CY131" s="34"/>
      <c r="CZ131" s="35"/>
      <c r="DA131" s="33"/>
      <c r="DB131" s="33"/>
      <c r="DC131" s="33"/>
      <c r="DD131" s="33"/>
      <c r="DE131" s="33"/>
      <c r="DF131" s="33"/>
      <c r="DG131" s="33"/>
      <c r="DH131" s="34"/>
      <c r="DI131" s="35"/>
      <c r="DJ131" s="33"/>
      <c r="DK131" s="34"/>
      <c r="DL131" s="34"/>
      <c r="DM131" s="34"/>
      <c r="DN131" s="3">
        <v>5302053</v>
      </c>
      <c r="DS131" s="21"/>
      <c r="DT131" s="21"/>
      <c r="DU131" s="21"/>
    </row>
    <row r="132" spans="52:125" ht="13.5" customHeight="1">
      <c r="AZ132" s="3"/>
      <c r="BA132" s="3"/>
      <c r="BB132" s="3"/>
      <c r="BC132" s="3"/>
      <c r="BT132" s="3">
        <v>5301053</v>
      </c>
      <c r="BU132" s="3">
        <f>[1]monsters!$N132</f>
        <v>138.24</v>
      </c>
      <c r="BV132" s="3">
        <f>[1]monsters!$O132</f>
        <v>13.82</v>
      </c>
      <c r="BW132" s="3">
        <f>[1]monsters!$P132</f>
        <v>2160</v>
      </c>
      <c r="BX132" s="3">
        <f>[1]monsters!$Q132</f>
        <v>216</v>
      </c>
      <c r="BY132" s="3">
        <f>[1]monsters!$R132</f>
        <v>46.08</v>
      </c>
      <c r="BZ132" s="3">
        <f>[1]monsters!$S132</f>
        <v>4.6100000000000003</v>
      </c>
      <c r="CA132" s="3">
        <f>[1]monsters!$K132</f>
        <v>1.8</v>
      </c>
      <c r="CB132" s="12">
        <f>[1]monsters!$D132</f>
        <v>2</v>
      </c>
      <c r="CC132" s="12">
        <f t="shared" ref="CC132:CC195" ca="1" si="34">INDEX($CK$5:$CK$10,MATCH($CC132,$CJ$5:$CJ$10))</f>
        <v>0.1</v>
      </c>
      <c r="CD132" s="12">
        <f t="shared" ca="1" si="32"/>
        <v>71.295502581369405</v>
      </c>
      <c r="CE132" s="12">
        <f t="shared" ca="1" si="33"/>
        <v>7.1295502581369403</v>
      </c>
      <c r="CS132" s="32"/>
      <c r="CT132" s="32"/>
      <c r="CU132" s="33"/>
      <c r="CV132" s="32"/>
      <c r="CW132" s="32"/>
      <c r="CX132" s="32"/>
      <c r="CY132" s="34"/>
      <c r="CZ132" s="35"/>
      <c r="DA132" s="33"/>
      <c r="DB132" s="33"/>
      <c r="DC132" s="33"/>
      <c r="DD132" s="33"/>
      <c r="DE132" s="33"/>
      <c r="DF132" s="33"/>
      <c r="DG132" s="33"/>
      <c r="DH132" s="34"/>
      <c r="DI132" s="35"/>
      <c r="DJ132" s="33"/>
      <c r="DK132" s="34"/>
      <c r="DL132" s="34"/>
      <c r="DM132" s="34"/>
      <c r="DN132" s="3">
        <v>5301053</v>
      </c>
      <c r="DS132" s="21"/>
      <c r="DT132" s="21"/>
      <c r="DU132" s="21"/>
    </row>
    <row r="133" spans="52:125" ht="13.5" customHeight="1">
      <c r="AZ133" s="3"/>
      <c r="BA133" s="3"/>
      <c r="BB133" s="3"/>
      <c r="BC133" s="3"/>
      <c r="BT133" s="3">
        <v>5400053</v>
      </c>
      <c r="BU133" s="3">
        <f>[1]monsters!$N133</f>
        <v>155.52000000000001</v>
      </c>
      <c r="BV133" s="3">
        <f>[1]monsters!$O133</f>
        <v>15.55</v>
      </c>
      <c r="BW133" s="3">
        <f>[1]monsters!$P133</f>
        <v>1920</v>
      </c>
      <c r="BX133" s="3">
        <f>[1]monsters!$Q133</f>
        <v>192</v>
      </c>
      <c r="BY133" s="3">
        <f>[1]monsters!$R133</f>
        <v>31.1</v>
      </c>
      <c r="BZ133" s="3">
        <f>[1]monsters!$S133</f>
        <v>3.11</v>
      </c>
      <c r="CA133" s="3">
        <f>[1]monsters!$K133</f>
        <v>1.8</v>
      </c>
      <c r="CB133" s="12">
        <f>[1]monsters!$D133</f>
        <v>2</v>
      </c>
      <c r="CC133" s="12">
        <f t="shared" ca="1" si="34"/>
        <v>0.1</v>
      </c>
      <c r="CD133" s="12">
        <f t="shared" ref="CD133:CD196" ca="1" si="35">(BW133/33/(1-CC133)/(1-0)+BU133*(1+0.5*0.1)*0.9)</f>
        <v>69.3015566574839</v>
      </c>
      <c r="CE133" s="12">
        <f t="shared" ref="CE133:CE196" ca="1" si="36">(BW133/33/(1-CC133)/(1-0)+BU133*(1+0.5*0.1)*0.9)*0.1</f>
        <v>6.9301556657483898</v>
      </c>
      <c r="CS133" s="32"/>
      <c r="CT133" s="32"/>
      <c r="CU133" s="33"/>
      <c r="CV133" s="32"/>
      <c r="CW133" s="32"/>
      <c r="CX133" s="32"/>
      <c r="CY133" s="34"/>
      <c r="CZ133" s="35"/>
      <c r="DA133" s="33"/>
      <c r="DB133" s="33"/>
      <c r="DC133" s="33"/>
      <c r="DD133" s="33"/>
      <c r="DE133" s="33"/>
      <c r="DF133" s="33"/>
      <c r="DG133" s="33"/>
      <c r="DH133" s="34"/>
      <c r="DI133" s="35"/>
      <c r="DJ133" s="33"/>
      <c r="DK133" s="34"/>
      <c r="DL133" s="34"/>
      <c r="DM133" s="34"/>
      <c r="DN133" s="3">
        <v>5400053</v>
      </c>
      <c r="DS133" s="21"/>
      <c r="DT133" s="21"/>
      <c r="DU133" s="21"/>
    </row>
    <row r="134" spans="52:125" ht="13.5" customHeight="1">
      <c r="AZ134" s="3"/>
      <c r="BA134" s="3"/>
      <c r="BB134" s="3"/>
      <c r="BC134" s="3"/>
      <c r="BT134" s="3">
        <v>5401053</v>
      </c>
      <c r="BU134" s="3">
        <f>[1]monsters!$N134</f>
        <v>103.68</v>
      </c>
      <c r="BV134" s="3">
        <f>[1]monsters!$O134</f>
        <v>10.37</v>
      </c>
      <c r="BW134" s="3">
        <f>[1]monsters!$P134</f>
        <v>1920</v>
      </c>
      <c r="BX134" s="3">
        <f>[1]monsters!$Q134</f>
        <v>192</v>
      </c>
      <c r="BY134" s="3">
        <f>[1]monsters!$R134</f>
        <v>20.74</v>
      </c>
      <c r="BZ134" s="3">
        <f>[1]monsters!$S134</f>
        <v>2.0699999999999998</v>
      </c>
      <c r="CA134" s="3">
        <f>[1]monsters!$K134</f>
        <v>1.2</v>
      </c>
      <c r="CB134" s="12">
        <f>[1]monsters!$D134</f>
        <v>3</v>
      </c>
      <c r="CC134" s="12">
        <f t="shared" ca="1" si="34"/>
        <v>0.1</v>
      </c>
      <c r="CD134" s="12">
        <f t="shared" ca="1" si="35"/>
        <v>79.280756657483906</v>
      </c>
      <c r="CE134" s="12">
        <f t="shared" ca="1" si="36"/>
        <v>7.9280756657483904</v>
      </c>
      <c r="CS134" s="32"/>
      <c r="CT134" s="32"/>
      <c r="CU134" s="33"/>
      <c r="CV134" s="32"/>
      <c r="CW134" s="32"/>
      <c r="CX134" s="32"/>
      <c r="CY134" s="34"/>
      <c r="CZ134" s="35"/>
      <c r="DA134" s="33"/>
      <c r="DB134" s="33"/>
      <c r="DC134" s="33"/>
      <c r="DD134" s="33"/>
      <c r="DE134" s="33"/>
      <c r="DF134" s="33"/>
      <c r="DG134" s="33"/>
      <c r="DH134" s="34"/>
      <c r="DI134" s="35"/>
      <c r="DJ134" s="33"/>
      <c r="DK134" s="34"/>
      <c r="DL134" s="34"/>
      <c r="DM134" s="34"/>
      <c r="DN134" s="3">
        <v>5401053</v>
      </c>
      <c r="DS134" s="21"/>
      <c r="DT134" s="21"/>
      <c r="DU134" s="21"/>
    </row>
    <row r="135" spans="52:125" ht="13.5" customHeight="1">
      <c r="BA135" s="3"/>
      <c r="BB135" s="3"/>
      <c r="BC135" s="3"/>
      <c r="BT135" s="12">
        <v>5501053</v>
      </c>
      <c r="BU135" s="3">
        <f>[1]monsters!$N135</f>
        <v>184.32</v>
      </c>
      <c r="BV135" s="3">
        <f>[1]monsters!$O135</f>
        <v>18.43</v>
      </c>
      <c r="BW135" s="3">
        <f>[1]monsters!$P135</f>
        <v>1440</v>
      </c>
      <c r="BX135" s="3">
        <f>[1]monsters!$Q135</f>
        <v>144</v>
      </c>
      <c r="BY135" s="3">
        <f>[1]monsters!$R135</f>
        <v>26.33</v>
      </c>
      <c r="BZ135" s="3">
        <f>[1]monsters!$S135</f>
        <v>2.63</v>
      </c>
      <c r="CA135" s="3">
        <f>[1]monsters!$K135</f>
        <v>1.6</v>
      </c>
      <c r="CB135" s="12">
        <f>[1]monsters!$D135</f>
        <v>4</v>
      </c>
      <c r="CC135" s="12">
        <f t="shared" ca="1" si="34"/>
        <v>0.1</v>
      </c>
      <c r="CD135" s="12">
        <f t="shared" ca="1" si="35"/>
        <v>84.996826936026906</v>
      </c>
      <c r="CE135" s="12">
        <f t="shared" ca="1" si="36"/>
        <v>8.4996826936026899</v>
      </c>
      <c r="CS135" s="32"/>
      <c r="CT135" s="32"/>
      <c r="CU135" s="33"/>
      <c r="CV135" s="32"/>
      <c r="CW135" s="32"/>
      <c r="CX135" s="32"/>
      <c r="CY135" s="34"/>
      <c r="CZ135" s="35"/>
      <c r="DA135" s="33"/>
      <c r="DB135" s="33"/>
      <c r="DC135" s="33"/>
      <c r="DD135" s="33"/>
      <c r="DE135" s="33"/>
      <c r="DF135" s="33"/>
      <c r="DG135" s="33"/>
      <c r="DH135" s="34"/>
      <c r="DI135" s="35"/>
      <c r="DJ135" s="33"/>
      <c r="DK135" s="34"/>
      <c r="DL135" s="34"/>
      <c r="DM135" s="34"/>
      <c r="DN135" s="12">
        <v>5501053</v>
      </c>
      <c r="DS135" s="21"/>
      <c r="DT135" s="21"/>
      <c r="DU135" s="21"/>
    </row>
    <row r="136" spans="52:125" ht="13.5" customHeight="1">
      <c r="BA136" s="3"/>
      <c r="BB136" s="3"/>
      <c r="BC136" s="3"/>
      <c r="BT136" s="12">
        <v>5502053</v>
      </c>
      <c r="BU136" s="3">
        <f>[1]monsters!$N136</f>
        <v>172.8</v>
      </c>
      <c r="BV136" s="3">
        <f>[1]monsters!$O136</f>
        <v>17.28</v>
      </c>
      <c r="BW136" s="3">
        <f>[1]monsters!$P136</f>
        <v>1440</v>
      </c>
      <c r="BX136" s="3">
        <f>[1]monsters!$Q136</f>
        <v>144</v>
      </c>
      <c r="BY136" s="3">
        <f>[1]monsters!$R136</f>
        <v>24.69</v>
      </c>
      <c r="BZ136" s="3">
        <f>[1]monsters!$S136</f>
        <v>2.4700000000000002</v>
      </c>
      <c r="CA136" s="3">
        <f>[1]monsters!$K136</f>
        <v>1.5</v>
      </c>
      <c r="CB136" s="12">
        <f>[1]monsters!$D136</f>
        <v>4</v>
      </c>
      <c r="CC136" s="12">
        <f t="shared" ca="1" si="34"/>
        <v>0.1</v>
      </c>
      <c r="CD136" s="12">
        <f t="shared" ca="1" si="35"/>
        <v>74.110426936026897</v>
      </c>
      <c r="CE136" s="12">
        <f t="shared" ca="1" si="36"/>
        <v>7.4110426936026901</v>
      </c>
      <c r="CS136" s="32"/>
      <c r="CT136" s="32"/>
      <c r="CU136" s="33"/>
      <c r="CV136" s="32"/>
      <c r="CW136" s="32"/>
      <c r="CX136" s="32"/>
      <c r="CY136" s="34"/>
      <c r="CZ136" s="35"/>
      <c r="DA136" s="33"/>
      <c r="DB136" s="33"/>
      <c r="DC136" s="33"/>
      <c r="DD136" s="33"/>
      <c r="DE136" s="33"/>
      <c r="DF136" s="33"/>
      <c r="DG136" s="33"/>
      <c r="DH136" s="34"/>
      <c r="DI136" s="35"/>
      <c r="DJ136" s="33"/>
      <c r="DK136" s="34"/>
      <c r="DL136" s="34"/>
      <c r="DM136" s="34"/>
      <c r="DN136" s="12">
        <v>5502053</v>
      </c>
      <c r="DS136" s="21"/>
      <c r="DT136" s="21"/>
      <c r="DU136" s="21"/>
    </row>
    <row r="137" spans="52:125" ht="13.5" customHeight="1">
      <c r="BA137" s="3"/>
      <c r="BB137" s="3"/>
      <c r="BC137" s="3"/>
      <c r="BT137" s="12">
        <v>5600053</v>
      </c>
      <c r="BU137" s="3">
        <f>[1]monsters!$N137</f>
        <v>201.6</v>
      </c>
      <c r="BV137" s="3">
        <f>[1]monsters!$O137</f>
        <v>20.16</v>
      </c>
      <c r="BW137" s="3">
        <f>[1]monsters!$P137</f>
        <v>1234.29</v>
      </c>
      <c r="BX137" s="3">
        <f>[1]monsters!$Q137</f>
        <v>123.43</v>
      </c>
      <c r="BY137" s="3">
        <f>[1]monsters!$R137</f>
        <v>25.2</v>
      </c>
      <c r="BZ137" s="3">
        <f>[1]monsters!$S137</f>
        <v>2.52</v>
      </c>
      <c r="CA137" s="3">
        <f>[1]monsters!$K137</f>
        <v>1.5</v>
      </c>
      <c r="CB137" s="12">
        <f>[1]monsters!$D137</f>
        <v>5</v>
      </c>
      <c r="CC137" s="12">
        <f t="shared" ca="1" si="34"/>
        <v>0.1</v>
      </c>
      <c r="CD137" s="12">
        <f t="shared" ca="1" si="35"/>
        <v>71.635232323232302</v>
      </c>
      <c r="CE137" s="12">
        <f t="shared" ca="1" si="36"/>
        <v>7.1635232323232296</v>
      </c>
      <c r="CS137" s="32"/>
      <c r="CT137" s="32"/>
      <c r="CU137" s="33"/>
      <c r="CV137" s="32"/>
      <c r="CW137" s="32"/>
      <c r="CX137" s="32"/>
      <c r="CY137" s="34"/>
      <c r="CZ137" s="35"/>
      <c r="DA137" s="33"/>
      <c r="DB137" s="33"/>
      <c r="DC137" s="33"/>
      <c r="DD137" s="33"/>
      <c r="DE137" s="33"/>
      <c r="DF137" s="33"/>
      <c r="DG137" s="33"/>
      <c r="DH137" s="34"/>
      <c r="DI137" s="35"/>
      <c r="DJ137" s="33"/>
      <c r="DK137" s="34"/>
      <c r="DL137" s="34"/>
      <c r="DM137" s="34"/>
      <c r="DN137" s="12">
        <v>5600053</v>
      </c>
      <c r="DS137" s="21"/>
      <c r="DT137" s="21"/>
      <c r="DU137" s="21"/>
    </row>
    <row r="138" spans="52:125" ht="13.5" customHeight="1">
      <c r="BA138" s="3"/>
      <c r="BB138" s="3"/>
      <c r="BC138" s="3"/>
      <c r="BT138" s="12">
        <v>5601053</v>
      </c>
      <c r="BU138" s="3">
        <f>[1]monsters!$N138</f>
        <v>188.16</v>
      </c>
      <c r="BV138" s="3">
        <f>[1]monsters!$O138</f>
        <v>18.82</v>
      </c>
      <c r="BW138" s="3">
        <f>[1]monsters!$P138</f>
        <v>1234.29</v>
      </c>
      <c r="BX138" s="3">
        <f>[1]monsters!$Q138</f>
        <v>123.43</v>
      </c>
      <c r="BY138" s="3">
        <f>[1]monsters!$R138</f>
        <v>23.52</v>
      </c>
      <c r="BZ138" s="3">
        <f>[1]monsters!$S138</f>
        <v>2.35</v>
      </c>
      <c r="CA138" s="3">
        <f>[1]monsters!$K138</f>
        <v>1.4000000000000001</v>
      </c>
      <c r="CB138" s="12">
        <f>[1]monsters!$D138</f>
        <v>5</v>
      </c>
      <c r="CC138" s="12">
        <f t="shared" ca="1" si="34"/>
        <v>0.1</v>
      </c>
      <c r="CD138" s="12">
        <f t="shared" ca="1" si="35"/>
        <v>77.683232323232303</v>
      </c>
      <c r="CE138" s="12">
        <f t="shared" ca="1" si="36"/>
        <v>7.7683232323232296</v>
      </c>
      <c r="CS138" s="32"/>
      <c r="CT138" s="32"/>
      <c r="CU138" s="33"/>
      <c r="CV138" s="32"/>
      <c r="CW138" s="32"/>
      <c r="CX138" s="32"/>
      <c r="CY138" s="34"/>
      <c r="CZ138" s="35"/>
      <c r="DA138" s="33"/>
      <c r="DB138" s="33"/>
      <c r="DC138" s="33"/>
      <c r="DD138" s="33"/>
      <c r="DE138" s="33"/>
      <c r="DF138" s="33"/>
      <c r="DG138" s="33"/>
      <c r="DH138" s="34"/>
      <c r="DI138" s="35"/>
      <c r="DJ138" s="33"/>
      <c r="DK138" s="34"/>
      <c r="DL138" s="34"/>
      <c r="DM138" s="34"/>
      <c r="DN138" s="12">
        <v>5601053</v>
      </c>
      <c r="DS138" s="21"/>
      <c r="DT138" s="21"/>
      <c r="DU138" s="21"/>
    </row>
    <row r="139" spans="52:125" ht="13.5" customHeight="1">
      <c r="BA139" s="3"/>
      <c r="BB139" s="3"/>
      <c r="BC139" s="3"/>
      <c r="BT139" s="12">
        <v>5200054</v>
      </c>
      <c r="BU139" s="3">
        <f>[1]monsters!$N139</f>
        <v>223.2</v>
      </c>
      <c r="BV139" s="3">
        <f>[1]monsters!$O139</f>
        <v>22.32</v>
      </c>
      <c r="BW139" s="3">
        <f>[1]monsters!$P139</f>
        <v>1114.8399999999999</v>
      </c>
      <c r="BX139" s="3">
        <f>[1]monsters!$Q139</f>
        <v>111.48</v>
      </c>
      <c r="BY139" s="3">
        <f>[1]monsters!$R139</f>
        <v>22.32</v>
      </c>
      <c r="BZ139" s="3">
        <f>[1]monsters!$S139</f>
        <v>2.23</v>
      </c>
      <c r="CA139" s="3">
        <f>[1]monsters!$K139</f>
        <v>1.5</v>
      </c>
      <c r="CB139" s="12">
        <f>[1]monsters!$D139</f>
        <v>6</v>
      </c>
      <c r="CC139" s="12">
        <f t="shared" ca="1" si="34"/>
        <v>0.1</v>
      </c>
      <c r="CD139" s="12">
        <f t="shared" ca="1" si="35"/>
        <v>76.692040404040398</v>
      </c>
      <c r="CE139" s="12">
        <f t="shared" ca="1" si="36"/>
        <v>7.6692040404040398</v>
      </c>
      <c r="CS139" s="32"/>
      <c r="CT139" s="32"/>
      <c r="CU139" s="33"/>
      <c r="CV139" s="32"/>
      <c r="CW139" s="32"/>
      <c r="CX139" s="32"/>
      <c r="CY139" s="34"/>
      <c r="CZ139" s="35"/>
      <c r="DA139" s="33"/>
      <c r="DB139" s="33"/>
      <c r="DC139" s="33"/>
      <c r="DD139" s="33"/>
      <c r="DE139" s="33"/>
      <c r="DF139" s="33"/>
      <c r="DG139" s="33"/>
      <c r="DH139" s="34"/>
      <c r="DI139" s="35"/>
      <c r="DJ139" s="33"/>
      <c r="DK139" s="33"/>
      <c r="DL139" s="33"/>
      <c r="DM139" s="33"/>
      <c r="DN139" s="12">
        <v>5200054</v>
      </c>
      <c r="DS139" s="21"/>
      <c r="DT139" s="21"/>
      <c r="DU139" s="21"/>
    </row>
    <row r="140" spans="52:125" ht="13.5" customHeight="1">
      <c r="BA140" s="3"/>
      <c r="BB140" s="3"/>
      <c r="BC140" s="3"/>
      <c r="BT140" s="12">
        <v>5201054</v>
      </c>
      <c r="BU140" s="3">
        <f>[1]monsters!$N140</f>
        <v>144</v>
      </c>
      <c r="BV140" s="3">
        <f>[1]monsters!$O140</f>
        <v>14.4</v>
      </c>
      <c r="BW140" s="3">
        <f>[1]monsters!$P140</f>
        <v>1728</v>
      </c>
      <c r="BX140" s="3">
        <f>[1]monsters!$Q140</f>
        <v>172.8</v>
      </c>
      <c r="BY140" s="3">
        <f>[1]monsters!$R140</f>
        <v>36</v>
      </c>
      <c r="BZ140" s="3">
        <f>[1]monsters!$S140</f>
        <v>3.6</v>
      </c>
      <c r="CA140" s="3">
        <f>[1]monsters!$K140</f>
        <v>1.5</v>
      </c>
      <c r="CB140" s="12">
        <f>[1]monsters!$D140</f>
        <v>2</v>
      </c>
      <c r="CC140" s="12">
        <f t="shared" ca="1" si="34"/>
        <v>0.1</v>
      </c>
      <c r="CD140" s="12">
        <f t="shared" ca="1" si="35"/>
        <v>88.788040404040402</v>
      </c>
      <c r="CE140" s="12">
        <f t="shared" ca="1" si="36"/>
        <v>8.8788040404040398</v>
      </c>
      <c r="CS140" s="32"/>
      <c r="CT140" s="32"/>
      <c r="CU140" s="33"/>
      <c r="CV140" s="32"/>
      <c r="CW140" s="32"/>
      <c r="CX140" s="32"/>
      <c r="CY140" s="34"/>
      <c r="CZ140" s="35"/>
      <c r="DA140" s="33"/>
      <c r="DB140" s="33"/>
      <c r="DC140" s="33"/>
      <c r="DD140" s="33"/>
      <c r="DE140" s="33"/>
      <c r="DF140" s="33"/>
      <c r="DG140" s="33"/>
      <c r="DH140" s="34"/>
      <c r="DI140" s="35"/>
      <c r="DJ140" s="33"/>
      <c r="DK140" s="33"/>
      <c r="DL140" s="33"/>
      <c r="DM140" s="33"/>
      <c r="DN140" s="12">
        <v>5201054</v>
      </c>
      <c r="DS140" s="21"/>
      <c r="DT140" s="21"/>
      <c r="DU140" s="21"/>
    </row>
    <row r="141" spans="52:125" ht="13.5" customHeight="1">
      <c r="BA141" s="3"/>
      <c r="BB141" s="3"/>
      <c r="BC141" s="3"/>
      <c r="BT141" s="12">
        <v>5300054</v>
      </c>
      <c r="BU141" s="3">
        <f>[1]monsters!$N141</f>
        <v>138.24</v>
      </c>
      <c r="BV141" s="3">
        <f>[1]monsters!$O141</f>
        <v>13.82</v>
      </c>
      <c r="BW141" s="3">
        <f>[1]monsters!$P141</f>
        <v>2160</v>
      </c>
      <c r="BX141" s="3">
        <f>[1]monsters!$Q141</f>
        <v>216</v>
      </c>
      <c r="BY141" s="3">
        <f>[1]monsters!$R141</f>
        <v>46.08</v>
      </c>
      <c r="BZ141" s="3">
        <f>[1]monsters!$S141</f>
        <v>4.6100000000000003</v>
      </c>
      <c r="CA141" s="3">
        <f>[1]monsters!$K141</f>
        <v>1.8</v>
      </c>
      <c r="CB141" s="12">
        <f>[1]monsters!$D141</f>
        <v>2</v>
      </c>
      <c r="CC141" s="12">
        <f t="shared" ca="1" si="34"/>
        <v>0.1</v>
      </c>
      <c r="CD141" s="12">
        <f t="shared" ca="1" si="35"/>
        <v>71.295502581369405</v>
      </c>
      <c r="CE141" s="12">
        <f t="shared" ca="1" si="36"/>
        <v>7.1295502581369403</v>
      </c>
      <c r="CS141" s="32"/>
      <c r="CT141" s="32"/>
      <c r="CU141" s="33"/>
      <c r="CV141" s="32"/>
      <c r="CW141" s="32"/>
      <c r="CX141" s="32"/>
      <c r="CY141" s="34"/>
      <c r="CZ141" s="35"/>
      <c r="DA141" s="33"/>
      <c r="DB141" s="33"/>
      <c r="DC141" s="33"/>
      <c r="DD141" s="33"/>
      <c r="DE141" s="33"/>
      <c r="DF141" s="33"/>
      <c r="DG141" s="33"/>
      <c r="DH141" s="34"/>
      <c r="DI141" s="35"/>
      <c r="DJ141" s="33"/>
      <c r="DK141" s="33"/>
      <c r="DL141" s="33"/>
      <c r="DM141" s="33"/>
      <c r="DN141" s="12">
        <v>5300054</v>
      </c>
      <c r="DS141" s="21"/>
      <c r="DT141" s="21"/>
      <c r="DU141" s="21"/>
    </row>
    <row r="142" spans="52:125" ht="13.5" customHeight="1">
      <c r="BA142" s="3"/>
      <c r="BB142" s="3"/>
      <c r="BC142" s="3"/>
      <c r="BT142" s="12">
        <v>5301054</v>
      </c>
      <c r="BU142" s="3">
        <f>[1]monsters!$N142</f>
        <v>155.52000000000001</v>
      </c>
      <c r="BV142" s="3">
        <f>[1]monsters!$O142</f>
        <v>15.55</v>
      </c>
      <c r="BW142" s="3">
        <f>[1]monsters!$P142</f>
        <v>1920</v>
      </c>
      <c r="BX142" s="3">
        <f>[1]monsters!$Q142</f>
        <v>192</v>
      </c>
      <c r="BY142" s="3">
        <f>[1]monsters!$R142</f>
        <v>31.1</v>
      </c>
      <c r="BZ142" s="3">
        <f>[1]monsters!$S142</f>
        <v>3.11</v>
      </c>
      <c r="CA142" s="3">
        <f>[1]monsters!$K142</f>
        <v>1.8</v>
      </c>
      <c r="CB142" s="12">
        <f>[1]monsters!$D142</f>
        <v>2</v>
      </c>
      <c r="CC142" s="12">
        <f t="shared" ca="1" si="34"/>
        <v>0.1</v>
      </c>
      <c r="CD142" s="12">
        <f t="shared" ca="1" si="35"/>
        <v>71.295502581369405</v>
      </c>
      <c r="CE142" s="12">
        <f t="shared" ca="1" si="36"/>
        <v>7.1295502581369403</v>
      </c>
      <c r="CS142" s="32"/>
      <c r="CT142" s="32"/>
      <c r="CU142" s="33"/>
      <c r="CV142" s="32"/>
      <c r="CW142" s="32"/>
      <c r="CX142" s="32"/>
      <c r="CY142" s="34"/>
      <c r="CZ142" s="35"/>
      <c r="DA142" s="33"/>
      <c r="DB142" s="33"/>
      <c r="DC142" s="33"/>
      <c r="DD142" s="33"/>
      <c r="DE142" s="33"/>
      <c r="DF142" s="33"/>
      <c r="DG142" s="33"/>
      <c r="DH142" s="34"/>
      <c r="DI142" s="35"/>
      <c r="DJ142" s="33"/>
      <c r="DK142" s="33"/>
      <c r="DL142" s="33"/>
      <c r="DM142" s="33"/>
      <c r="DN142" s="12">
        <v>5301054</v>
      </c>
      <c r="DS142" s="21"/>
      <c r="DT142" s="21"/>
      <c r="DU142" s="21"/>
    </row>
    <row r="143" spans="52:125" ht="13.5" customHeight="1">
      <c r="BA143" s="3"/>
      <c r="BB143" s="3"/>
      <c r="BC143" s="3"/>
      <c r="BT143" s="12">
        <v>5401054</v>
      </c>
      <c r="BU143" s="3">
        <f>[1]monsters!$N143</f>
        <v>103.68</v>
      </c>
      <c r="BV143" s="3">
        <f>[1]monsters!$O143</f>
        <v>10.37</v>
      </c>
      <c r="BW143" s="3">
        <f>[1]monsters!$P143</f>
        <v>1920</v>
      </c>
      <c r="BX143" s="3">
        <f>[1]monsters!$Q143</f>
        <v>192</v>
      </c>
      <c r="BY143" s="3">
        <f>[1]monsters!$R143</f>
        <v>20.74</v>
      </c>
      <c r="BZ143" s="3">
        <f>[1]monsters!$S143</f>
        <v>2.0699999999999998</v>
      </c>
      <c r="CA143" s="3">
        <f>[1]monsters!$K143</f>
        <v>1.2</v>
      </c>
      <c r="CB143" s="12">
        <f>[1]monsters!$D143</f>
        <v>3</v>
      </c>
      <c r="CC143" s="12">
        <f t="shared" ca="1" si="34"/>
        <v>0.1</v>
      </c>
      <c r="CD143" s="12">
        <f t="shared" ca="1" si="35"/>
        <v>79.280756657483906</v>
      </c>
      <c r="CE143" s="12">
        <f t="shared" ca="1" si="36"/>
        <v>7.9280756657483904</v>
      </c>
      <c r="CS143" s="32"/>
      <c r="CT143" s="32"/>
      <c r="CU143" s="33"/>
      <c r="CV143" s="32"/>
      <c r="CW143" s="32"/>
      <c r="CX143" s="32"/>
      <c r="CY143" s="34"/>
      <c r="CZ143" s="35"/>
      <c r="DA143" s="33"/>
      <c r="DB143" s="33"/>
      <c r="DC143" s="33"/>
      <c r="DD143" s="33"/>
      <c r="DE143" s="33"/>
      <c r="DF143" s="33"/>
      <c r="DG143" s="33"/>
      <c r="DH143" s="34"/>
      <c r="DI143" s="35"/>
      <c r="DJ143" s="33"/>
      <c r="DK143" s="33"/>
      <c r="DL143" s="33"/>
      <c r="DM143" s="33"/>
      <c r="DN143" s="12">
        <v>5401054</v>
      </c>
      <c r="DS143" s="21"/>
      <c r="DT143" s="21"/>
      <c r="DU143" s="21"/>
    </row>
    <row r="144" spans="52:125" ht="13.5" customHeight="1">
      <c r="BA144" s="3"/>
      <c r="BB144" s="3"/>
      <c r="BC144" s="3"/>
      <c r="BT144" s="12">
        <v>5402054</v>
      </c>
      <c r="BU144" s="3">
        <f>[1]monsters!$N144</f>
        <v>184.32</v>
      </c>
      <c r="BV144" s="3">
        <f>[1]monsters!$O144</f>
        <v>18.43</v>
      </c>
      <c r="BW144" s="3">
        <f>[1]monsters!$P144</f>
        <v>1440</v>
      </c>
      <c r="BX144" s="3">
        <f>[1]monsters!$Q144</f>
        <v>144</v>
      </c>
      <c r="BY144" s="3">
        <f>[1]monsters!$R144</f>
        <v>26.33</v>
      </c>
      <c r="BZ144" s="3">
        <f>[1]monsters!$S144</f>
        <v>2.63</v>
      </c>
      <c r="CA144" s="3">
        <f>[1]monsters!$K144</f>
        <v>1.6</v>
      </c>
      <c r="CB144" s="12">
        <f>[1]monsters!$D144</f>
        <v>4</v>
      </c>
      <c r="CC144" s="12">
        <f t="shared" ca="1" si="34"/>
        <v>0.1</v>
      </c>
      <c r="CD144" s="12">
        <f t="shared" ca="1" si="35"/>
        <v>79.280756657483906</v>
      </c>
      <c r="CE144" s="12">
        <f t="shared" ca="1" si="36"/>
        <v>7.9280756657483904</v>
      </c>
      <c r="CS144" s="32"/>
      <c r="CT144" s="32"/>
      <c r="CU144" s="33"/>
      <c r="CV144" s="32"/>
      <c r="CW144" s="32"/>
      <c r="CX144" s="32"/>
      <c r="CY144" s="34"/>
      <c r="CZ144" s="35"/>
      <c r="DA144" s="33"/>
      <c r="DB144" s="33"/>
      <c r="DC144" s="33"/>
      <c r="DD144" s="33"/>
      <c r="DE144" s="33"/>
      <c r="DF144" s="33"/>
      <c r="DG144" s="33"/>
      <c r="DH144" s="34"/>
      <c r="DI144" s="35"/>
      <c r="DJ144" s="33"/>
      <c r="DK144" s="33"/>
      <c r="DL144" s="33"/>
      <c r="DM144" s="33"/>
      <c r="DN144" s="12">
        <v>5402054</v>
      </c>
      <c r="DS144" s="21"/>
      <c r="DT144" s="21"/>
      <c r="DU144" s="21"/>
    </row>
    <row r="145" spans="53:125" ht="13.5" customHeight="1">
      <c r="BA145" s="3"/>
      <c r="BB145" s="3"/>
      <c r="BC145" s="3"/>
      <c r="BT145" s="12">
        <v>5501054</v>
      </c>
      <c r="BU145" s="3">
        <f>[1]monsters!$N145</f>
        <v>172.8</v>
      </c>
      <c r="BV145" s="3">
        <f>[1]monsters!$O145</f>
        <v>17.28</v>
      </c>
      <c r="BW145" s="3">
        <f>[1]monsters!$P145</f>
        <v>1440</v>
      </c>
      <c r="BX145" s="3">
        <f>[1]monsters!$Q145</f>
        <v>144</v>
      </c>
      <c r="BY145" s="3">
        <f>[1]monsters!$R145</f>
        <v>24.69</v>
      </c>
      <c r="BZ145" s="3">
        <f>[1]monsters!$S145</f>
        <v>2.4700000000000002</v>
      </c>
      <c r="CA145" s="3">
        <f>[1]monsters!$K145</f>
        <v>1.5</v>
      </c>
      <c r="CB145" s="12">
        <f>[1]monsters!$D145</f>
        <v>4</v>
      </c>
      <c r="CC145" s="12">
        <f t="shared" ca="1" si="34"/>
        <v>0.1</v>
      </c>
      <c r="CD145" s="12">
        <f t="shared" ca="1" si="35"/>
        <v>84.996826936026906</v>
      </c>
      <c r="CE145" s="12">
        <f t="shared" ca="1" si="36"/>
        <v>8.4996826936026899</v>
      </c>
      <c r="CS145" s="32"/>
      <c r="CT145" s="32"/>
      <c r="CU145" s="33"/>
      <c r="CV145" s="32"/>
      <c r="CW145" s="32"/>
      <c r="CX145" s="32"/>
      <c r="CY145" s="34"/>
      <c r="CZ145" s="35"/>
      <c r="DA145" s="33"/>
      <c r="DB145" s="33"/>
      <c r="DC145" s="33"/>
      <c r="DD145" s="33"/>
      <c r="DE145" s="33"/>
      <c r="DF145" s="33"/>
      <c r="DG145" s="33"/>
      <c r="DH145" s="34"/>
      <c r="DI145" s="35"/>
      <c r="DJ145" s="33"/>
      <c r="DK145" s="33"/>
      <c r="DL145" s="33"/>
      <c r="DM145" s="33"/>
      <c r="DN145" s="12">
        <v>5501054</v>
      </c>
      <c r="DS145" s="21"/>
      <c r="DT145" s="21"/>
      <c r="DU145" s="21"/>
    </row>
    <row r="146" spans="53:125" ht="13.5" customHeight="1">
      <c r="BA146" s="3"/>
      <c r="BB146" s="3"/>
      <c r="BC146" s="3"/>
      <c r="BT146" s="12">
        <v>5502054</v>
      </c>
      <c r="BU146" s="3">
        <f>[1]monsters!$N146</f>
        <v>201.6</v>
      </c>
      <c r="BV146" s="3">
        <f>[1]monsters!$O146</f>
        <v>20.16</v>
      </c>
      <c r="BW146" s="3">
        <f>[1]monsters!$P146</f>
        <v>1234.29</v>
      </c>
      <c r="BX146" s="3">
        <f>[1]monsters!$Q146</f>
        <v>123.43</v>
      </c>
      <c r="BY146" s="3">
        <f>[1]monsters!$R146</f>
        <v>25.2</v>
      </c>
      <c r="BZ146" s="3">
        <f>[1]monsters!$S146</f>
        <v>2.52</v>
      </c>
      <c r="CA146" s="3">
        <f>[1]monsters!$K146</f>
        <v>1.5</v>
      </c>
      <c r="CB146" s="12">
        <f>[1]monsters!$D146</f>
        <v>5</v>
      </c>
      <c r="CC146" s="12">
        <f t="shared" ca="1" si="34"/>
        <v>0.1</v>
      </c>
      <c r="CD146" s="12">
        <f t="shared" ca="1" si="35"/>
        <v>74.110426936026897</v>
      </c>
      <c r="CE146" s="12">
        <f t="shared" ca="1" si="36"/>
        <v>7.4110426936026901</v>
      </c>
      <c r="CS146" s="32"/>
      <c r="CT146" s="32"/>
      <c r="CU146" s="33"/>
      <c r="CV146" s="32"/>
      <c r="CW146" s="32"/>
      <c r="CX146" s="32"/>
      <c r="CY146" s="34"/>
      <c r="CZ146" s="35"/>
      <c r="DA146" s="33"/>
      <c r="DB146" s="33"/>
      <c r="DC146" s="33"/>
      <c r="DD146" s="33"/>
      <c r="DE146" s="33"/>
      <c r="DF146" s="33"/>
      <c r="DG146" s="33"/>
      <c r="DH146" s="34"/>
      <c r="DI146" s="35"/>
      <c r="DJ146" s="33"/>
      <c r="DK146" s="33"/>
      <c r="DL146" s="33"/>
      <c r="DM146" s="33"/>
      <c r="DN146" s="12">
        <v>5502054</v>
      </c>
      <c r="DS146" s="21"/>
      <c r="DT146" s="21"/>
      <c r="DU146" s="21"/>
    </row>
    <row r="147" spans="53:125" ht="13.5" customHeight="1">
      <c r="BA147" s="3"/>
      <c r="BB147" s="3"/>
      <c r="BC147" s="3"/>
      <c r="BT147" s="12">
        <v>5600054</v>
      </c>
      <c r="BU147" s="3">
        <f>[1]monsters!$N147</f>
        <v>188.16</v>
      </c>
      <c r="BV147" s="3">
        <f>[1]monsters!$O147</f>
        <v>18.82</v>
      </c>
      <c r="BW147" s="3">
        <f>[1]monsters!$P147</f>
        <v>1234.29</v>
      </c>
      <c r="BX147" s="3">
        <f>[1]monsters!$Q147</f>
        <v>123.43</v>
      </c>
      <c r="BY147" s="3">
        <f>[1]monsters!$R147</f>
        <v>23.52</v>
      </c>
      <c r="BZ147" s="3">
        <f>[1]monsters!$S147</f>
        <v>2.35</v>
      </c>
      <c r="CA147" s="3">
        <f>[1]monsters!$K147</f>
        <v>1.4000000000000001</v>
      </c>
      <c r="CB147" s="12">
        <f>[1]monsters!$D147</f>
        <v>5</v>
      </c>
      <c r="CC147" s="12">
        <f t="shared" ca="1" si="34"/>
        <v>0.1</v>
      </c>
      <c r="CD147" s="12">
        <f t="shared" ca="1" si="35"/>
        <v>71.635232323232302</v>
      </c>
      <c r="CE147" s="12">
        <f t="shared" ca="1" si="36"/>
        <v>7.1635232323232296</v>
      </c>
      <c r="CS147" s="32"/>
      <c r="CT147" s="32"/>
      <c r="CU147" s="33"/>
      <c r="CV147" s="32"/>
      <c r="CW147" s="32"/>
      <c r="CX147" s="32"/>
      <c r="CY147" s="34"/>
      <c r="CZ147" s="35"/>
      <c r="DA147" s="33"/>
      <c r="DB147" s="33"/>
      <c r="DC147" s="33"/>
      <c r="DD147" s="33"/>
      <c r="DE147" s="33"/>
      <c r="DF147" s="33"/>
      <c r="DG147" s="33"/>
      <c r="DH147" s="34"/>
      <c r="DI147" s="35"/>
      <c r="DJ147" s="33"/>
      <c r="DK147" s="33"/>
      <c r="DL147" s="33"/>
      <c r="DM147" s="33"/>
      <c r="DN147" s="12">
        <v>5600054</v>
      </c>
      <c r="DS147" s="21"/>
      <c r="DT147" s="21"/>
      <c r="DU147" s="21"/>
    </row>
    <row r="148" spans="53:125" ht="13.5" customHeight="1">
      <c r="BA148" s="3"/>
      <c r="BB148" s="3"/>
      <c r="BC148" s="3"/>
      <c r="BT148" s="12">
        <v>5601054</v>
      </c>
      <c r="BU148" s="3">
        <f>[1]monsters!$N148</f>
        <v>223.2</v>
      </c>
      <c r="BV148" s="3">
        <f>[1]monsters!$O148</f>
        <v>22.32</v>
      </c>
      <c r="BW148" s="3">
        <f>[1]monsters!$P148</f>
        <v>1114.8399999999999</v>
      </c>
      <c r="BX148" s="3">
        <f>[1]monsters!$Q148</f>
        <v>111.48</v>
      </c>
      <c r="BY148" s="3">
        <f>[1]monsters!$R148</f>
        <v>22.32</v>
      </c>
      <c r="BZ148" s="3">
        <f>[1]monsters!$S148</f>
        <v>2.23</v>
      </c>
      <c r="CA148" s="3">
        <f>[1]monsters!$K148</f>
        <v>1.5</v>
      </c>
      <c r="CB148" s="12">
        <f>[1]monsters!$D148</f>
        <v>6</v>
      </c>
      <c r="CC148" s="12">
        <f t="shared" ca="1" si="34"/>
        <v>0.1</v>
      </c>
      <c r="CD148" s="12">
        <f t="shared" ca="1" si="35"/>
        <v>77.683232323232303</v>
      </c>
      <c r="CE148" s="12">
        <f t="shared" ca="1" si="36"/>
        <v>7.7683232323232296</v>
      </c>
      <c r="CS148" s="32"/>
      <c r="CT148" s="32"/>
      <c r="CU148" s="33"/>
      <c r="CV148" s="32"/>
      <c r="CW148" s="32"/>
      <c r="CX148" s="32"/>
      <c r="CY148" s="34"/>
      <c r="CZ148" s="35"/>
      <c r="DA148" s="33"/>
      <c r="DB148" s="33"/>
      <c r="DC148" s="33"/>
      <c r="DD148" s="33"/>
      <c r="DE148" s="33"/>
      <c r="DF148" s="33"/>
      <c r="DG148" s="33"/>
      <c r="DH148" s="34"/>
      <c r="DI148" s="35"/>
      <c r="DJ148" s="33"/>
      <c r="DK148" s="33"/>
      <c r="DL148" s="33"/>
      <c r="DM148" s="33"/>
      <c r="DN148" s="12">
        <v>5601054</v>
      </c>
      <c r="DS148" s="21"/>
      <c r="DT148" s="21"/>
      <c r="DU148" s="21"/>
    </row>
    <row r="149" spans="53:125" ht="13.5" customHeight="1">
      <c r="BA149" s="3"/>
      <c r="BB149" s="3"/>
      <c r="BC149" s="3"/>
      <c r="BT149" s="12">
        <v>5201055</v>
      </c>
      <c r="BU149" s="3">
        <f>[1]monsters!$N149</f>
        <v>144</v>
      </c>
      <c r="BV149" s="3">
        <f>[1]monsters!$O149</f>
        <v>14.4</v>
      </c>
      <c r="BW149" s="3">
        <f>[1]monsters!$P149</f>
        <v>1728</v>
      </c>
      <c r="BX149" s="3">
        <f>[1]monsters!$Q149</f>
        <v>172.8</v>
      </c>
      <c r="BY149" s="3">
        <f>[1]monsters!$R149</f>
        <v>36</v>
      </c>
      <c r="BZ149" s="3">
        <f>[1]monsters!$S149</f>
        <v>3.6</v>
      </c>
      <c r="CA149" s="3">
        <f>[1]monsters!$K149</f>
        <v>1.5</v>
      </c>
      <c r="CB149" s="12">
        <f>[1]monsters!$D149</f>
        <v>2</v>
      </c>
      <c r="CC149" s="12">
        <f t="shared" ca="1" si="34"/>
        <v>0.1</v>
      </c>
      <c r="CD149" s="12">
        <f t="shared" ca="1" si="35"/>
        <v>88.788040404040402</v>
      </c>
      <c r="CE149" s="12">
        <f t="shared" ca="1" si="36"/>
        <v>8.8788040404040398</v>
      </c>
      <c r="CS149" s="32"/>
      <c r="CT149" s="32"/>
      <c r="CU149" s="33"/>
      <c r="CV149" s="32"/>
      <c r="CW149" s="32"/>
      <c r="CX149" s="32"/>
      <c r="CY149" s="34"/>
      <c r="CZ149" s="35"/>
      <c r="DA149" s="33"/>
      <c r="DB149" s="33"/>
      <c r="DC149" s="33"/>
      <c r="DD149" s="33"/>
      <c r="DE149" s="33"/>
      <c r="DF149" s="33"/>
      <c r="DG149" s="33"/>
      <c r="DH149" s="34"/>
      <c r="DI149" s="35"/>
      <c r="DJ149" s="33"/>
      <c r="DK149" s="33"/>
      <c r="DL149" s="33"/>
      <c r="DM149" s="33"/>
      <c r="DN149" s="12">
        <v>5201055</v>
      </c>
      <c r="DS149" s="21"/>
      <c r="DT149" s="21"/>
      <c r="DU149" s="21"/>
    </row>
    <row r="150" spans="53:125" ht="13.5" customHeight="1">
      <c r="BA150" s="3"/>
      <c r="BB150" s="3"/>
      <c r="BC150" s="3"/>
      <c r="BT150" s="12">
        <v>5202055</v>
      </c>
      <c r="BU150" s="3">
        <f>[1]monsters!$N150</f>
        <v>138.24</v>
      </c>
      <c r="BV150" s="3">
        <f>[1]monsters!$O150</f>
        <v>13.82</v>
      </c>
      <c r="BW150" s="3">
        <f>[1]monsters!$P150</f>
        <v>2160</v>
      </c>
      <c r="BX150" s="3">
        <f>[1]monsters!$Q150</f>
        <v>216</v>
      </c>
      <c r="BY150" s="3">
        <f>[1]monsters!$R150</f>
        <v>46.08</v>
      </c>
      <c r="BZ150" s="3">
        <f>[1]monsters!$S150</f>
        <v>4.6100000000000003</v>
      </c>
      <c r="CA150" s="3">
        <f>[1]monsters!$K150</f>
        <v>1.8</v>
      </c>
      <c r="CB150" s="12">
        <f>[1]monsters!$D150</f>
        <v>2</v>
      </c>
      <c r="CC150" s="12">
        <f t="shared" ca="1" si="34"/>
        <v>0.1</v>
      </c>
      <c r="CD150" s="12">
        <f t="shared" ca="1" si="35"/>
        <v>88.788040404040402</v>
      </c>
      <c r="CE150" s="12">
        <f t="shared" ca="1" si="36"/>
        <v>8.8788040404040398</v>
      </c>
      <c r="CS150" s="32"/>
      <c r="CT150" s="32"/>
      <c r="CU150" s="33"/>
      <c r="CV150" s="32"/>
      <c r="CW150" s="32"/>
      <c r="CX150" s="32"/>
      <c r="CY150" s="34"/>
      <c r="CZ150" s="35"/>
      <c r="DA150" s="33"/>
      <c r="DB150" s="33"/>
      <c r="DC150" s="33"/>
      <c r="DD150" s="33"/>
      <c r="DE150" s="33"/>
      <c r="DF150" s="33"/>
      <c r="DG150" s="33"/>
      <c r="DH150" s="34"/>
      <c r="DI150" s="35"/>
      <c r="DJ150" s="33"/>
      <c r="DK150" s="33"/>
      <c r="DL150" s="33"/>
      <c r="DM150" s="33"/>
      <c r="DN150" s="12">
        <v>5202055</v>
      </c>
      <c r="DS150" s="21"/>
      <c r="DT150" s="21"/>
      <c r="DU150" s="21"/>
    </row>
    <row r="151" spans="53:125" ht="13.5" customHeight="1">
      <c r="BA151" s="3"/>
      <c r="BB151" s="3"/>
      <c r="BC151" s="3"/>
      <c r="BT151" s="12">
        <v>5302055</v>
      </c>
      <c r="BU151" s="3">
        <f>[1]monsters!$N151</f>
        <v>155.52000000000001</v>
      </c>
      <c r="BV151" s="3">
        <f>[1]monsters!$O151</f>
        <v>15.55</v>
      </c>
      <c r="BW151" s="3">
        <f>[1]monsters!$P151</f>
        <v>1920</v>
      </c>
      <c r="BX151" s="3">
        <f>[1]monsters!$Q151</f>
        <v>192</v>
      </c>
      <c r="BY151" s="3">
        <f>[1]monsters!$R151</f>
        <v>31.1</v>
      </c>
      <c r="BZ151" s="3">
        <f>[1]monsters!$S151</f>
        <v>3.11</v>
      </c>
      <c r="CA151" s="3">
        <f>[1]monsters!$K151</f>
        <v>1.8</v>
      </c>
      <c r="CB151" s="12">
        <f>[1]monsters!$D151</f>
        <v>2</v>
      </c>
      <c r="CC151" s="12">
        <f t="shared" ca="1" si="34"/>
        <v>0.1</v>
      </c>
      <c r="CD151" s="12">
        <f t="shared" ca="1" si="35"/>
        <v>68.573902581369396</v>
      </c>
      <c r="CE151" s="12">
        <f t="shared" ca="1" si="36"/>
        <v>6.8573902581369399</v>
      </c>
      <c r="CS151" s="32"/>
      <c r="CT151" s="32"/>
      <c r="CU151" s="33"/>
      <c r="CV151" s="32"/>
      <c r="CW151" s="32"/>
      <c r="CX151" s="32"/>
      <c r="CY151" s="34"/>
      <c r="CZ151" s="35"/>
      <c r="DA151" s="33"/>
      <c r="DB151" s="33"/>
      <c r="DC151" s="33"/>
      <c r="DD151" s="33"/>
      <c r="DE151" s="33"/>
      <c r="DF151" s="33"/>
      <c r="DG151" s="33"/>
      <c r="DH151" s="34"/>
      <c r="DI151" s="35"/>
      <c r="DJ151" s="33"/>
      <c r="DK151" s="33"/>
      <c r="DL151" s="33"/>
      <c r="DM151" s="33"/>
      <c r="DN151" s="12">
        <v>5302055</v>
      </c>
      <c r="DS151" s="21"/>
      <c r="DT151" s="21"/>
      <c r="DU151" s="21"/>
    </row>
    <row r="152" spans="53:125" ht="13.5" customHeight="1">
      <c r="BA152" s="3"/>
      <c r="BB152" s="3"/>
      <c r="BC152" s="3"/>
      <c r="BT152" s="12">
        <v>5301055</v>
      </c>
      <c r="BU152" s="3">
        <f>[1]monsters!$N152</f>
        <v>103.68</v>
      </c>
      <c r="BV152" s="3">
        <f>[1]monsters!$O152</f>
        <v>10.37</v>
      </c>
      <c r="BW152" s="3">
        <f>[1]monsters!$P152</f>
        <v>1920</v>
      </c>
      <c r="BX152" s="3">
        <f>[1]monsters!$Q152</f>
        <v>192</v>
      </c>
      <c r="BY152" s="3">
        <f>[1]monsters!$R152</f>
        <v>20.74</v>
      </c>
      <c r="BZ152" s="3">
        <f>[1]monsters!$S152</f>
        <v>2.0699999999999998</v>
      </c>
      <c r="CA152" s="3">
        <f>[1]monsters!$K152</f>
        <v>1.2</v>
      </c>
      <c r="CB152" s="12">
        <f>[1]monsters!$D152</f>
        <v>3</v>
      </c>
      <c r="CC152" s="12">
        <f t="shared" ca="1" si="34"/>
        <v>0.1</v>
      </c>
      <c r="CD152" s="12">
        <f t="shared" ca="1" si="35"/>
        <v>71.295502581369405</v>
      </c>
      <c r="CE152" s="12">
        <f t="shared" ca="1" si="36"/>
        <v>7.1295502581369403</v>
      </c>
      <c r="CS152" s="32"/>
      <c r="CT152" s="32"/>
      <c r="CU152" s="33"/>
      <c r="CV152" s="32"/>
      <c r="CW152" s="32"/>
      <c r="CX152" s="32"/>
      <c r="CY152" s="34"/>
      <c r="CZ152" s="35"/>
      <c r="DA152" s="33"/>
      <c r="DB152" s="33"/>
      <c r="DC152" s="33"/>
      <c r="DD152" s="33"/>
      <c r="DE152" s="33"/>
      <c r="DF152" s="33"/>
      <c r="DG152" s="33"/>
      <c r="DH152" s="34"/>
      <c r="DI152" s="35"/>
      <c r="DJ152" s="33"/>
      <c r="DK152" s="33"/>
      <c r="DL152" s="33"/>
      <c r="DM152" s="33"/>
      <c r="DN152" s="12">
        <v>5301055</v>
      </c>
      <c r="DS152" s="21"/>
      <c r="DT152" s="21"/>
      <c r="DU152" s="21"/>
    </row>
    <row r="153" spans="53:125" ht="13.5" customHeight="1">
      <c r="BA153" s="3"/>
      <c r="BB153" s="3"/>
      <c r="BC153" s="3"/>
      <c r="BT153" s="12">
        <v>5400055</v>
      </c>
      <c r="BU153" s="3">
        <f>[1]monsters!$N153</f>
        <v>184.32</v>
      </c>
      <c r="BV153" s="3">
        <f>[1]monsters!$O153</f>
        <v>18.43</v>
      </c>
      <c r="BW153" s="3">
        <f>[1]monsters!$P153</f>
        <v>1440</v>
      </c>
      <c r="BX153" s="3">
        <f>[1]monsters!$Q153</f>
        <v>144</v>
      </c>
      <c r="BY153" s="3">
        <f>[1]monsters!$R153</f>
        <v>26.33</v>
      </c>
      <c r="BZ153" s="3">
        <f>[1]monsters!$S153</f>
        <v>2.63</v>
      </c>
      <c r="CA153" s="3">
        <f>[1]monsters!$K153</f>
        <v>1.6</v>
      </c>
      <c r="CB153" s="12">
        <f>[1]monsters!$D153</f>
        <v>4</v>
      </c>
      <c r="CC153" s="12">
        <f t="shared" ca="1" si="34"/>
        <v>0.1</v>
      </c>
      <c r="CD153" s="12">
        <f t="shared" ca="1" si="35"/>
        <v>69.3015566574839</v>
      </c>
      <c r="CE153" s="12">
        <f t="shared" ca="1" si="36"/>
        <v>6.9301556657483898</v>
      </c>
      <c r="CS153" s="32"/>
      <c r="CT153" s="32"/>
      <c r="CU153" s="33"/>
      <c r="CV153" s="32"/>
      <c r="CW153" s="32"/>
      <c r="CX153" s="32"/>
      <c r="CY153" s="34"/>
      <c r="CZ153" s="35"/>
      <c r="DA153" s="33"/>
      <c r="DB153" s="33"/>
      <c r="DC153" s="33"/>
      <c r="DD153" s="33"/>
      <c r="DE153" s="33"/>
      <c r="DF153" s="33"/>
      <c r="DG153" s="33"/>
      <c r="DH153" s="34"/>
      <c r="DI153" s="35"/>
      <c r="DJ153" s="33"/>
      <c r="DK153" s="33"/>
      <c r="DL153" s="33"/>
      <c r="DM153" s="33"/>
      <c r="DN153" s="12">
        <v>5400055</v>
      </c>
      <c r="DS153" s="21"/>
      <c r="DT153" s="21"/>
      <c r="DU153" s="21"/>
    </row>
    <row r="154" spans="53:125" ht="13.5" customHeight="1">
      <c r="BA154" s="3"/>
      <c r="BB154" s="3"/>
      <c r="BC154" s="3"/>
      <c r="BT154" s="12">
        <v>5402055</v>
      </c>
      <c r="BU154" s="3">
        <f>[1]monsters!$N154</f>
        <v>172.8</v>
      </c>
      <c r="BV154" s="3">
        <f>[1]monsters!$O154</f>
        <v>17.28</v>
      </c>
      <c r="BW154" s="3">
        <f>[1]monsters!$P154</f>
        <v>1440</v>
      </c>
      <c r="BX154" s="3">
        <f>[1]monsters!$Q154</f>
        <v>144</v>
      </c>
      <c r="BY154" s="3">
        <f>[1]monsters!$R154</f>
        <v>24.69</v>
      </c>
      <c r="BZ154" s="3">
        <f>[1]monsters!$S154</f>
        <v>2.4700000000000002</v>
      </c>
      <c r="CA154" s="3">
        <f>[1]monsters!$K154</f>
        <v>1.5</v>
      </c>
      <c r="CB154" s="12">
        <f>[1]monsters!$D154</f>
        <v>4</v>
      </c>
      <c r="CC154" s="12">
        <f t="shared" ca="1" si="34"/>
        <v>0.1</v>
      </c>
      <c r="CD154" s="12">
        <f t="shared" ca="1" si="35"/>
        <v>79.280756657483906</v>
      </c>
      <c r="CE154" s="12">
        <f t="shared" ca="1" si="36"/>
        <v>7.9280756657483904</v>
      </c>
      <c r="CS154" s="32"/>
      <c r="CT154" s="32"/>
      <c r="CU154" s="33"/>
      <c r="CV154" s="32"/>
      <c r="CW154" s="32"/>
      <c r="CX154" s="32"/>
      <c r="CY154" s="34"/>
      <c r="CZ154" s="35"/>
      <c r="DA154" s="33"/>
      <c r="DB154" s="33"/>
      <c r="DC154" s="33"/>
      <c r="DD154" s="33"/>
      <c r="DE154" s="33"/>
      <c r="DF154" s="33"/>
      <c r="DG154" s="33"/>
      <c r="DH154" s="34"/>
      <c r="DI154" s="35"/>
      <c r="DJ154" s="33"/>
      <c r="DK154" s="33"/>
      <c r="DL154" s="33"/>
      <c r="DM154" s="33"/>
      <c r="DN154" s="12">
        <v>5402055</v>
      </c>
      <c r="DS154" s="21"/>
      <c r="DT154" s="21"/>
      <c r="DU154" s="21"/>
    </row>
    <row r="155" spans="53:125" ht="13.5" customHeight="1">
      <c r="BA155" s="3"/>
      <c r="BB155" s="3"/>
      <c r="BC155" s="3"/>
      <c r="BT155" s="12">
        <v>5500055</v>
      </c>
      <c r="BU155" s="3">
        <f>[1]monsters!$N155</f>
        <v>201.6</v>
      </c>
      <c r="BV155" s="3">
        <f>[1]monsters!$O155</f>
        <v>20.16</v>
      </c>
      <c r="BW155" s="3">
        <f>[1]monsters!$P155</f>
        <v>1234.29</v>
      </c>
      <c r="BX155" s="3">
        <f>[1]monsters!$Q155</f>
        <v>123.43</v>
      </c>
      <c r="BY155" s="3">
        <f>[1]monsters!$R155</f>
        <v>25.2</v>
      </c>
      <c r="BZ155" s="3">
        <f>[1]monsters!$S155</f>
        <v>2.52</v>
      </c>
      <c r="CA155" s="3">
        <f>[1]monsters!$K155</f>
        <v>1.5</v>
      </c>
      <c r="CB155" s="12">
        <f>[1]monsters!$D155</f>
        <v>5</v>
      </c>
      <c r="CC155" s="12">
        <f t="shared" ca="1" si="34"/>
        <v>0.1</v>
      </c>
      <c r="CD155" s="12">
        <f t="shared" ca="1" si="35"/>
        <v>74.110426936026897</v>
      </c>
      <c r="CE155" s="12">
        <f t="shared" ca="1" si="36"/>
        <v>7.4110426936026901</v>
      </c>
      <c r="CS155" s="32"/>
      <c r="CT155" s="32"/>
      <c r="CU155" s="33"/>
      <c r="CV155" s="32"/>
      <c r="CW155" s="32"/>
      <c r="CX155" s="32"/>
      <c r="CY155" s="34"/>
      <c r="CZ155" s="35"/>
      <c r="DA155" s="33"/>
      <c r="DB155" s="33"/>
      <c r="DC155" s="33"/>
      <c r="DD155" s="33"/>
      <c r="DE155" s="33"/>
      <c r="DF155" s="33"/>
      <c r="DG155" s="33"/>
      <c r="DH155" s="34"/>
      <c r="DI155" s="35"/>
      <c r="DJ155" s="33"/>
      <c r="DK155" s="33"/>
      <c r="DL155" s="33"/>
      <c r="DM155" s="33"/>
      <c r="DN155" s="12">
        <v>5500055</v>
      </c>
      <c r="DS155" s="21"/>
      <c r="DT155" s="21"/>
      <c r="DU155" s="21"/>
    </row>
    <row r="156" spans="53:125" ht="13.5" customHeight="1">
      <c r="BA156" s="3"/>
      <c r="BB156" s="3"/>
      <c r="BC156" s="3"/>
      <c r="BT156" s="12">
        <v>5502055</v>
      </c>
      <c r="BU156" s="3">
        <f>[1]monsters!$N156</f>
        <v>188.16</v>
      </c>
      <c r="BV156" s="3">
        <f>[1]monsters!$O156</f>
        <v>18.82</v>
      </c>
      <c r="BW156" s="3">
        <f>[1]monsters!$P156</f>
        <v>1234.29</v>
      </c>
      <c r="BX156" s="3">
        <f>[1]monsters!$Q156</f>
        <v>123.43</v>
      </c>
      <c r="BY156" s="3">
        <f>[1]monsters!$R156</f>
        <v>23.52</v>
      </c>
      <c r="BZ156" s="3">
        <f>[1]monsters!$S156</f>
        <v>2.35</v>
      </c>
      <c r="CA156" s="3">
        <f>[1]monsters!$K156</f>
        <v>1.4000000000000001</v>
      </c>
      <c r="CB156" s="12">
        <f>[1]monsters!$D156</f>
        <v>5</v>
      </c>
      <c r="CC156" s="12">
        <f t="shared" ca="1" si="34"/>
        <v>0.1</v>
      </c>
      <c r="CD156" s="12">
        <f t="shared" ca="1" si="35"/>
        <v>74.110426936026897</v>
      </c>
      <c r="CE156" s="12">
        <f t="shared" ca="1" si="36"/>
        <v>7.4110426936026901</v>
      </c>
      <c r="CS156" s="32"/>
      <c r="CT156" s="32"/>
      <c r="CU156" s="33"/>
      <c r="CV156" s="32"/>
      <c r="CW156" s="32"/>
      <c r="CX156" s="32"/>
      <c r="CY156" s="34"/>
      <c r="CZ156" s="35"/>
      <c r="DA156" s="33"/>
      <c r="DB156" s="33"/>
      <c r="DC156" s="33"/>
      <c r="DD156" s="33"/>
      <c r="DE156" s="33"/>
      <c r="DF156" s="33"/>
      <c r="DG156" s="33"/>
      <c r="DH156" s="34"/>
      <c r="DI156" s="35"/>
      <c r="DJ156" s="33"/>
      <c r="DK156" s="33"/>
      <c r="DL156" s="33"/>
      <c r="DM156" s="33"/>
      <c r="DN156" s="12">
        <v>5502055</v>
      </c>
      <c r="DS156" s="21"/>
      <c r="DT156" s="21"/>
      <c r="DU156" s="21"/>
    </row>
    <row r="157" spans="53:125" ht="13.5" customHeight="1">
      <c r="BA157" s="3"/>
      <c r="BB157" s="3"/>
      <c r="BC157" s="3"/>
      <c r="BT157" s="12">
        <v>5600055</v>
      </c>
      <c r="BU157" s="3">
        <f>[1]monsters!$N157</f>
        <v>223.2</v>
      </c>
      <c r="BV157" s="3">
        <f>[1]monsters!$O157</f>
        <v>22.32</v>
      </c>
      <c r="BW157" s="3">
        <f>[1]monsters!$P157</f>
        <v>1114.8399999999999</v>
      </c>
      <c r="BX157" s="3">
        <f>[1]monsters!$Q157</f>
        <v>111.48</v>
      </c>
      <c r="BY157" s="3">
        <f>[1]monsters!$R157</f>
        <v>22.32</v>
      </c>
      <c r="BZ157" s="3">
        <f>[1]monsters!$S157</f>
        <v>2.23</v>
      </c>
      <c r="CA157" s="3">
        <f>[1]monsters!$K157</f>
        <v>1.5</v>
      </c>
      <c r="CB157" s="12">
        <f>[1]monsters!$D157</f>
        <v>6</v>
      </c>
      <c r="CC157" s="12">
        <f t="shared" ca="1" si="34"/>
        <v>0.1</v>
      </c>
      <c r="CD157" s="12">
        <f t="shared" ca="1" si="35"/>
        <v>71.635232323232302</v>
      </c>
      <c r="CE157" s="12">
        <f t="shared" ca="1" si="36"/>
        <v>7.1635232323232296</v>
      </c>
      <c r="CS157" s="32"/>
      <c r="CT157" s="32"/>
      <c r="CU157" s="33"/>
      <c r="CV157" s="32"/>
      <c r="CW157" s="32"/>
      <c r="CX157" s="32"/>
      <c r="CY157" s="34"/>
      <c r="CZ157" s="35"/>
      <c r="DA157" s="33"/>
      <c r="DB157" s="33"/>
      <c r="DC157" s="33"/>
      <c r="DD157" s="33"/>
      <c r="DE157" s="33"/>
      <c r="DF157" s="33"/>
      <c r="DG157" s="33"/>
      <c r="DH157" s="34"/>
      <c r="DI157" s="35"/>
      <c r="DJ157" s="33"/>
      <c r="DK157" s="33"/>
      <c r="DL157" s="33"/>
      <c r="DM157" s="33"/>
      <c r="DN157" s="12">
        <v>5600055</v>
      </c>
      <c r="DS157" s="21"/>
      <c r="DT157" s="21"/>
      <c r="DU157" s="21"/>
    </row>
    <row r="158" spans="53:125" ht="13.5" customHeight="1">
      <c r="BA158" s="3"/>
      <c r="BB158" s="3"/>
      <c r="BC158" s="3"/>
      <c r="BT158" s="12">
        <v>5602055</v>
      </c>
      <c r="BU158" s="3">
        <f>[1]monsters!$N158</f>
        <v>138.24</v>
      </c>
      <c r="BV158" s="3">
        <f>[1]monsters!$O158</f>
        <v>13.82</v>
      </c>
      <c r="BW158" s="3">
        <f>[1]monsters!$P158</f>
        <v>2160</v>
      </c>
      <c r="BX158" s="3">
        <f>[1]monsters!$Q158</f>
        <v>216</v>
      </c>
      <c r="BY158" s="3">
        <f>[1]monsters!$R158</f>
        <v>46.08</v>
      </c>
      <c r="BZ158" s="3">
        <f>[1]monsters!$S158</f>
        <v>4.6100000000000003</v>
      </c>
      <c r="CA158" s="3">
        <f>[1]monsters!$K158</f>
        <v>1.8</v>
      </c>
      <c r="CB158" s="12">
        <f>[1]monsters!$D158</f>
        <v>2</v>
      </c>
      <c r="CC158" s="12">
        <f t="shared" ca="1" si="34"/>
        <v>0.1</v>
      </c>
      <c r="CD158" s="12">
        <f t="shared" ca="1" si="35"/>
        <v>92.803232323232294</v>
      </c>
      <c r="CE158" s="12">
        <f t="shared" ca="1" si="36"/>
        <v>9.2803232323232301</v>
      </c>
      <c r="CS158" s="32"/>
      <c r="CT158" s="32"/>
      <c r="CU158" s="33"/>
      <c r="CV158" s="32"/>
      <c r="CW158" s="32"/>
      <c r="CX158" s="32"/>
      <c r="CY158" s="34"/>
      <c r="CZ158" s="35"/>
      <c r="DA158" s="33"/>
      <c r="DB158" s="33"/>
      <c r="DC158" s="33"/>
      <c r="DD158" s="33"/>
      <c r="DE158" s="33"/>
      <c r="DF158" s="33"/>
      <c r="DG158" s="33"/>
      <c r="DH158" s="34"/>
      <c r="DI158" s="35"/>
      <c r="DJ158" s="33"/>
      <c r="DK158" s="33"/>
      <c r="DL158" s="33"/>
      <c r="DM158" s="33"/>
      <c r="DN158" s="12">
        <v>5602055</v>
      </c>
      <c r="DS158" s="21"/>
      <c r="DT158" s="21"/>
      <c r="DU158" s="21"/>
    </row>
    <row r="159" spans="53:125" ht="13.5" customHeight="1">
      <c r="BA159" s="3"/>
      <c r="BB159" s="3"/>
      <c r="BC159" s="3"/>
      <c r="BT159" s="12">
        <v>5200061</v>
      </c>
      <c r="BU159" s="3">
        <f>[1]monsters!$N159</f>
        <v>120.96</v>
      </c>
      <c r="BV159" s="3">
        <f>[1]monsters!$O159</f>
        <v>12.1</v>
      </c>
      <c r="BW159" s="3">
        <f>[1]monsters!$P159</f>
        <v>1920</v>
      </c>
      <c r="BX159" s="3">
        <f>[1]monsters!$Q159</f>
        <v>192</v>
      </c>
      <c r="BY159" s="3">
        <f>[1]monsters!$R159</f>
        <v>24.19</v>
      </c>
      <c r="BZ159" s="3">
        <f>[1]monsters!$S159</f>
        <v>2.42</v>
      </c>
      <c r="CA159" s="3">
        <f>[1]monsters!$K159</f>
        <v>1.4000000000000001</v>
      </c>
      <c r="CB159" s="12">
        <f>[1]monsters!$D159</f>
        <v>3</v>
      </c>
      <c r="CC159" s="12">
        <f t="shared" ca="1" si="34"/>
        <v>0.1</v>
      </c>
      <c r="CD159" s="12">
        <f t="shared" ca="1" si="35"/>
        <v>95.865050505050505</v>
      </c>
      <c r="CE159" s="12">
        <f t="shared" ca="1" si="36"/>
        <v>9.5865050505050498</v>
      </c>
      <c r="CS159" s="32"/>
      <c r="CT159" s="32"/>
      <c r="CU159" s="33"/>
      <c r="CV159" s="32"/>
      <c r="CW159" s="32"/>
      <c r="CX159" s="32"/>
      <c r="CY159" s="34"/>
      <c r="CZ159" s="35"/>
      <c r="DA159" s="33"/>
      <c r="DB159" s="33"/>
      <c r="DC159" s="33"/>
      <c r="DD159" s="33"/>
      <c r="DE159" s="33"/>
      <c r="DF159" s="33"/>
      <c r="DG159" s="33"/>
      <c r="DH159" s="34"/>
      <c r="DI159" s="35"/>
      <c r="DJ159" s="33"/>
      <c r="DK159" s="33"/>
      <c r="DL159" s="33"/>
      <c r="DM159" s="33"/>
      <c r="DN159" s="12">
        <v>5200061</v>
      </c>
      <c r="DS159" s="21"/>
      <c r="DT159" s="21"/>
      <c r="DU159" s="21"/>
    </row>
    <row r="160" spans="53:125" ht="13.5" customHeight="1">
      <c r="BA160" s="3"/>
      <c r="BB160" s="3"/>
      <c r="BC160" s="3"/>
      <c r="BT160" s="12">
        <v>5201061</v>
      </c>
      <c r="BU160" s="3">
        <f>[1]monsters!$N160</f>
        <v>215.04</v>
      </c>
      <c r="BV160" s="3">
        <f>[1]monsters!$O160</f>
        <v>21.5</v>
      </c>
      <c r="BW160" s="3">
        <f>[1]monsters!$P160</f>
        <v>1234.29</v>
      </c>
      <c r="BX160" s="3">
        <f>[1]monsters!$Q160</f>
        <v>123.43</v>
      </c>
      <c r="BY160" s="3">
        <f>[1]monsters!$R160</f>
        <v>26.88</v>
      </c>
      <c r="BZ160" s="3">
        <f>[1]monsters!$S160</f>
        <v>2.69</v>
      </c>
      <c r="CA160" s="3">
        <f>[1]monsters!$K160</f>
        <v>1.6</v>
      </c>
      <c r="CB160" s="12">
        <f>[1]monsters!$D160</f>
        <v>5</v>
      </c>
      <c r="CC160" s="12">
        <f t="shared" ca="1" si="34"/>
        <v>0.1</v>
      </c>
      <c r="CD160" s="12">
        <f t="shared" ca="1" si="35"/>
        <v>110.98505050505101</v>
      </c>
      <c r="CE160" s="12">
        <f t="shared" ca="1" si="36"/>
        <v>11.0985050505051</v>
      </c>
      <c r="CS160" s="32"/>
      <c r="CT160" s="32"/>
      <c r="CU160" s="33"/>
      <c r="CV160" s="32"/>
      <c r="CW160" s="32"/>
      <c r="CX160" s="32"/>
      <c r="CY160" s="34"/>
      <c r="CZ160" s="35"/>
      <c r="DA160" s="33"/>
      <c r="DB160" s="33"/>
      <c r="DC160" s="33"/>
      <c r="DD160" s="33"/>
      <c r="DE160" s="33"/>
      <c r="DF160" s="33"/>
      <c r="DG160" s="33"/>
      <c r="DH160" s="34"/>
      <c r="DI160" s="35"/>
      <c r="DJ160" s="33"/>
      <c r="DK160" s="33"/>
      <c r="DL160" s="33"/>
      <c r="DM160" s="33"/>
      <c r="DN160" s="12">
        <v>5201061</v>
      </c>
      <c r="DS160" s="21"/>
      <c r="DT160" s="21"/>
      <c r="DU160" s="21"/>
    </row>
    <row r="161" spans="53:125" ht="13.5" customHeight="1">
      <c r="BA161" s="3"/>
      <c r="BB161" s="3"/>
      <c r="BC161" s="3"/>
      <c r="BT161" s="12">
        <v>5300061</v>
      </c>
      <c r="BU161" s="3">
        <f>[1]monsters!$N161</f>
        <v>208.32</v>
      </c>
      <c r="BV161" s="3">
        <f>[1]monsters!$O161</f>
        <v>20.83</v>
      </c>
      <c r="BW161" s="3">
        <f>[1]monsters!$P161</f>
        <v>1114.8399999999999</v>
      </c>
      <c r="BX161" s="3">
        <f>[1]monsters!$Q161</f>
        <v>111.48</v>
      </c>
      <c r="BY161" s="3">
        <f>[1]monsters!$R161</f>
        <v>20.83</v>
      </c>
      <c r="BZ161" s="3">
        <f>[1]monsters!$S161</f>
        <v>2.08</v>
      </c>
      <c r="CA161" s="3">
        <f>[1]monsters!$K161</f>
        <v>1.4000000000000001</v>
      </c>
      <c r="CB161" s="12">
        <f>[1]monsters!$D161</f>
        <v>6</v>
      </c>
      <c r="CC161" s="12">
        <f t="shared" ca="1" si="34"/>
        <v>0.1</v>
      </c>
      <c r="CD161" s="12">
        <f t="shared" ca="1" si="35"/>
        <v>89.119378226711405</v>
      </c>
      <c r="CE161" s="12">
        <f t="shared" ca="1" si="36"/>
        <v>8.9119378226711508</v>
      </c>
      <c r="CS161" s="32"/>
      <c r="CT161" s="32"/>
      <c r="CU161" s="33"/>
      <c r="CV161" s="32"/>
      <c r="CW161" s="32"/>
      <c r="CX161" s="32"/>
      <c r="CY161" s="34"/>
      <c r="CZ161" s="35"/>
      <c r="DA161" s="33"/>
      <c r="DB161" s="33"/>
      <c r="DC161" s="33"/>
      <c r="DD161" s="33"/>
      <c r="DE161" s="33"/>
      <c r="DF161" s="33"/>
      <c r="DG161" s="33"/>
      <c r="DH161" s="34"/>
      <c r="DI161" s="35"/>
      <c r="DJ161" s="33"/>
      <c r="DK161" s="33"/>
      <c r="DL161" s="33"/>
      <c r="DM161" s="33"/>
      <c r="DN161" s="12">
        <v>5300061</v>
      </c>
      <c r="DS161" s="21"/>
      <c r="DT161" s="21"/>
      <c r="DU161" s="21"/>
    </row>
    <row r="162" spans="53:125" ht="13.5" customHeight="1">
      <c r="BA162" s="3"/>
      <c r="BB162" s="3"/>
      <c r="BC162" s="3"/>
      <c r="BT162" s="12">
        <v>5301061</v>
      </c>
      <c r="BU162" s="3">
        <f>[1]monsters!$N162</f>
        <v>267.83999999999997</v>
      </c>
      <c r="BV162" s="3">
        <f>[1]monsters!$O162</f>
        <v>26.78</v>
      </c>
      <c r="BW162" s="3">
        <f>[1]monsters!$P162</f>
        <v>1114.8399999999999</v>
      </c>
      <c r="BX162" s="3">
        <f>[1]monsters!$Q162</f>
        <v>111.48</v>
      </c>
      <c r="BY162" s="3">
        <f>[1]monsters!$R162</f>
        <v>26.78</v>
      </c>
      <c r="BZ162" s="3">
        <f>[1]monsters!$S162</f>
        <v>2.68</v>
      </c>
      <c r="CA162" s="3">
        <f>[1]monsters!$K162</f>
        <v>1.8</v>
      </c>
      <c r="CB162" s="12">
        <f>[1]monsters!$D162</f>
        <v>6</v>
      </c>
      <c r="CC162" s="12">
        <f t="shared" ca="1" si="34"/>
        <v>0.1</v>
      </c>
      <c r="CD162" s="12">
        <f t="shared" ca="1" si="35"/>
        <v>89.119378226711405</v>
      </c>
      <c r="CE162" s="12">
        <f t="shared" ca="1" si="36"/>
        <v>8.9119378226711508</v>
      </c>
      <c r="CS162" s="32"/>
      <c r="CT162" s="32"/>
      <c r="CU162" s="33"/>
      <c r="CV162" s="32"/>
      <c r="CW162" s="32"/>
      <c r="CX162" s="32"/>
      <c r="CY162" s="34"/>
      <c r="CZ162" s="35"/>
      <c r="DA162" s="33"/>
      <c r="DB162" s="33"/>
      <c r="DC162" s="33"/>
      <c r="DD162" s="33"/>
      <c r="DE162" s="33"/>
      <c r="DF162" s="33"/>
      <c r="DG162" s="33"/>
      <c r="DH162" s="34"/>
      <c r="DI162" s="35"/>
      <c r="DJ162" s="33"/>
      <c r="DK162" s="33"/>
      <c r="DL162" s="33"/>
      <c r="DM162" s="33"/>
      <c r="DN162" s="12">
        <v>5301061</v>
      </c>
      <c r="DS162" s="21"/>
      <c r="DT162" s="21"/>
      <c r="DU162" s="21"/>
    </row>
    <row r="163" spans="53:125" ht="13.5" customHeight="1">
      <c r="BA163" s="3"/>
      <c r="BB163" s="3"/>
      <c r="BC163" s="3"/>
      <c r="BT163" s="12">
        <v>5401061</v>
      </c>
      <c r="BU163" s="3">
        <f>[1]monsters!$N163</f>
        <v>155.52000000000001</v>
      </c>
      <c r="BV163" s="3">
        <f>[1]monsters!$O163</f>
        <v>15.55</v>
      </c>
      <c r="BW163" s="3">
        <f>[1]monsters!$P163</f>
        <v>1920</v>
      </c>
      <c r="BX163" s="3">
        <f>[1]monsters!$Q163</f>
        <v>192</v>
      </c>
      <c r="BY163" s="3">
        <f>[1]monsters!$R163</f>
        <v>31.1</v>
      </c>
      <c r="BZ163" s="3">
        <f>[1]monsters!$S163</f>
        <v>3.11</v>
      </c>
      <c r="CA163" s="3">
        <f>[1]monsters!$K163</f>
        <v>1.8</v>
      </c>
      <c r="CB163" s="12">
        <f>[1]monsters!$D163</f>
        <v>2</v>
      </c>
      <c r="CC163" s="12">
        <f t="shared" ca="1" si="34"/>
        <v>0.1</v>
      </c>
      <c r="CD163" s="12">
        <f t="shared" ca="1" si="35"/>
        <v>99.100945821854907</v>
      </c>
      <c r="CE163" s="12">
        <f t="shared" ca="1" si="36"/>
        <v>9.91009458218549</v>
      </c>
      <c r="CS163" s="32"/>
      <c r="CT163" s="32"/>
      <c r="CU163" s="33"/>
      <c r="CV163" s="32"/>
      <c r="CW163" s="32"/>
      <c r="CX163" s="32"/>
      <c r="CY163" s="34"/>
      <c r="CZ163" s="35"/>
      <c r="DA163" s="33"/>
      <c r="DB163" s="33"/>
      <c r="DC163" s="33"/>
      <c r="DD163" s="33"/>
      <c r="DE163" s="33"/>
      <c r="DF163" s="33"/>
      <c r="DG163" s="33"/>
      <c r="DH163" s="34"/>
      <c r="DI163" s="35"/>
      <c r="DJ163" s="33"/>
      <c r="DK163" s="33"/>
      <c r="DL163" s="33"/>
      <c r="DM163" s="33"/>
      <c r="DN163" s="12">
        <v>5401061</v>
      </c>
      <c r="DS163" s="21"/>
      <c r="DT163" s="21"/>
      <c r="DU163" s="21"/>
    </row>
    <row r="164" spans="53:125" ht="13.5" customHeight="1">
      <c r="BA164" s="3"/>
      <c r="BB164" s="3"/>
      <c r="BC164" s="3"/>
      <c r="BT164" s="12">
        <v>5402061</v>
      </c>
      <c r="BU164" s="3">
        <f>[1]monsters!$N164</f>
        <v>112.32</v>
      </c>
      <c r="BV164" s="3">
        <f>[1]monsters!$O164</f>
        <v>11.23</v>
      </c>
      <c r="BW164" s="3">
        <f>[1]monsters!$P164</f>
        <v>1920</v>
      </c>
      <c r="BX164" s="3">
        <f>[1]monsters!$Q164</f>
        <v>192</v>
      </c>
      <c r="BY164" s="3">
        <f>[1]monsters!$R164</f>
        <v>22.46</v>
      </c>
      <c r="BZ164" s="3">
        <f>[1]monsters!$S164</f>
        <v>2.25</v>
      </c>
      <c r="CA164" s="3">
        <f>[1]monsters!$K164</f>
        <v>1.3</v>
      </c>
      <c r="CB164" s="12">
        <f>[1]monsters!$D164</f>
        <v>3</v>
      </c>
      <c r="CC164" s="12">
        <f t="shared" ca="1" si="34"/>
        <v>0.1</v>
      </c>
      <c r="CD164" s="12">
        <f t="shared" ca="1" si="35"/>
        <v>99.100945821854907</v>
      </c>
      <c r="CE164" s="12">
        <f t="shared" ca="1" si="36"/>
        <v>9.91009458218549</v>
      </c>
      <c r="CS164" s="32"/>
      <c r="CT164" s="32"/>
      <c r="CU164" s="33"/>
      <c r="CV164" s="32"/>
      <c r="CW164" s="32"/>
      <c r="CX164" s="32"/>
      <c r="CY164" s="34"/>
      <c r="CZ164" s="35"/>
      <c r="DA164" s="33"/>
      <c r="DB164" s="33"/>
      <c r="DC164" s="33"/>
      <c r="DD164" s="33"/>
      <c r="DE164" s="33"/>
      <c r="DF164" s="33"/>
      <c r="DG164" s="33"/>
      <c r="DH164" s="34"/>
      <c r="DI164" s="35"/>
      <c r="DJ164" s="33"/>
      <c r="DK164" s="33"/>
      <c r="DL164" s="33"/>
      <c r="DM164" s="33"/>
      <c r="DN164" s="12">
        <v>5402061</v>
      </c>
      <c r="DS164" s="21"/>
      <c r="DT164" s="21"/>
      <c r="DU164" s="21"/>
    </row>
    <row r="165" spans="53:125" ht="13.5" customHeight="1">
      <c r="BA165" s="3"/>
      <c r="BB165" s="3"/>
      <c r="BC165" s="3"/>
      <c r="BT165" s="12">
        <v>5500061</v>
      </c>
      <c r="BU165" s="3">
        <f>[1]monsters!$N165</f>
        <v>120.96</v>
      </c>
      <c r="BV165" s="3">
        <f>[1]monsters!$O165</f>
        <v>12.1</v>
      </c>
      <c r="BW165" s="3">
        <f>[1]monsters!$P165</f>
        <v>1920</v>
      </c>
      <c r="BX165" s="3">
        <f>[1]monsters!$Q165</f>
        <v>192</v>
      </c>
      <c r="BY165" s="3">
        <f>[1]monsters!$R165</f>
        <v>24.19</v>
      </c>
      <c r="BZ165" s="3">
        <f>[1]monsters!$S165</f>
        <v>2.42</v>
      </c>
      <c r="CA165" s="3">
        <f>[1]monsters!$K165</f>
        <v>1.4000000000000001</v>
      </c>
      <c r="CB165" s="12">
        <f>[1]monsters!$D165</f>
        <v>3</v>
      </c>
      <c r="CC165" s="12">
        <f t="shared" ca="1" si="34"/>
        <v>0.1</v>
      </c>
      <c r="CD165" s="12">
        <f t="shared" ca="1" si="35"/>
        <v>92.638033670033707</v>
      </c>
      <c r="CE165" s="12">
        <f t="shared" ca="1" si="36"/>
        <v>9.2638033670033693</v>
      </c>
      <c r="CS165" s="32"/>
      <c r="CT165" s="32"/>
      <c r="CU165" s="33"/>
      <c r="CV165" s="32"/>
      <c r="CW165" s="32"/>
      <c r="CX165" s="32"/>
      <c r="CY165" s="34"/>
      <c r="CZ165" s="35"/>
      <c r="DA165" s="33"/>
      <c r="DB165" s="33"/>
      <c r="DC165" s="33"/>
      <c r="DD165" s="33"/>
      <c r="DE165" s="33"/>
      <c r="DF165" s="33"/>
      <c r="DG165" s="33"/>
      <c r="DH165" s="34"/>
      <c r="DI165" s="35"/>
      <c r="DJ165" s="33"/>
      <c r="DK165" s="33"/>
      <c r="DL165" s="33"/>
      <c r="DM165" s="33"/>
      <c r="DN165" s="12">
        <v>5500061</v>
      </c>
      <c r="DS165" s="21"/>
      <c r="DT165" s="21"/>
      <c r="DU165" s="21"/>
    </row>
    <row r="166" spans="53:125" ht="13.5" customHeight="1">
      <c r="BA166" s="3"/>
      <c r="BB166" s="3"/>
      <c r="BC166" s="3"/>
      <c r="BT166" s="12">
        <v>5501061</v>
      </c>
      <c r="BU166" s="3">
        <f>[1]monsters!$N166</f>
        <v>161.28</v>
      </c>
      <c r="BV166" s="3">
        <f>[1]monsters!$O166</f>
        <v>16.13</v>
      </c>
      <c r="BW166" s="3">
        <f>[1]monsters!$P166</f>
        <v>1440</v>
      </c>
      <c r="BX166" s="3">
        <f>[1]monsters!$Q166</f>
        <v>144</v>
      </c>
      <c r="BY166" s="3">
        <f>[1]monsters!$R166</f>
        <v>23.04</v>
      </c>
      <c r="BZ166" s="3">
        <f>[1]monsters!$S166</f>
        <v>2.2999999999999998</v>
      </c>
      <c r="CA166" s="3">
        <f>[1]monsters!$K166</f>
        <v>1.4000000000000001</v>
      </c>
      <c r="CB166" s="12">
        <f>[1]monsters!$D166</f>
        <v>4</v>
      </c>
      <c r="CC166" s="12">
        <f t="shared" ca="1" si="34"/>
        <v>0.1</v>
      </c>
      <c r="CD166" s="12">
        <f t="shared" ca="1" si="35"/>
        <v>106.246033670034</v>
      </c>
      <c r="CE166" s="12">
        <f t="shared" ca="1" si="36"/>
        <v>10.624603367003401</v>
      </c>
      <c r="CS166" s="32"/>
      <c r="CT166" s="32"/>
      <c r="CU166" s="33"/>
      <c r="CV166" s="32"/>
      <c r="CW166" s="32"/>
      <c r="CX166" s="32"/>
      <c r="CY166" s="34"/>
      <c r="CZ166" s="35"/>
      <c r="DA166" s="33"/>
      <c r="DB166" s="33"/>
      <c r="DC166" s="33"/>
      <c r="DD166" s="33"/>
      <c r="DE166" s="33"/>
      <c r="DF166" s="33"/>
      <c r="DG166" s="33"/>
      <c r="DH166" s="34"/>
      <c r="DI166" s="35"/>
      <c r="DJ166" s="33"/>
      <c r="DK166" s="33"/>
      <c r="DL166" s="33"/>
      <c r="DM166" s="33"/>
      <c r="DN166" s="12">
        <v>5501061</v>
      </c>
      <c r="DS166" s="21"/>
      <c r="DT166" s="21"/>
      <c r="DU166" s="21"/>
    </row>
    <row r="167" spans="53:125" ht="13.5" customHeight="1">
      <c r="BA167" s="3"/>
      <c r="BB167" s="3"/>
      <c r="BC167" s="3"/>
      <c r="BT167" s="12">
        <v>5600061</v>
      </c>
      <c r="BU167" s="3">
        <f>[1]monsters!$N167</f>
        <v>215.04</v>
      </c>
      <c r="BV167" s="3">
        <f>[1]monsters!$O167</f>
        <v>21.5</v>
      </c>
      <c r="BW167" s="3">
        <f>[1]monsters!$P167</f>
        <v>1234.29</v>
      </c>
      <c r="BX167" s="3">
        <f>[1]monsters!$Q167</f>
        <v>123.43</v>
      </c>
      <c r="BY167" s="3">
        <f>[1]monsters!$R167</f>
        <v>26.88</v>
      </c>
      <c r="BZ167" s="3">
        <f>[1]monsters!$S167</f>
        <v>2.69</v>
      </c>
      <c r="CA167" s="3">
        <f>[1]monsters!$K167</f>
        <v>1.6</v>
      </c>
      <c r="CB167" s="12">
        <f>[1]monsters!$D167</f>
        <v>5</v>
      </c>
      <c r="CC167" s="12">
        <f t="shared" ca="1" si="34"/>
        <v>0.1</v>
      </c>
      <c r="CD167" s="12">
        <f t="shared" ca="1" si="35"/>
        <v>89.544040404040402</v>
      </c>
      <c r="CE167" s="12">
        <f t="shared" ca="1" si="36"/>
        <v>8.9544040404040395</v>
      </c>
      <c r="CS167" s="32"/>
      <c r="CT167" s="32"/>
      <c r="CU167" s="33"/>
      <c r="CV167" s="32"/>
      <c r="CW167" s="32"/>
      <c r="CX167" s="32"/>
      <c r="CY167" s="34"/>
      <c r="CZ167" s="35"/>
      <c r="DA167" s="33"/>
      <c r="DB167" s="33"/>
      <c r="DC167" s="33"/>
      <c r="DD167" s="33"/>
      <c r="DE167" s="33"/>
      <c r="DF167" s="33"/>
      <c r="DG167" s="33"/>
      <c r="DH167" s="34"/>
      <c r="DI167" s="35"/>
      <c r="DJ167" s="33"/>
      <c r="DK167" s="33"/>
      <c r="DL167" s="33"/>
      <c r="DM167" s="33"/>
      <c r="DN167" s="12">
        <v>5600061</v>
      </c>
      <c r="DS167" s="21"/>
      <c r="DT167" s="21"/>
      <c r="DU167" s="21"/>
    </row>
    <row r="168" spans="53:125" ht="13.5" customHeight="1">
      <c r="BA168" s="3"/>
      <c r="BB168" s="3"/>
      <c r="BC168" s="3"/>
      <c r="BT168" s="12">
        <v>5601061</v>
      </c>
      <c r="BU168" s="3">
        <f>[1]monsters!$N168</f>
        <v>160</v>
      </c>
      <c r="BV168" s="3">
        <f>[1]monsters!$O168</f>
        <v>16</v>
      </c>
      <c r="BW168" s="3">
        <f>[1]monsters!$P168</f>
        <v>1920</v>
      </c>
      <c r="BX168" s="3">
        <f>[1]monsters!$Q168</f>
        <v>192</v>
      </c>
      <c r="BY168" s="3">
        <f>[1]monsters!$R168</f>
        <v>40</v>
      </c>
      <c r="BZ168" s="3">
        <f>[1]monsters!$S168</f>
        <v>4</v>
      </c>
      <c r="CA168" s="3">
        <f>[1]monsters!$K168</f>
        <v>1.5</v>
      </c>
      <c r="CB168" s="12">
        <f>[1]monsters!$D168</f>
        <v>2</v>
      </c>
      <c r="CC168" s="12">
        <f t="shared" ca="1" si="34"/>
        <v>0.1</v>
      </c>
      <c r="CD168" s="12">
        <f t="shared" ca="1" si="35"/>
        <v>97.104040404040404</v>
      </c>
      <c r="CE168" s="12">
        <f t="shared" ca="1" si="36"/>
        <v>9.7104040404040397</v>
      </c>
      <c r="CS168" s="32"/>
      <c r="CT168" s="32"/>
      <c r="CU168" s="33"/>
      <c r="CV168" s="32"/>
      <c r="CW168" s="32"/>
      <c r="CX168" s="32"/>
      <c r="CY168" s="34"/>
      <c r="CZ168" s="35"/>
      <c r="DA168" s="33"/>
      <c r="DB168" s="33"/>
      <c r="DC168" s="33"/>
      <c r="DD168" s="33"/>
      <c r="DE168" s="33"/>
      <c r="DF168" s="33"/>
      <c r="DG168" s="33"/>
      <c r="DH168" s="34"/>
      <c r="DI168" s="35"/>
      <c r="DJ168" s="33"/>
      <c r="DK168" s="33"/>
      <c r="DL168" s="33"/>
      <c r="DM168" s="33"/>
      <c r="DN168" s="12">
        <v>5601061</v>
      </c>
      <c r="DS168" s="21"/>
      <c r="DT168" s="21"/>
      <c r="DU168" s="21"/>
    </row>
    <row r="169" spans="53:125" ht="13.5" customHeight="1">
      <c r="BA169" s="3"/>
      <c r="BB169" s="3"/>
      <c r="BC169" s="3"/>
      <c r="BT169" s="12">
        <v>5200062</v>
      </c>
      <c r="BU169" s="3">
        <f>[1]monsters!$N169</f>
        <v>153.6</v>
      </c>
      <c r="BV169" s="3">
        <f>[1]monsters!$O169</f>
        <v>15.36</v>
      </c>
      <c r="BW169" s="3">
        <f>[1]monsters!$P169</f>
        <v>2400</v>
      </c>
      <c r="BX169" s="3">
        <f>[1]monsters!$Q169</f>
        <v>240</v>
      </c>
      <c r="BY169" s="3">
        <f>[1]monsters!$R169</f>
        <v>51.2</v>
      </c>
      <c r="BZ169" s="3">
        <f>[1]monsters!$S169</f>
        <v>5.12</v>
      </c>
      <c r="CA169" s="3">
        <f>[1]monsters!$K169</f>
        <v>1.8</v>
      </c>
      <c r="CB169" s="12">
        <f>[1]monsters!$D169</f>
        <v>2</v>
      </c>
      <c r="CC169" s="12">
        <f t="shared" ca="1" si="34"/>
        <v>0.1</v>
      </c>
      <c r="CD169" s="12">
        <f t="shared" ca="1" si="35"/>
        <v>95.865050505050505</v>
      </c>
      <c r="CE169" s="12">
        <f t="shared" ca="1" si="36"/>
        <v>9.5865050505050498</v>
      </c>
      <c r="CS169" s="32"/>
      <c r="CT169" s="32"/>
      <c r="CU169" s="33"/>
      <c r="CV169" s="32"/>
      <c r="CW169" s="32"/>
      <c r="CX169" s="32"/>
      <c r="CY169" s="34"/>
      <c r="CZ169" s="35"/>
      <c r="DA169" s="33"/>
      <c r="DB169" s="33"/>
      <c r="DC169" s="33"/>
      <c r="DD169" s="33"/>
      <c r="DE169" s="33"/>
      <c r="DF169" s="33"/>
      <c r="DG169" s="33"/>
      <c r="DH169" s="34"/>
      <c r="DI169" s="35"/>
      <c r="DJ169" s="33"/>
      <c r="DK169" s="33"/>
      <c r="DL169" s="33"/>
      <c r="DM169" s="33"/>
      <c r="DN169" s="12">
        <v>5200062</v>
      </c>
      <c r="DS169" s="21"/>
      <c r="DT169" s="21"/>
      <c r="DU169" s="21"/>
    </row>
    <row r="170" spans="53:125" ht="13.5" customHeight="1">
      <c r="BA170" s="3"/>
      <c r="BB170" s="3"/>
      <c r="BC170" s="3"/>
      <c r="BT170" s="12">
        <v>5202062</v>
      </c>
      <c r="BU170" s="3">
        <f>[1]monsters!$N170</f>
        <v>172.8</v>
      </c>
      <c r="BV170" s="3">
        <f>[1]monsters!$O170</f>
        <v>17.28</v>
      </c>
      <c r="BW170" s="3">
        <f>[1]monsters!$P170</f>
        <v>2133.33</v>
      </c>
      <c r="BX170" s="3">
        <f>[1]monsters!$Q170</f>
        <v>213.33</v>
      </c>
      <c r="BY170" s="3">
        <f>[1]monsters!$R170</f>
        <v>34.56</v>
      </c>
      <c r="BZ170" s="3">
        <f>[1]monsters!$S170</f>
        <v>3.46</v>
      </c>
      <c r="CA170" s="3">
        <f>[1]monsters!$K170</f>
        <v>1.8</v>
      </c>
      <c r="CB170" s="12">
        <f>[1]monsters!$D170</f>
        <v>2</v>
      </c>
      <c r="CC170" s="12">
        <f t="shared" ca="1" si="34"/>
        <v>0.1</v>
      </c>
      <c r="CD170" s="12">
        <f t="shared" ca="1" si="35"/>
        <v>110.98505050505101</v>
      </c>
      <c r="CE170" s="12">
        <f t="shared" ca="1" si="36"/>
        <v>11.0985050505051</v>
      </c>
      <c r="CS170" s="32"/>
      <c r="CT170" s="32"/>
      <c r="CU170" s="33"/>
      <c r="CV170" s="32"/>
      <c r="CW170" s="32"/>
      <c r="CX170" s="32"/>
      <c r="CY170" s="34"/>
      <c r="CZ170" s="35"/>
      <c r="DA170" s="33"/>
      <c r="DB170" s="33"/>
      <c r="DC170" s="33"/>
      <c r="DD170" s="33"/>
      <c r="DE170" s="33"/>
      <c r="DF170" s="33"/>
      <c r="DG170" s="33"/>
      <c r="DH170" s="34"/>
      <c r="DI170" s="35"/>
      <c r="DJ170" s="33"/>
      <c r="DK170" s="33"/>
      <c r="DL170" s="33"/>
      <c r="DM170" s="33"/>
      <c r="DN170" s="12">
        <v>5202062</v>
      </c>
      <c r="DS170" s="21"/>
      <c r="DT170" s="21"/>
      <c r="DU170" s="21"/>
    </row>
    <row r="171" spans="53:125" ht="13.5" customHeight="1">
      <c r="BA171" s="3"/>
      <c r="BB171" s="3"/>
      <c r="BC171" s="3"/>
      <c r="BT171" s="12">
        <v>5302062</v>
      </c>
      <c r="BU171" s="3">
        <f>[1]monsters!$N171</f>
        <v>115.2</v>
      </c>
      <c r="BV171" s="3">
        <f>[1]monsters!$O171</f>
        <v>11.52</v>
      </c>
      <c r="BW171" s="3">
        <f>[1]monsters!$P171</f>
        <v>2133.33</v>
      </c>
      <c r="BX171" s="3">
        <f>[1]monsters!$Q171</f>
        <v>213.33</v>
      </c>
      <c r="BY171" s="3">
        <f>[1]monsters!$R171</f>
        <v>23.04</v>
      </c>
      <c r="BZ171" s="3">
        <f>[1]monsters!$S171</f>
        <v>2.2999999999999998</v>
      </c>
      <c r="CA171" s="3">
        <f>[1]monsters!$K171</f>
        <v>1.2</v>
      </c>
      <c r="CB171" s="12">
        <f>[1]monsters!$D171</f>
        <v>3</v>
      </c>
      <c r="CC171" s="12">
        <f t="shared" ca="1" si="34"/>
        <v>0.1</v>
      </c>
      <c r="CD171" s="12">
        <f t="shared" ca="1" si="35"/>
        <v>85.717378226711403</v>
      </c>
      <c r="CE171" s="12">
        <f t="shared" ca="1" si="36"/>
        <v>8.5717378226711407</v>
      </c>
      <c r="CS171" s="32"/>
      <c r="CT171" s="32"/>
      <c r="CU171" s="33"/>
      <c r="CV171" s="32"/>
      <c r="CW171" s="32"/>
      <c r="CX171" s="32"/>
      <c r="CY171" s="34"/>
      <c r="CZ171" s="35"/>
      <c r="DA171" s="33"/>
      <c r="DB171" s="33"/>
      <c r="DC171" s="33"/>
      <c r="DD171" s="33"/>
      <c r="DE171" s="33"/>
      <c r="DF171" s="33"/>
      <c r="DG171" s="33"/>
      <c r="DH171" s="34"/>
      <c r="DI171" s="35"/>
      <c r="DJ171" s="33"/>
      <c r="DK171" s="33"/>
      <c r="DL171" s="33"/>
      <c r="DM171" s="33"/>
      <c r="DN171" s="12">
        <v>5302062</v>
      </c>
      <c r="DS171" s="21"/>
      <c r="DT171" s="21"/>
      <c r="DU171" s="21"/>
    </row>
    <row r="172" spans="53:125" ht="13.5" customHeight="1">
      <c r="BA172" s="3"/>
      <c r="BB172" s="3"/>
      <c r="BC172" s="3"/>
      <c r="BT172" s="12">
        <v>5300062</v>
      </c>
      <c r="BU172" s="3">
        <f>[1]monsters!$N172</f>
        <v>204.8</v>
      </c>
      <c r="BV172" s="3">
        <f>[1]monsters!$O172</f>
        <v>20.48</v>
      </c>
      <c r="BW172" s="3">
        <f>[1]monsters!$P172</f>
        <v>1600</v>
      </c>
      <c r="BX172" s="3">
        <f>[1]monsters!$Q172</f>
        <v>160</v>
      </c>
      <c r="BY172" s="3">
        <f>[1]monsters!$R172</f>
        <v>29.26</v>
      </c>
      <c r="BZ172" s="3">
        <f>[1]monsters!$S172</f>
        <v>2.93</v>
      </c>
      <c r="CA172" s="3">
        <f>[1]monsters!$K172</f>
        <v>1.6</v>
      </c>
      <c r="CB172" s="12">
        <f>[1]monsters!$D172</f>
        <v>4</v>
      </c>
      <c r="CC172" s="12">
        <f t="shared" ca="1" si="34"/>
        <v>0.1</v>
      </c>
      <c r="CD172" s="12">
        <f t="shared" ca="1" si="35"/>
        <v>89.119378226711405</v>
      </c>
      <c r="CE172" s="12">
        <f t="shared" ca="1" si="36"/>
        <v>8.9119378226711508</v>
      </c>
      <c r="CS172" s="32"/>
      <c r="CT172" s="32"/>
      <c r="CU172" s="33"/>
      <c r="CV172" s="32"/>
      <c r="CW172" s="32"/>
      <c r="CX172" s="32"/>
      <c r="CY172" s="34"/>
      <c r="CZ172" s="35"/>
      <c r="DA172" s="33"/>
      <c r="DB172" s="33"/>
      <c r="DC172" s="33"/>
      <c r="DD172" s="33"/>
      <c r="DE172" s="33"/>
      <c r="DF172" s="33"/>
      <c r="DG172" s="33"/>
      <c r="DH172" s="34"/>
      <c r="DI172" s="35"/>
      <c r="DJ172" s="33"/>
      <c r="DK172" s="33"/>
      <c r="DL172" s="33"/>
      <c r="DM172" s="33"/>
      <c r="DN172" s="12">
        <v>5300062</v>
      </c>
      <c r="DS172" s="21"/>
      <c r="DT172" s="21"/>
      <c r="DU172" s="21"/>
    </row>
    <row r="173" spans="53:125" ht="13.5" customHeight="1">
      <c r="BA173" s="3"/>
      <c r="BB173" s="3"/>
      <c r="BC173" s="3"/>
      <c r="BT173" s="12">
        <v>5400062</v>
      </c>
      <c r="BU173" s="3">
        <f>[1]monsters!$N173</f>
        <v>192</v>
      </c>
      <c r="BV173" s="3">
        <f>[1]monsters!$O173</f>
        <v>19.2</v>
      </c>
      <c r="BW173" s="3">
        <f>[1]monsters!$P173</f>
        <v>1600</v>
      </c>
      <c r="BX173" s="3">
        <f>[1]monsters!$Q173</f>
        <v>160</v>
      </c>
      <c r="BY173" s="3">
        <f>[1]monsters!$R173</f>
        <v>27.43</v>
      </c>
      <c r="BZ173" s="3">
        <f>[1]monsters!$S173</f>
        <v>2.74</v>
      </c>
      <c r="CA173" s="3">
        <f>[1]monsters!$K173</f>
        <v>1.5</v>
      </c>
      <c r="CB173" s="12">
        <f>[1]monsters!$D173</f>
        <v>4</v>
      </c>
      <c r="CC173" s="12">
        <f t="shared" ca="1" si="34"/>
        <v>0.1</v>
      </c>
      <c r="CD173" s="12">
        <f t="shared" ca="1" si="35"/>
        <v>86.626945821854903</v>
      </c>
      <c r="CE173" s="12">
        <f t="shared" ca="1" si="36"/>
        <v>8.6626945821854893</v>
      </c>
      <c r="CS173" s="32"/>
      <c r="CT173" s="32"/>
      <c r="CU173" s="33"/>
      <c r="CV173" s="32"/>
      <c r="CW173" s="32"/>
      <c r="CX173" s="32"/>
      <c r="CY173" s="34"/>
      <c r="CZ173" s="35"/>
      <c r="DA173" s="33"/>
      <c r="DB173" s="33"/>
      <c r="DC173" s="33"/>
      <c r="DD173" s="33"/>
      <c r="DE173" s="33"/>
      <c r="DF173" s="33"/>
      <c r="DG173" s="33"/>
      <c r="DH173" s="34"/>
      <c r="DI173" s="35"/>
      <c r="DJ173" s="33"/>
      <c r="DK173" s="33"/>
      <c r="DL173" s="33"/>
      <c r="DM173" s="33"/>
      <c r="DN173" s="12">
        <v>5400062</v>
      </c>
      <c r="DS173" s="21"/>
      <c r="DT173" s="21"/>
      <c r="DU173" s="21"/>
    </row>
    <row r="174" spans="53:125" ht="13.5" customHeight="1">
      <c r="BA174" s="3"/>
      <c r="BB174" s="3"/>
      <c r="BC174" s="3"/>
      <c r="BT174" s="12">
        <v>5402062</v>
      </c>
      <c r="BU174" s="3">
        <f>[1]monsters!$N174</f>
        <v>224</v>
      </c>
      <c r="BV174" s="3">
        <f>[1]monsters!$O174</f>
        <v>22.4</v>
      </c>
      <c r="BW174" s="3">
        <f>[1]monsters!$P174</f>
        <v>1371.43</v>
      </c>
      <c r="BX174" s="3">
        <f>[1]monsters!$Q174</f>
        <v>137.13999999999999</v>
      </c>
      <c r="BY174" s="3">
        <f>[1]monsters!$R174</f>
        <v>28</v>
      </c>
      <c r="BZ174" s="3">
        <f>[1]monsters!$S174</f>
        <v>2.8</v>
      </c>
      <c r="CA174" s="3">
        <f>[1]monsters!$K174</f>
        <v>1.5</v>
      </c>
      <c r="CB174" s="12">
        <f>[1]monsters!$D174</f>
        <v>5</v>
      </c>
      <c r="CC174" s="12">
        <f t="shared" ca="1" si="34"/>
        <v>0.1</v>
      </c>
      <c r="CD174" s="12">
        <f t="shared" ca="1" si="35"/>
        <v>99.100945821854907</v>
      </c>
      <c r="CE174" s="12">
        <f t="shared" ca="1" si="36"/>
        <v>9.91009458218549</v>
      </c>
      <c r="CS174" s="32"/>
      <c r="CT174" s="32"/>
      <c r="CU174" s="33"/>
      <c r="CV174" s="32"/>
      <c r="CW174" s="32"/>
      <c r="CX174" s="32"/>
      <c r="CY174" s="34"/>
      <c r="CZ174" s="35"/>
      <c r="DA174" s="33"/>
      <c r="DB174" s="33"/>
      <c r="DC174" s="33"/>
      <c r="DD174" s="33"/>
      <c r="DE174" s="33"/>
      <c r="DF174" s="33"/>
      <c r="DG174" s="33"/>
      <c r="DH174" s="34"/>
      <c r="DI174" s="35"/>
      <c r="DJ174" s="33"/>
      <c r="DK174" s="33"/>
      <c r="DL174" s="33"/>
      <c r="DM174" s="33"/>
      <c r="DN174" s="12">
        <v>5402062</v>
      </c>
      <c r="DS174" s="21"/>
      <c r="DT174" s="21"/>
      <c r="DU174" s="21"/>
    </row>
    <row r="175" spans="53:125" ht="13.5" customHeight="1">
      <c r="BA175" s="3"/>
      <c r="BB175" s="3"/>
      <c r="BC175" s="3"/>
      <c r="BT175" s="12">
        <v>5500062</v>
      </c>
      <c r="BU175" s="3">
        <f>[1]monsters!$N175</f>
        <v>209.07</v>
      </c>
      <c r="BV175" s="3">
        <f>[1]monsters!$O175</f>
        <v>20.91</v>
      </c>
      <c r="BW175" s="3">
        <f>[1]monsters!$P175</f>
        <v>1371.43</v>
      </c>
      <c r="BX175" s="3">
        <f>[1]monsters!$Q175</f>
        <v>137.13999999999999</v>
      </c>
      <c r="BY175" s="3">
        <f>[1]monsters!$R175</f>
        <v>26.13</v>
      </c>
      <c r="BZ175" s="3">
        <f>[1]monsters!$S175</f>
        <v>2.61</v>
      </c>
      <c r="CA175" s="3">
        <f>[1]monsters!$K175</f>
        <v>1.4000000000000001</v>
      </c>
      <c r="CB175" s="12">
        <f>[1]monsters!$D175</f>
        <v>5</v>
      </c>
      <c r="CC175" s="12">
        <f t="shared" ca="1" si="34"/>
        <v>0.1</v>
      </c>
      <c r="CD175" s="12">
        <f t="shared" ca="1" si="35"/>
        <v>92.638033670033707</v>
      </c>
      <c r="CE175" s="12">
        <f t="shared" ca="1" si="36"/>
        <v>9.2638033670033693</v>
      </c>
      <c r="CS175" s="32"/>
      <c r="CT175" s="32"/>
      <c r="CU175" s="33"/>
      <c r="CV175" s="32"/>
      <c r="CW175" s="32"/>
      <c r="CX175" s="32"/>
      <c r="CY175" s="34"/>
      <c r="CZ175" s="35"/>
      <c r="DA175" s="33"/>
      <c r="DB175" s="33"/>
      <c r="DC175" s="33"/>
      <c r="DD175" s="33"/>
      <c r="DE175" s="33"/>
      <c r="DF175" s="33"/>
      <c r="DG175" s="33"/>
      <c r="DH175" s="34"/>
      <c r="DI175" s="35"/>
      <c r="DJ175" s="33"/>
      <c r="DK175" s="33"/>
      <c r="DL175" s="33"/>
      <c r="DM175" s="33"/>
      <c r="DN175" s="12">
        <v>5500062</v>
      </c>
      <c r="DS175" s="21"/>
      <c r="DT175" s="21"/>
      <c r="DU175" s="21"/>
    </row>
    <row r="176" spans="53:125" ht="13.5" customHeight="1">
      <c r="BA176" s="3"/>
      <c r="BB176" s="3"/>
      <c r="BC176" s="3"/>
      <c r="BT176" s="12">
        <v>5502062</v>
      </c>
      <c r="BU176" s="3">
        <f>[1]monsters!$N176</f>
        <v>248</v>
      </c>
      <c r="BV176" s="3">
        <f>[1]monsters!$O176</f>
        <v>24.8</v>
      </c>
      <c r="BW176" s="3">
        <f>[1]monsters!$P176</f>
        <v>1238.71</v>
      </c>
      <c r="BX176" s="3">
        <f>[1]monsters!$Q176</f>
        <v>123.87</v>
      </c>
      <c r="BY176" s="3">
        <f>[1]monsters!$R176</f>
        <v>24.8</v>
      </c>
      <c r="BZ176" s="3">
        <f>[1]monsters!$S176</f>
        <v>2.48</v>
      </c>
      <c r="CA176" s="3">
        <f>[1]monsters!$K176</f>
        <v>1.5</v>
      </c>
      <c r="CB176" s="12">
        <f>[1]monsters!$D176</f>
        <v>6</v>
      </c>
      <c r="CC176" s="12">
        <f t="shared" ca="1" si="34"/>
        <v>0.1</v>
      </c>
      <c r="CD176" s="12">
        <f t="shared" ca="1" si="35"/>
        <v>92.638033670033707</v>
      </c>
      <c r="CE176" s="12">
        <f t="shared" ca="1" si="36"/>
        <v>9.2638033670033693</v>
      </c>
      <c r="CS176" s="32"/>
      <c r="CT176" s="32"/>
      <c r="CU176" s="33"/>
      <c r="CV176" s="32"/>
      <c r="CW176" s="32"/>
      <c r="CX176" s="32"/>
      <c r="CY176" s="34"/>
      <c r="CZ176" s="35"/>
      <c r="DA176" s="33"/>
      <c r="DB176" s="33"/>
      <c r="DC176" s="33"/>
      <c r="DD176" s="33"/>
      <c r="DE176" s="33"/>
      <c r="DF176" s="33"/>
      <c r="DG176" s="33"/>
      <c r="DH176" s="34"/>
      <c r="DI176" s="35"/>
      <c r="DJ176" s="33"/>
      <c r="DK176" s="33"/>
      <c r="DL176" s="33"/>
      <c r="DM176" s="33"/>
      <c r="DN176" s="12">
        <v>5502062</v>
      </c>
      <c r="DS176" s="21"/>
      <c r="DT176" s="21"/>
      <c r="DU176" s="21"/>
    </row>
    <row r="177" spans="53:125" ht="13.5" customHeight="1">
      <c r="BA177" s="3"/>
      <c r="BB177" s="3"/>
      <c r="BC177" s="3"/>
      <c r="BT177" s="12">
        <v>5600062</v>
      </c>
      <c r="BU177" s="3">
        <f>[1]monsters!$N177</f>
        <v>160</v>
      </c>
      <c r="BV177" s="3">
        <f>[1]monsters!$O177</f>
        <v>16</v>
      </c>
      <c r="BW177" s="3">
        <f>[1]monsters!$P177</f>
        <v>1920</v>
      </c>
      <c r="BX177" s="3">
        <f>[1]monsters!$Q177</f>
        <v>192</v>
      </c>
      <c r="BY177" s="3">
        <f>[1]monsters!$R177</f>
        <v>40</v>
      </c>
      <c r="BZ177" s="3">
        <f>[1]monsters!$S177</f>
        <v>4</v>
      </c>
      <c r="CA177" s="3">
        <f>[1]monsters!$K177</f>
        <v>1.5</v>
      </c>
      <c r="CB177" s="12">
        <f>[1]monsters!$D177</f>
        <v>2</v>
      </c>
      <c r="CC177" s="12">
        <f t="shared" ca="1" si="34"/>
        <v>0.1</v>
      </c>
      <c r="CD177" s="12">
        <f t="shared" ca="1" si="35"/>
        <v>89.544040404040402</v>
      </c>
      <c r="CE177" s="12">
        <f t="shared" ca="1" si="36"/>
        <v>8.9544040404040395</v>
      </c>
      <c r="CS177" s="32"/>
      <c r="CT177" s="32"/>
      <c r="CU177" s="33"/>
      <c r="CV177" s="32"/>
      <c r="CW177" s="32"/>
      <c r="CX177" s="32"/>
      <c r="CY177" s="34"/>
      <c r="CZ177" s="35"/>
      <c r="DA177" s="33"/>
      <c r="DB177" s="33"/>
      <c r="DC177" s="33"/>
      <c r="DD177" s="33"/>
      <c r="DE177" s="33"/>
      <c r="DF177" s="33"/>
      <c r="DG177" s="33"/>
      <c r="DH177" s="34"/>
      <c r="DI177" s="35"/>
      <c r="DJ177" s="33"/>
      <c r="DK177" s="33"/>
      <c r="DL177" s="33"/>
      <c r="DM177" s="33"/>
      <c r="DN177" s="12">
        <v>5600062</v>
      </c>
      <c r="DS177" s="21"/>
      <c r="DT177" s="21"/>
      <c r="DU177" s="21"/>
    </row>
    <row r="178" spans="53:125" ht="13.5" customHeight="1">
      <c r="BA178" s="3"/>
      <c r="BB178" s="3"/>
      <c r="BC178" s="3"/>
      <c r="BT178" s="12">
        <v>5602062</v>
      </c>
      <c r="BU178" s="3">
        <f>[1]monsters!$N178</f>
        <v>153.6</v>
      </c>
      <c r="BV178" s="3">
        <f>[1]monsters!$O178</f>
        <v>15.36</v>
      </c>
      <c r="BW178" s="3">
        <f>[1]monsters!$P178</f>
        <v>2400</v>
      </c>
      <c r="BX178" s="3">
        <f>[1]monsters!$Q178</f>
        <v>240</v>
      </c>
      <c r="BY178" s="3">
        <f>[1]monsters!$R178</f>
        <v>51.2</v>
      </c>
      <c r="BZ178" s="3">
        <f>[1]monsters!$S178</f>
        <v>5.12</v>
      </c>
      <c r="CA178" s="3">
        <f>[1]monsters!$K178</f>
        <v>1.8</v>
      </c>
      <c r="CB178" s="12">
        <f>[1]monsters!$D178</f>
        <v>2</v>
      </c>
      <c r="CC178" s="12">
        <f t="shared" ca="1" si="34"/>
        <v>0.1</v>
      </c>
      <c r="CD178" s="12">
        <f t="shared" ca="1" si="35"/>
        <v>116.00404040404</v>
      </c>
      <c r="CE178" s="12">
        <f t="shared" ca="1" si="36"/>
        <v>11.600404040403999</v>
      </c>
      <c r="CS178" s="32"/>
      <c r="CT178" s="32"/>
      <c r="CU178" s="33"/>
      <c r="CV178" s="32"/>
      <c r="CW178" s="32"/>
      <c r="CX178" s="32"/>
      <c r="CY178" s="34"/>
      <c r="CZ178" s="35"/>
      <c r="DA178" s="33"/>
      <c r="DB178" s="33"/>
      <c r="DC178" s="33"/>
      <c r="DD178" s="33"/>
      <c r="DE178" s="33"/>
      <c r="DF178" s="33"/>
      <c r="DG178" s="33"/>
      <c r="DH178" s="34"/>
      <c r="DI178" s="35"/>
      <c r="DJ178" s="33"/>
      <c r="DK178" s="33"/>
      <c r="DL178" s="33"/>
      <c r="DM178" s="33"/>
      <c r="DN178" s="12">
        <v>5602062</v>
      </c>
      <c r="DS178" s="21"/>
      <c r="DT178" s="21"/>
      <c r="DU178" s="21"/>
    </row>
    <row r="179" spans="53:125" ht="13.5" customHeight="1">
      <c r="BA179" s="3"/>
      <c r="BB179" s="3"/>
      <c r="BC179" s="3"/>
      <c r="BT179" s="12">
        <v>5200063</v>
      </c>
      <c r="BU179" s="3">
        <f>[1]monsters!$N179</f>
        <v>172.8</v>
      </c>
      <c r="BV179" s="3">
        <f>[1]monsters!$O179</f>
        <v>17.28</v>
      </c>
      <c r="BW179" s="3">
        <f>[1]monsters!$P179</f>
        <v>2133.33</v>
      </c>
      <c r="BX179" s="3">
        <f>[1]monsters!$Q179</f>
        <v>213.33</v>
      </c>
      <c r="BY179" s="3">
        <f>[1]monsters!$R179</f>
        <v>34.56</v>
      </c>
      <c r="BZ179" s="3">
        <f>[1]monsters!$S179</f>
        <v>3.46</v>
      </c>
      <c r="CA179" s="3">
        <f>[1]monsters!$K179</f>
        <v>1.8</v>
      </c>
      <c r="CB179" s="12">
        <f>[1]monsters!$D179</f>
        <v>2</v>
      </c>
      <c r="CC179" s="12">
        <f t="shared" ca="1" si="34"/>
        <v>0.1</v>
      </c>
      <c r="CD179" s="12">
        <f t="shared" ca="1" si="35"/>
        <v>95.865050505050505</v>
      </c>
      <c r="CE179" s="12">
        <f t="shared" ca="1" si="36"/>
        <v>9.5865050505050498</v>
      </c>
      <c r="CS179" s="32"/>
      <c r="CT179" s="32"/>
      <c r="CU179" s="33"/>
      <c r="CV179" s="32"/>
      <c r="CW179" s="32"/>
      <c r="CX179" s="32"/>
      <c r="CY179" s="34"/>
      <c r="CZ179" s="35"/>
      <c r="DA179" s="33"/>
      <c r="DB179" s="33"/>
      <c r="DC179" s="33"/>
      <c r="DD179" s="33"/>
      <c r="DE179" s="33"/>
      <c r="DF179" s="33"/>
      <c r="DG179" s="33"/>
      <c r="DH179" s="34"/>
      <c r="DI179" s="35"/>
      <c r="DJ179" s="33"/>
      <c r="DK179" s="33"/>
      <c r="DL179" s="33"/>
      <c r="DM179" s="33"/>
      <c r="DN179" s="12">
        <v>5200063</v>
      </c>
      <c r="DS179" s="21"/>
      <c r="DT179" s="21"/>
      <c r="DU179" s="21"/>
    </row>
    <row r="180" spans="53:125" ht="13.5" customHeight="1">
      <c r="BA180" s="3"/>
      <c r="BB180" s="3"/>
      <c r="BC180" s="3"/>
      <c r="BT180" s="12">
        <v>5202063</v>
      </c>
      <c r="BU180" s="3">
        <f>[1]monsters!$N180</f>
        <v>115.2</v>
      </c>
      <c r="BV180" s="3">
        <f>[1]monsters!$O180</f>
        <v>11.52</v>
      </c>
      <c r="BW180" s="3">
        <f>[1]monsters!$P180</f>
        <v>2133.33</v>
      </c>
      <c r="BX180" s="3">
        <f>[1]monsters!$Q180</f>
        <v>213.33</v>
      </c>
      <c r="BY180" s="3">
        <f>[1]monsters!$R180</f>
        <v>23.04</v>
      </c>
      <c r="BZ180" s="3">
        <f>[1]monsters!$S180</f>
        <v>2.2999999999999998</v>
      </c>
      <c r="CA180" s="3">
        <f>[1]monsters!$K180</f>
        <v>1.2</v>
      </c>
      <c r="CB180" s="12">
        <f>[1]monsters!$D180</f>
        <v>3</v>
      </c>
      <c r="CC180" s="12">
        <f t="shared" ca="1" si="34"/>
        <v>0.1</v>
      </c>
      <c r="CD180" s="12">
        <f t="shared" ca="1" si="35"/>
        <v>110.98505050505101</v>
      </c>
      <c r="CE180" s="12">
        <f t="shared" ca="1" si="36"/>
        <v>11.0985050505051</v>
      </c>
      <c r="CS180" s="32"/>
      <c r="CT180" s="32"/>
      <c r="CU180" s="33"/>
      <c r="CV180" s="32"/>
      <c r="CW180" s="32"/>
      <c r="CX180" s="32"/>
      <c r="CY180" s="34"/>
      <c r="CZ180" s="35"/>
      <c r="DA180" s="33"/>
      <c r="DB180" s="33"/>
      <c r="DC180" s="33"/>
      <c r="DD180" s="33"/>
      <c r="DE180" s="33"/>
      <c r="DF180" s="33"/>
      <c r="DG180" s="33"/>
      <c r="DH180" s="34"/>
      <c r="DI180" s="35"/>
      <c r="DJ180" s="33"/>
      <c r="DK180" s="33"/>
      <c r="DL180" s="33"/>
      <c r="DM180" s="33"/>
      <c r="DN180" s="12">
        <v>5202063</v>
      </c>
      <c r="DS180" s="21"/>
      <c r="DT180" s="21"/>
      <c r="DU180" s="21"/>
    </row>
    <row r="181" spans="53:125" ht="13.5" customHeight="1">
      <c r="BA181" s="3"/>
      <c r="BB181" s="3"/>
      <c r="BC181" s="3"/>
      <c r="BT181" s="12">
        <v>5302063</v>
      </c>
      <c r="BU181" s="3">
        <f>[1]monsters!$N181</f>
        <v>204.8</v>
      </c>
      <c r="BV181" s="3">
        <f>[1]monsters!$O181</f>
        <v>20.48</v>
      </c>
      <c r="BW181" s="3">
        <f>[1]monsters!$P181</f>
        <v>1600</v>
      </c>
      <c r="BX181" s="3">
        <f>[1]monsters!$Q181</f>
        <v>160</v>
      </c>
      <c r="BY181" s="3">
        <f>[1]monsters!$R181</f>
        <v>29.26</v>
      </c>
      <c r="BZ181" s="3">
        <f>[1]monsters!$S181</f>
        <v>2.93</v>
      </c>
      <c r="CA181" s="3">
        <f>[1]monsters!$K181</f>
        <v>1.6</v>
      </c>
      <c r="CB181" s="12">
        <f>[1]monsters!$D181</f>
        <v>4</v>
      </c>
      <c r="CC181" s="12">
        <f t="shared" ca="1" si="34"/>
        <v>0.1</v>
      </c>
      <c r="CD181" s="12">
        <f t="shared" ca="1" si="35"/>
        <v>85.717378226711403</v>
      </c>
      <c r="CE181" s="12">
        <f t="shared" ca="1" si="36"/>
        <v>8.5717378226711407</v>
      </c>
      <c r="CS181" s="32"/>
      <c r="CT181" s="32"/>
      <c r="CU181" s="33"/>
      <c r="CV181" s="32"/>
      <c r="CW181" s="32"/>
      <c r="CX181" s="32"/>
      <c r="CY181" s="34"/>
      <c r="CZ181" s="35"/>
      <c r="DA181" s="33"/>
      <c r="DB181" s="33"/>
      <c r="DC181" s="33"/>
      <c r="DD181" s="33"/>
      <c r="DE181" s="33"/>
      <c r="DF181" s="33"/>
      <c r="DG181" s="33"/>
      <c r="DH181" s="34"/>
      <c r="DI181" s="35"/>
      <c r="DJ181" s="33"/>
      <c r="DK181" s="33"/>
      <c r="DL181" s="33"/>
      <c r="DM181" s="33"/>
      <c r="DN181" s="12">
        <v>5302063</v>
      </c>
      <c r="DS181" s="21"/>
      <c r="DT181" s="21"/>
      <c r="DU181" s="21"/>
    </row>
    <row r="182" spans="53:125" ht="13.5" customHeight="1">
      <c r="BA182" s="3"/>
      <c r="BB182" s="3"/>
      <c r="BC182" s="3"/>
      <c r="BT182" s="12">
        <v>5301063</v>
      </c>
      <c r="BU182" s="3">
        <f>[1]monsters!$N182</f>
        <v>192</v>
      </c>
      <c r="BV182" s="3">
        <f>[1]monsters!$O182</f>
        <v>19.2</v>
      </c>
      <c r="BW182" s="3">
        <f>[1]monsters!$P182</f>
        <v>1600</v>
      </c>
      <c r="BX182" s="3">
        <f>[1]monsters!$Q182</f>
        <v>160</v>
      </c>
      <c r="BY182" s="3">
        <f>[1]monsters!$R182</f>
        <v>27.43</v>
      </c>
      <c r="BZ182" s="3">
        <f>[1]monsters!$S182</f>
        <v>2.74</v>
      </c>
      <c r="CA182" s="3">
        <f>[1]monsters!$K182</f>
        <v>1.5</v>
      </c>
      <c r="CB182" s="12">
        <f>[1]monsters!$D182</f>
        <v>4</v>
      </c>
      <c r="CC182" s="12">
        <f t="shared" ca="1" si="34"/>
        <v>0.1</v>
      </c>
      <c r="CD182" s="12">
        <f t="shared" ca="1" si="35"/>
        <v>89.119378226711405</v>
      </c>
      <c r="CE182" s="12">
        <f t="shared" ca="1" si="36"/>
        <v>8.9119378226711508</v>
      </c>
      <c r="CS182" s="32"/>
      <c r="CT182" s="32"/>
      <c r="CU182" s="33"/>
      <c r="CV182" s="32"/>
      <c r="CW182" s="32"/>
      <c r="CX182" s="32"/>
      <c r="CY182" s="34"/>
      <c r="CZ182" s="35"/>
      <c r="DA182" s="33"/>
      <c r="DB182" s="33"/>
      <c r="DC182" s="33"/>
      <c r="DD182" s="33"/>
      <c r="DE182" s="33"/>
      <c r="DF182" s="33"/>
      <c r="DG182" s="33"/>
      <c r="DH182" s="34"/>
      <c r="DI182" s="35"/>
      <c r="DJ182" s="33"/>
      <c r="DK182" s="33"/>
      <c r="DL182" s="33"/>
      <c r="DM182" s="33"/>
      <c r="DN182" s="12">
        <v>5301063</v>
      </c>
      <c r="DS182" s="21"/>
      <c r="DT182" s="21"/>
      <c r="DU182" s="21"/>
    </row>
    <row r="183" spans="53:125" ht="13.5" customHeight="1">
      <c r="BA183" s="3"/>
      <c r="BB183" s="3"/>
      <c r="BC183" s="3"/>
      <c r="BT183" s="12">
        <v>5400063</v>
      </c>
      <c r="BU183" s="3">
        <f>[1]monsters!$N183</f>
        <v>224</v>
      </c>
      <c r="BV183" s="3">
        <f>[1]monsters!$O183</f>
        <v>22.4</v>
      </c>
      <c r="BW183" s="3">
        <f>[1]monsters!$P183</f>
        <v>1371.43</v>
      </c>
      <c r="BX183" s="3">
        <f>[1]monsters!$Q183</f>
        <v>137.13999999999999</v>
      </c>
      <c r="BY183" s="3">
        <f>[1]monsters!$R183</f>
        <v>28</v>
      </c>
      <c r="BZ183" s="3">
        <f>[1]monsters!$S183</f>
        <v>2.8</v>
      </c>
      <c r="CA183" s="3">
        <f>[1]monsters!$K183</f>
        <v>1.5</v>
      </c>
      <c r="CB183" s="12">
        <f>[1]monsters!$D183</f>
        <v>5</v>
      </c>
      <c r="CC183" s="12">
        <f t="shared" ca="1" si="34"/>
        <v>0.1</v>
      </c>
      <c r="CD183" s="12">
        <f t="shared" ca="1" si="35"/>
        <v>86.626945821854903</v>
      </c>
      <c r="CE183" s="12">
        <f t="shared" ca="1" si="36"/>
        <v>8.6626945821854893</v>
      </c>
      <c r="CS183" s="32"/>
      <c r="CT183" s="32"/>
      <c r="CU183" s="33"/>
      <c r="CV183" s="32"/>
      <c r="CW183" s="32"/>
      <c r="CX183" s="32"/>
      <c r="CY183" s="34"/>
      <c r="CZ183" s="35"/>
      <c r="DA183" s="33"/>
      <c r="DB183" s="33"/>
      <c r="DC183" s="33"/>
      <c r="DD183" s="33"/>
      <c r="DE183" s="33"/>
      <c r="DF183" s="33"/>
      <c r="DG183" s="33"/>
      <c r="DH183" s="34"/>
      <c r="DI183" s="35"/>
      <c r="DJ183" s="33"/>
      <c r="DK183" s="33"/>
      <c r="DL183" s="33"/>
      <c r="DM183" s="33"/>
      <c r="DN183" s="12">
        <v>5400063</v>
      </c>
      <c r="DS183" s="21"/>
      <c r="DT183" s="21"/>
      <c r="DU183" s="21"/>
    </row>
    <row r="184" spans="53:125" ht="13.5" customHeight="1">
      <c r="BA184" s="3"/>
      <c r="BB184" s="3"/>
      <c r="BC184" s="3"/>
      <c r="BT184" s="12">
        <v>5401063</v>
      </c>
      <c r="BU184" s="3">
        <f>[1]monsters!$N184</f>
        <v>209.07</v>
      </c>
      <c r="BV184" s="3">
        <f>[1]monsters!$O184</f>
        <v>20.91</v>
      </c>
      <c r="BW184" s="3">
        <f>[1]monsters!$P184</f>
        <v>1371.43</v>
      </c>
      <c r="BX184" s="3">
        <f>[1]monsters!$Q184</f>
        <v>137.13999999999999</v>
      </c>
      <c r="BY184" s="3">
        <f>[1]monsters!$R184</f>
        <v>26.13</v>
      </c>
      <c r="BZ184" s="3">
        <f>[1]monsters!$S184</f>
        <v>2.61</v>
      </c>
      <c r="CA184" s="3">
        <f>[1]monsters!$K184</f>
        <v>1.4000000000000001</v>
      </c>
      <c r="CB184" s="12">
        <f>[1]monsters!$D184</f>
        <v>5</v>
      </c>
      <c r="CC184" s="12">
        <f t="shared" ca="1" si="34"/>
        <v>0.1</v>
      </c>
      <c r="CD184" s="12">
        <f t="shared" ca="1" si="35"/>
        <v>99.100945821854907</v>
      </c>
      <c r="CE184" s="12">
        <f t="shared" ca="1" si="36"/>
        <v>9.91009458218549</v>
      </c>
      <c r="CS184" s="32"/>
      <c r="CT184" s="32"/>
      <c r="CU184" s="33"/>
      <c r="CV184" s="32"/>
      <c r="CW184" s="32"/>
      <c r="CX184" s="32"/>
      <c r="CY184" s="34"/>
      <c r="CZ184" s="35"/>
      <c r="DA184" s="33"/>
      <c r="DB184" s="33"/>
      <c r="DC184" s="33"/>
      <c r="DD184" s="33"/>
      <c r="DE184" s="33"/>
      <c r="DF184" s="33"/>
      <c r="DG184" s="33"/>
      <c r="DH184" s="34"/>
      <c r="DI184" s="35"/>
      <c r="DJ184" s="33"/>
      <c r="DK184" s="33"/>
      <c r="DL184" s="33"/>
      <c r="DM184" s="33"/>
      <c r="DN184" s="12">
        <v>5401063</v>
      </c>
      <c r="DS184" s="21"/>
      <c r="DT184" s="21"/>
      <c r="DU184" s="21"/>
    </row>
    <row r="185" spans="53:125" ht="13.5" customHeight="1">
      <c r="BA185" s="3"/>
      <c r="BB185" s="3"/>
      <c r="BC185" s="3"/>
      <c r="BT185" s="12">
        <v>5501063</v>
      </c>
      <c r="BU185" s="3">
        <f>[1]monsters!$N185</f>
        <v>248</v>
      </c>
      <c r="BV185" s="3">
        <f>[1]monsters!$O185</f>
        <v>24.8</v>
      </c>
      <c r="BW185" s="3">
        <f>[1]monsters!$P185</f>
        <v>1238.71</v>
      </c>
      <c r="BX185" s="3">
        <f>[1]monsters!$Q185</f>
        <v>123.87</v>
      </c>
      <c r="BY185" s="3">
        <f>[1]monsters!$R185</f>
        <v>24.8</v>
      </c>
      <c r="BZ185" s="3">
        <f>[1]monsters!$S185</f>
        <v>2.48</v>
      </c>
      <c r="CA185" s="3">
        <f>[1]monsters!$K185</f>
        <v>1.5</v>
      </c>
      <c r="CB185" s="12">
        <f>[1]monsters!$D185</f>
        <v>6</v>
      </c>
      <c r="CC185" s="12">
        <f t="shared" ca="1" si="34"/>
        <v>0.1</v>
      </c>
      <c r="CD185" s="12">
        <f t="shared" ca="1" si="35"/>
        <v>106.246033670034</v>
      </c>
      <c r="CE185" s="12">
        <f t="shared" ca="1" si="36"/>
        <v>10.624603367003401</v>
      </c>
      <c r="CS185" s="32"/>
      <c r="CT185" s="32"/>
      <c r="CU185" s="33"/>
      <c r="CV185" s="32"/>
      <c r="CW185" s="32"/>
      <c r="CX185" s="32"/>
      <c r="CY185" s="34"/>
      <c r="CZ185" s="35"/>
      <c r="DA185" s="33"/>
      <c r="DB185" s="33"/>
      <c r="DC185" s="33"/>
      <c r="DD185" s="33"/>
      <c r="DE185" s="33"/>
      <c r="DF185" s="33"/>
      <c r="DG185" s="33"/>
      <c r="DH185" s="34"/>
      <c r="DI185" s="35"/>
      <c r="DJ185" s="33"/>
      <c r="DK185" s="33"/>
      <c r="DL185" s="33"/>
      <c r="DM185" s="33"/>
      <c r="DN185" s="12">
        <v>5501063</v>
      </c>
      <c r="DS185" s="21"/>
      <c r="DT185" s="21"/>
      <c r="DU185" s="21"/>
    </row>
    <row r="186" spans="53:125" ht="13.5" customHeight="1">
      <c r="BA186" s="3"/>
      <c r="BB186" s="3"/>
      <c r="BC186" s="3"/>
      <c r="BT186" s="12">
        <v>5502063</v>
      </c>
      <c r="BU186" s="3">
        <f>[1]monsters!$N186</f>
        <v>160</v>
      </c>
      <c r="BV186" s="3">
        <f>[1]monsters!$O186</f>
        <v>16</v>
      </c>
      <c r="BW186" s="3">
        <f>[1]monsters!$P186</f>
        <v>1920</v>
      </c>
      <c r="BX186" s="3">
        <f>[1]monsters!$Q186</f>
        <v>192</v>
      </c>
      <c r="BY186" s="3">
        <f>[1]monsters!$R186</f>
        <v>40</v>
      </c>
      <c r="BZ186" s="3">
        <f>[1]monsters!$S186</f>
        <v>4</v>
      </c>
      <c r="CA186" s="3">
        <f>[1]monsters!$K186</f>
        <v>1.5</v>
      </c>
      <c r="CB186" s="12">
        <f>[1]monsters!$D186</f>
        <v>2</v>
      </c>
      <c r="CC186" s="12">
        <f t="shared" ca="1" si="34"/>
        <v>0.1</v>
      </c>
      <c r="CD186" s="12">
        <f t="shared" ca="1" si="35"/>
        <v>92.638033670033707</v>
      </c>
      <c r="CE186" s="12">
        <f t="shared" ca="1" si="36"/>
        <v>9.2638033670033693</v>
      </c>
      <c r="CS186" s="32"/>
      <c r="CT186" s="32"/>
      <c r="CU186" s="33"/>
      <c r="CV186" s="32"/>
      <c r="CW186" s="32"/>
      <c r="CX186" s="32"/>
      <c r="CY186" s="34"/>
      <c r="CZ186" s="35"/>
      <c r="DA186" s="33"/>
      <c r="DB186" s="33"/>
      <c r="DC186" s="33"/>
      <c r="DD186" s="33"/>
      <c r="DE186" s="33"/>
      <c r="DF186" s="33"/>
      <c r="DG186" s="33"/>
      <c r="DH186" s="34"/>
      <c r="DI186" s="35"/>
      <c r="DJ186" s="33"/>
      <c r="DK186" s="33"/>
      <c r="DL186" s="33"/>
      <c r="DM186" s="33"/>
      <c r="DN186" s="12">
        <v>5502063</v>
      </c>
      <c r="DS186" s="21"/>
      <c r="DT186" s="21"/>
      <c r="DU186" s="21"/>
    </row>
    <row r="187" spans="53:125" ht="13.5" customHeight="1">
      <c r="BA187" s="3"/>
      <c r="BB187" s="3"/>
      <c r="BC187" s="3"/>
      <c r="BT187" s="12">
        <v>5600063</v>
      </c>
      <c r="BU187" s="3">
        <f>[1]monsters!$N187</f>
        <v>153.6</v>
      </c>
      <c r="BV187" s="3">
        <f>[1]monsters!$O187</f>
        <v>15.36</v>
      </c>
      <c r="BW187" s="3">
        <f>[1]monsters!$P187</f>
        <v>2400</v>
      </c>
      <c r="BX187" s="3">
        <f>[1]monsters!$Q187</f>
        <v>240</v>
      </c>
      <c r="BY187" s="3">
        <f>[1]monsters!$R187</f>
        <v>51.2</v>
      </c>
      <c r="BZ187" s="3">
        <f>[1]monsters!$S187</f>
        <v>5.12</v>
      </c>
      <c r="CA187" s="3">
        <f>[1]monsters!$K187</f>
        <v>1.8</v>
      </c>
      <c r="CB187" s="12">
        <f>[1]monsters!$D187</f>
        <v>2</v>
      </c>
      <c r="CC187" s="12">
        <f t="shared" ca="1" si="34"/>
        <v>0.1</v>
      </c>
      <c r="CD187" s="12">
        <f t="shared" ca="1" si="35"/>
        <v>89.544040404040402</v>
      </c>
      <c r="CE187" s="12">
        <f t="shared" ca="1" si="36"/>
        <v>8.9544040404040395</v>
      </c>
      <c r="CS187" s="32"/>
      <c r="CT187" s="32"/>
      <c r="CU187" s="33"/>
      <c r="CV187" s="32"/>
      <c r="CW187" s="32"/>
      <c r="CX187" s="32"/>
      <c r="CY187" s="34"/>
      <c r="CZ187" s="35"/>
      <c r="DA187" s="33"/>
      <c r="DB187" s="33"/>
      <c r="DC187" s="33"/>
      <c r="DD187" s="33"/>
      <c r="DE187" s="33"/>
      <c r="DF187" s="33"/>
      <c r="DG187" s="33"/>
      <c r="DH187" s="34"/>
      <c r="DI187" s="35"/>
      <c r="DJ187" s="33"/>
      <c r="DK187" s="33"/>
      <c r="DL187" s="33"/>
      <c r="DM187" s="33"/>
      <c r="DN187" s="12">
        <v>5600063</v>
      </c>
      <c r="DS187" s="21"/>
      <c r="DT187" s="21"/>
      <c r="DU187" s="21"/>
    </row>
    <row r="188" spans="53:125" ht="13.5" customHeight="1">
      <c r="BA188" s="3"/>
      <c r="BB188" s="3"/>
      <c r="BC188" s="3"/>
      <c r="BT188" s="12">
        <v>5601063</v>
      </c>
      <c r="BU188" s="3">
        <f>[1]monsters!$N188</f>
        <v>172.8</v>
      </c>
      <c r="BV188" s="3">
        <f>[1]monsters!$O188</f>
        <v>17.28</v>
      </c>
      <c r="BW188" s="3">
        <f>[1]monsters!$P188</f>
        <v>2133.33</v>
      </c>
      <c r="BX188" s="3">
        <f>[1]monsters!$Q188</f>
        <v>213.33</v>
      </c>
      <c r="BY188" s="3">
        <f>[1]monsters!$R188</f>
        <v>34.56</v>
      </c>
      <c r="BZ188" s="3">
        <f>[1]monsters!$S188</f>
        <v>3.46</v>
      </c>
      <c r="CA188" s="3">
        <f>[1]monsters!$K188</f>
        <v>1.8</v>
      </c>
      <c r="CB188" s="12">
        <f>[1]monsters!$D188</f>
        <v>2</v>
      </c>
      <c r="CC188" s="12">
        <f t="shared" ca="1" si="34"/>
        <v>0.1</v>
      </c>
      <c r="CD188" s="12">
        <f t="shared" ca="1" si="35"/>
        <v>97.104040404040404</v>
      </c>
      <c r="CE188" s="12">
        <f t="shared" ca="1" si="36"/>
        <v>9.7104040404040397</v>
      </c>
      <c r="CS188" s="32"/>
      <c r="CT188" s="32"/>
      <c r="CU188" s="33"/>
      <c r="CV188" s="32"/>
      <c r="CW188" s="32"/>
      <c r="CX188" s="32"/>
      <c r="CY188" s="34"/>
      <c r="CZ188" s="35"/>
      <c r="DA188" s="33"/>
      <c r="DB188" s="33"/>
      <c r="DC188" s="33"/>
      <c r="DD188" s="33"/>
      <c r="DE188" s="33"/>
      <c r="DF188" s="33"/>
      <c r="DG188" s="33"/>
      <c r="DH188" s="34"/>
      <c r="DI188" s="35"/>
      <c r="DJ188" s="33"/>
      <c r="DK188" s="33"/>
      <c r="DL188" s="33"/>
      <c r="DM188" s="33"/>
      <c r="DN188" s="12">
        <v>5601063</v>
      </c>
      <c r="DS188" s="21"/>
      <c r="DT188" s="21"/>
      <c r="DU188" s="21"/>
    </row>
    <row r="189" spans="53:125" ht="13.5" customHeight="1">
      <c r="BA189" s="3"/>
      <c r="BB189" s="3"/>
      <c r="BC189" s="3"/>
      <c r="BT189" s="12">
        <v>5200064</v>
      </c>
      <c r="BU189" s="3">
        <f>[1]monsters!$N189</f>
        <v>115.2</v>
      </c>
      <c r="BV189" s="3">
        <f>[1]monsters!$O189</f>
        <v>11.52</v>
      </c>
      <c r="BW189" s="3">
        <f>[1]monsters!$P189</f>
        <v>2133.33</v>
      </c>
      <c r="BX189" s="3">
        <f>[1]monsters!$Q189</f>
        <v>213.33</v>
      </c>
      <c r="BY189" s="3">
        <f>[1]monsters!$R189</f>
        <v>23.04</v>
      </c>
      <c r="BZ189" s="3">
        <f>[1]monsters!$S189</f>
        <v>2.2999999999999998</v>
      </c>
      <c r="CA189" s="3">
        <f>[1]monsters!$K189</f>
        <v>1.2</v>
      </c>
      <c r="CB189" s="12">
        <f>[1]monsters!$D189</f>
        <v>3</v>
      </c>
      <c r="CC189" s="12">
        <f t="shared" ca="1" si="34"/>
        <v>0.1</v>
      </c>
      <c r="CD189" s="12">
        <f t="shared" ca="1" si="35"/>
        <v>95.865050505050505</v>
      </c>
      <c r="CE189" s="12">
        <f t="shared" ca="1" si="36"/>
        <v>9.5865050505050498</v>
      </c>
      <c r="CS189" s="32"/>
      <c r="CT189" s="32"/>
      <c r="CU189" s="33"/>
      <c r="CV189" s="32"/>
      <c r="CW189" s="32"/>
      <c r="CX189" s="32"/>
      <c r="CY189" s="34"/>
      <c r="CZ189" s="35"/>
      <c r="DA189" s="33"/>
      <c r="DB189" s="33"/>
      <c r="DC189" s="33"/>
      <c r="DD189" s="33"/>
      <c r="DE189" s="33"/>
      <c r="DF189" s="33"/>
      <c r="DG189" s="33"/>
      <c r="DH189" s="34"/>
      <c r="DI189" s="35"/>
      <c r="DJ189" s="33"/>
      <c r="DK189" s="33"/>
      <c r="DL189" s="33"/>
      <c r="DM189" s="33"/>
      <c r="DN189" s="12">
        <v>5200064</v>
      </c>
      <c r="DS189" s="21"/>
      <c r="DT189" s="21"/>
      <c r="DU189" s="21"/>
    </row>
    <row r="190" spans="53:125" ht="13.5" customHeight="1">
      <c r="BA190" s="3"/>
      <c r="BB190" s="3"/>
      <c r="BC190" s="3"/>
      <c r="BT190" s="12">
        <v>5201064</v>
      </c>
      <c r="BU190" s="3">
        <f>[1]monsters!$N190</f>
        <v>204.8</v>
      </c>
      <c r="BV190" s="3">
        <f>[1]monsters!$O190</f>
        <v>20.48</v>
      </c>
      <c r="BW190" s="3">
        <f>[1]monsters!$P190</f>
        <v>1600</v>
      </c>
      <c r="BX190" s="3">
        <f>[1]monsters!$Q190</f>
        <v>160</v>
      </c>
      <c r="BY190" s="3">
        <f>[1]monsters!$R190</f>
        <v>29.26</v>
      </c>
      <c r="BZ190" s="3">
        <f>[1]monsters!$S190</f>
        <v>2.93</v>
      </c>
      <c r="CA190" s="3">
        <f>[1]monsters!$K190</f>
        <v>1.6</v>
      </c>
      <c r="CB190" s="12">
        <f>[1]monsters!$D190</f>
        <v>4</v>
      </c>
      <c r="CC190" s="12">
        <f t="shared" ca="1" si="34"/>
        <v>0.1</v>
      </c>
      <c r="CD190" s="12">
        <f t="shared" ca="1" si="35"/>
        <v>110.98505050505101</v>
      </c>
      <c r="CE190" s="12">
        <f t="shared" ca="1" si="36"/>
        <v>11.0985050505051</v>
      </c>
      <c r="CS190" s="32"/>
      <c r="CT190" s="32"/>
      <c r="CU190" s="33"/>
      <c r="CV190" s="32"/>
      <c r="CW190" s="32"/>
      <c r="CX190" s="32"/>
      <c r="CY190" s="34"/>
      <c r="CZ190" s="35"/>
      <c r="DA190" s="33"/>
      <c r="DB190" s="33"/>
      <c r="DC190" s="33"/>
      <c r="DD190" s="33"/>
      <c r="DE190" s="33"/>
      <c r="DF190" s="33"/>
      <c r="DG190" s="33"/>
      <c r="DH190" s="34"/>
      <c r="DI190" s="35"/>
      <c r="DJ190" s="33"/>
      <c r="DK190" s="33"/>
      <c r="DL190" s="33"/>
      <c r="DM190" s="33"/>
      <c r="DN190" s="12">
        <v>5201064</v>
      </c>
      <c r="DS190" s="21"/>
      <c r="DT190" s="21"/>
      <c r="DU190" s="21"/>
    </row>
    <row r="191" spans="53:125" ht="13.5" customHeight="1">
      <c r="BA191" s="3"/>
      <c r="BB191" s="3"/>
      <c r="BC191" s="3"/>
      <c r="BT191" s="12">
        <v>5300064</v>
      </c>
      <c r="BU191" s="3">
        <f>[1]monsters!$N191</f>
        <v>192</v>
      </c>
      <c r="BV191" s="3">
        <f>[1]monsters!$O191</f>
        <v>19.2</v>
      </c>
      <c r="BW191" s="3">
        <f>[1]monsters!$P191</f>
        <v>1600</v>
      </c>
      <c r="BX191" s="3">
        <f>[1]monsters!$Q191</f>
        <v>160</v>
      </c>
      <c r="BY191" s="3">
        <f>[1]monsters!$R191</f>
        <v>27.43</v>
      </c>
      <c r="BZ191" s="3">
        <f>[1]monsters!$S191</f>
        <v>2.74</v>
      </c>
      <c r="CA191" s="3">
        <f>[1]monsters!$K191</f>
        <v>1.5</v>
      </c>
      <c r="CB191" s="12">
        <f>[1]monsters!$D191</f>
        <v>4</v>
      </c>
      <c r="CC191" s="12">
        <f t="shared" ca="1" si="34"/>
        <v>0.1</v>
      </c>
      <c r="CD191" s="12">
        <f t="shared" ca="1" si="35"/>
        <v>89.119378226711405</v>
      </c>
      <c r="CE191" s="12">
        <f t="shared" ca="1" si="36"/>
        <v>8.9119378226711508</v>
      </c>
      <c r="CS191" s="32"/>
      <c r="CT191" s="32"/>
      <c r="CU191" s="33"/>
      <c r="CV191" s="32"/>
      <c r="CW191" s="32"/>
      <c r="CX191" s="32"/>
      <c r="CY191" s="34"/>
      <c r="CZ191" s="35"/>
      <c r="DA191" s="33"/>
      <c r="DB191" s="33"/>
      <c r="DC191" s="33"/>
      <c r="DD191" s="33"/>
      <c r="DE191" s="33"/>
      <c r="DF191" s="33"/>
      <c r="DG191" s="33"/>
      <c r="DH191" s="34"/>
      <c r="DI191" s="35"/>
      <c r="DJ191" s="33"/>
      <c r="DK191" s="33"/>
      <c r="DL191" s="33"/>
      <c r="DM191" s="33"/>
      <c r="DN191" s="12">
        <v>5300064</v>
      </c>
      <c r="DS191" s="21"/>
      <c r="DT191" s="21"/>
      <c r="DU191" s="21"/>
    </row>
    <row r="192" spans="53:125" ht="13.5" customHeight="1">
      <c r="BA192" s="3"/>
      <c r="BB192" s="3"/>
      <c r="BC192" s="3"/>
      <c r="BT192" s="12">
        <v>5301064</v>
      </c>
      <c r="BU192" s="3">
        <f>[1]monsters!$N192</f>
        <v>224</v>
      </c>
      <c r="BV192" s="3">
        <f>[1]monsters!$O192</f>
        <v>22.4</v>
      </c>
      <c r="BW192" s="3">
        <f>[1]monsters!$P192</f>
        <v>1371.43</v>
      </c>
      <c r="BX192" s="3">
        <f>[1]monsters!$Q192</f>
        <v>137.13999999999999</v>
      </c>
      <c r="BY192" s="3">
        <f>[1]monsters!$R192</f>
        <v>28</v>
      </c>
      <c r="BZ192" s="3">
        <f>[1]monsters!$S192</f>
        <v>2.8</v>
      </c>
      <c r="CA192" s="3">
        <f>[1]monsters!$K192</f>
        <v>1.5</v>
      </c>
      <c r="CB192" s="12">
        <f>[1]monsters!$D192</f>
        <v>5</v>
      </c>
      <c r="CC192" s="12">
        <f t="shared" ca="1" si="34"/>
        <v>0.1</v>
      </c>
      <c r="CD192" s="12">
        <f t="shared" ca="1" si="35"/>
        <v>89.119378226711405</v>
      </c>
      <c r="CE192" s="12">
        <f t="shared" ca="1" si="36"/>
        <v>8.9119378226711508</v>
      </c>
      <c r="CS192" s="32"/>
      <c r="CT192" s="32"/>
      <c r="CU192" s="33"/>
      <c r="CV192" s="32"/>
      <c r="CW192" s="32"/>
      <c r="CX192" s="32"/>
      <c r="CY192" s="34"/>
      <c r="CZ192" s="35"/>
      <c r="DA192" s="33"/>
      <c r="DB192" s="33"/>
      <c r="DC192" s="33"/>
      <c r="DD192" s="33"/>
      <c r="DE192" s="33"/>
      <c r="DF192" s="33"/>
      <c r="DG192" s="33"/>
      <c r="DH192" s="34"/>
      <c r="DI192" s="35"/>
      <c r="DJ192" s="33"/>
      <c r="DK192" s="33"/>
      <c r="DL192" s="33"/>
      <c r="DM192" s="33"/>
      <c r="DN192" s="12">
        <v>5301064</v>
      </c>
      <c r="DS192" s="21"/>
      <c r="DT192" s="21"/>
      <c r="DU192" s="21"/>
    </row>
    <row r="193" spans="53:125" ht="13.5" customHeight="1">
      <c r="BA193" s="3"/>
      <c r="BB193" s="3"/>
      <c r="BC193" s="3"/>
      <c r="BT193" s="12">
        <v>5401064</v>
      </c>
      <c r="BU193" s="3">
        <f>[1]monsters!$N193</f>
        <v>209.07</v>
      </c>
      <c r="BV193" s="3">
        <f>[1]monsters!$O193</f>
        <v>20.91</v>
      </c>
      <c r="BW193" s="3">
        <f>[1]monsters!$P193</f>
        <v>1371.43</v>
      </c>
      <c r="BX193" s="3">
        <f>[1]monsters!$Q193</f>
        <v>137.13999999999999</v>
      </c>
      <c r="BY193" s="3">
        <f>[1]monsters!$R193</f>
        <v>26.13</v>
      </c>
      <c r="BZ193" s="3">
        <f>[1]monsters!$S193</f>
        <v>2.61</v>
      </c>
      <c r="CA193" s="3">
        <f>[1]monsters!$K193</f>
        <v>1.4000000000000001</v>
      </c>
      <c r="CB193" s="12">
        <f>[1]monsters!$D193</f>
        <v>5</v>
      </c>
      <c r="CC193" s="12">
        <f t="shared" ca="1" si="34"/>
        <v>0.1</v>
      </c>
      <c r="CD193" s="12">
        <f t="shared" ca="1" si="35"/>
        <v>99.100945821854907</v>
      </c>
      <c r="CE193" s="12">
        <f t="shared" ca="1" si="36"/>
        <v>9.91009458218549</v>
      </c>
      <c r="CS193" s="32"/>
      <c r="CT193" s="32"/>
      <c r="CU193" s="33"/>
      <c r="CV193" s="32"/>
      <c r="CW193" s="32"/>
      <c r="CX193" s="32"/>
      <c r="CY193" s="34"/>
      <c r="CZ193" s="35"/>
      <c r="DA193" s="33"/>
      <c r="DB193" s="33"/>
      <c r="DC193" s="33"/>
      <c r="DD193" s="33"/>
      <c r="DE193" s="33"/>
      <c r="DF193" s="33"/>
      <c r="DG193" s="33"/>
      <c r="DH193" s="34"/>
      <c r="DI193" s="35"/>
      <c r="DJ193" s="33"/>
      <c r="DK193" s="33"/>
      <c r="DL193" s="33"/>
      <c r="DM193" s="33"/>
      <c r="DN193" s="12">
        <v>5401064</v>
      </c>
      <c r="DS193" s="21"/>
      <c r="DT193" s="21"/>
      <c r="DU193" s="21"/>
    </row>
    <row r="194" spans="53:125" ht="13.5" customHeight="1">
      <c r="BA194" s="3"/>
      <c r="BB194" s="3"/>
      <c r="BC194" s="3"/>
      <c r="BT194" s="12">
        <v>5402064</v>
      </c>
      <c r="BU194" s="3">
        <f>[1]monsters!$N194</f>
        <v>248</v>
      </c>
      <c r="BV194" s="3">
        <f>[1]monsters!$O194</f>
        <v>24.8</v>
      </c>
      <c r="BW194" s="3">
        <f>[1]monsters!$P194</f>
        <v>1238.71</v>
      </c>
      <c r="BX194" s="3">
        <f>[1]monsters!$Q194</f>
        <v>123.87</v>
      </c>
      <c r="BY194" s="3">
        <f>[1]monsters!$R194</f>
        <v>24.8</v>
      </c>
      <c r="BZ194" s="3">
        <f>[1]monsters!$S194</f>
        <v>2.48</v>
      </c>
      <c r="CA194" s="3">
        <f>[1]monsters!$K194</f>
        <v>1.5</v>
      </c>
      <c r="CB194" s="12">
        <f>[1]monsters!$D194</f>
        <v>6</v>
      </c>
      <c r="CC194" s="12">
        <f t="shared" ca="1" si="34"/>
        <v>0.1</v>
      </c>
      <c r="CD194" s="12">
        <f t="shared" ca="1" si="35"/>
        <v>99.100945821854907</v>
      </c>
      <c r="CE194" s="12">
        <f t="shared" ca="1" si="36"/>
        <v>9.91009458218549</v>
      </c>
      <c r="CS194" s="32"/>
      <c r="CT194" s="32"/>
      <c r="CU194" s="33"/>
      <c r="CV194" s="32"/>
      <c r="CW194" s="32"/>
      <c r="CX194" s="32"/>
      <c r="CY194" s="34"/>
      <c r="CZ194" s="34"/>
      <c r="DA194" s="34"/>
      <c r="DB194" s="33"/>
      <c r="DC194" s="33"/>
      <c r="DD194" s="33"/>
      <c r="DE194" s="33"/>
      <c r="DF194" s="33"/>
      <c r="DG194" s="33"/>
      <c r="DH194" s="34"/>
      <c r="DI194" s="34"/>
      <c r="DJ194" s="34"/>
      <c r="DK194" s="33"/>
      <c r="DL194" s="33"/>
      <c r="DM194" s="33"/>
      <c r="DN194" s="12">
        <v>5402064</v>
      </c>
      <c r="DS194" s="21"/>
      <c r="DT194" s="21"/>
      <c r="DU194" s="21"/>
    </row>
    <row r="195" spans="53:125" ht="13.5" customHeight="1">
      <c r="BA195" s="3"/>
      <c r="BB195" s="3"/>
      <c r="BC195" s="3"/>
      <c r="BT195" s="12">
        <v>5501064</v>
      </c>
      <c r="BU195" s="3">
        <f>[1]monsters!$N195</f>
        <v>153.6</v>
      </c>
      <c r="BV195" s="3">
        <f>[1]monsters!$O195</f>
        <v>15.36</v>
      </c>
      <c r="BW195" s="3">
        <f>[1]monsters!$P195</f>
        <v>2400</v>
      </c>
      <c r="BX195" s="3">
        <f>[1]monsters!$Q195</f>
        <v>240</v>
      </c>
      <c r="BY195" s="3">
        <f>[1]monsters!$R195</f>
        <v>51.2</v>
      </c>
      <c r="BZ195" s="3">
        <f>[1]monsters!$S195</f>
        <v>5.12</v>
      </c>
      <c r="CA195" s="3">
        <f>[1]monsters!$K195</f>
        <v>1.8</v>
      </c>
      <c r="CB195" s="12">
        <f>[1]monsters!$D195</f>
        <v>2</v>
      </c>
      <c r="CC195" s="12">
        <f t="shared" ca="1" si="34"/>
        <v>0.1</v>
      </c>
      <c r="CD195" s="12">
        <f t="shared" ca="1" si="35"/>
        <v>106.246033670034</v>
      </c>
      <c r="CE195" s="12">
        <f t="shared" ca="1" si="36"/>
        <v>10.624603367003401</v>
      </c>
      <c r="CS195" s="32"/>
      <c r="CT195" s="32"/>
      <c r="CU195" s="33"/>
      <c r="CV195" s="32"/>
      <c r="CW195" s="32"/>
      <c r="CX195" s="32"/>
      <c r="CY195" s="34"/>
      <c r="CZ195" s="34"/>
      <c r="DA195" s="34"/>
      <c r="DB195" s="33"/>
      <c r="DC195" s="33"/>
      <c r="DD195" s="33"/>
      <c r="DE195" s="33"/>
      <c r="DF195" s="33"/>
      <c r="DG195" s="33"/>
      <c r="DH195" s="34"/>
      <c r="DI195" s="34"/>
      <c r="DJ195" s="34"/>
      <c r="DK195" s="33"/>
      <c r="DL195" s="33"/>
      <c r="DM195" s="33"/>
      <c r="DN195" s="12">
        <v>5501064</v>
      </c>
      <c r="DS195" s="21"/>
      <c r="DT195" s="21"/>
      <c r="DU195" s="21"/>
    </row>
    <row r="196" spans="53:125" ht="13.5" customHeight="1">
      <c r="BA196" s="3"/>
      <c r="BB196" s="3"/>
      <c r="BC196" s="3"/>
      <c r="BT196" s="12">
        <v>5502064</v>
      </c>
      <c r="BU196" s="3">
        <f>[1]monsters!$N196</f>
        <v>134.4</v>
      </c>
      <c r="BV196" s="3">
        <f>[1]monsters!$O196</f>
        <v>13.44</v>
      </c>
      <c r="BW196" s="3">
        <f>[1]monsters!$P196</f>
        <v>2133.33</v>
      </c>
      <c r="BX196" s="3">
        <f>[1]monsters!$Q196</f>
        <v>213.33</v>
      </c>
      <c r="BY196" s="3">
        <f>[1]monsters!$R196</f>
        <v>26.88</v>
      </c>
      <c r="BZ196" s="3">
        <f>[1]monsters!$S196</f>
        <v>2.69</v>
      </c>
      <c r="CA196" s="3">
        <f>[1]monsters!$K196</f>
        <v>1.4000000000000001</v>
      </c>
      <c r="CB196" s="12">
        <f>[1]monsters!$D196</f>
        <v>3</v>
      </c>
      <c r="CC196" s="12">
        <f t="shared" ref="CC196:CC259" ca="1" si="37">INDEX($CK$5:$CK$10,MATCH($CC196,$CJ$5:$CJ$10))</f>
        <v>0.1</v>
      </c>
      <c r="CD196" s="12">
        <f t="shared" ca="1" si="35"/>
        <v>92.638033670033707</v>
      </c>
      <c r="CE196" s="12">
        <f t="shared" ca="1" si="36"/>
        <v>9.2638033670033693</v>
      </c>
      <c r="CS196" s="32"/>
      <c r="CT196" s="32"/>
      <c r="CU196" s="33"/>
      <c r="CV196" s="32"/>
      <c r="CW196" s="32"/>
      <c r="CX196" s="32"/>
      <c r="CY196" s="34"/>
      <c r="CZ196" s="34"/>
      <c r="DA196" s="34"/>
      <c r="DB196" s="33"/>
      <c r="DC196" s="33"/>
      <c r="DD196" s="33"/>
      <c r="DE196" s="33"/>
      <c r="DF196" s="33"/>
      <c r="DG196" s="33"/>
      <c r="DH196" s="34"/>
      <c r="DI196" s="34"/>
      <c r="DJ196" s="34"/>
      <c r="DK196" s="33"/>
      <c r="DL196" s="33"/>
      <c r="DM196" s="33"/>
      <c r="DN196" s="12">
        <v>5502064</v>
      </c>
      <c r="DS196" s="21"/>
      <c r="DT196" s="21"/>
      <c r="DU196" s="21"/>
    </row>
    <row r="197" spans="53:125" ht="13.5" customHeight="1">
      <c r="BA197" s="3"/>
      <c r="BB197" s="3"/>
      <c r="BC197" s="3"/>
      <c r="BT197" s="12">
        <v>5600064</v>
      </c>
      <c r="BU197" s="3">
        <f>[1]monsters!$N197</f>
        <v>238.93</v>
      </c>
      <c r="BV197" s="3">
        <f>[1]monsters!$O197</f>
        <v>23.89</v>
      </c>
      <c r="BW197" s="3">
        <f>[1]monsters!$P197</f>
        <v>1371.43</v>
      </c>
      <c r="BX197" s="3">
        <f>[1]monsters!$Q197</f>
        <v>137.13999999999999</v>
      </c>
      <c r="BY197" s="3">
        <f>[1]monsters!$R197</f>
        <v>29.87</v>
      </c>
      <c r="BZ197" s="3">
        <f>[1]monsters!$S197</f>
        <v>2.99</v>
      </c>
      <c r="CA197" s="3">
        <f>[1]monsters!$K197</f>
        <v>1.6</v>
      </c>
      <c r="CB197" s="12">
        <f>[1]monsters!$D197</f>
        <v>5</v>
      </c>
      <c r="CC197" s="12">
        <f t="shared" ca="1" si="37"/>
        <v>0.1</v>
      </c>
      <c r="CD197" s="12">
        <f t="shared" ref="CD197:CD260" ca="1" si="38">(BW197/33/(1-CC197)/(1-0)+BU197*(1+0.5*0.1)*0.9)</f>
        <v>89.544040404040402</v>
      </c>
      <c r="CE197" s="12">
        <f t="shared" ref="CE197:CE260" ca="1" si="39">(BW197/33/(1-CC197)/(1-0)+BU197*(1+0.5*0.1)*0.9)*0.1</f>
        <v>8.9544040404040395</v>
      </c>
      <c r="CS197" s="32"/>
      <c r="CT197" s="32"/>
      <c r="CU197" s="33"/>
      <c r="CV197" s="32"/>
      <c r="CW197" s="32"/>
      <c r="CX197" s="32"/>
      <c r="CY197" s="34"/>
      <c r="CZ197" s="34"/>
      <c r="DA197" s="34"/>
      <c r="DB197" s="33"/>
      <c r="DC197" s="33"/>
      <c r="DD197" s="33"/>
      <c r="DE197" s="33"/>
      <c r="DF197" s="33"/>
      <c r="DG197" s="33"/>
      <c r="DH197" s="34"/>
      <c r="DI197" s="34"/>
      <c r="DJ197" s="34"/>
      <c r="DK197" s="33"/>
      <c r="DL197" s="33"/>
      <c r="DM197" s="33"/>
      <c r="DN197" s="12">
        <v>5600064</v>
      </c>
      <c r="DS197" s="21"/>
      <c r="DT197" s="21"/>
      <c r="DU197" s="21"/>
    </row>
    <row r="198" spans="53:125" ht="13.5" customHeight="1">
      <c r="BA198" s="3"/>
      <c r="BB198" s="3"/>
      <c r="BC198" s="3"/>
      <c r="BT198" s="12">
        <v>5601064</v>
      </c>
      <c r="BU198" s="3">
        <f>[1]monsters!$N198</f>
        <v>231.47</v>
      </c>
      <c r="BV198" s="3">
        <f>[1]monsters!$O198</f>
        <v>23.15</v>
      </c>
      <c r="BW198" s="3">
        <f>[1]monsters!$P198</f>
        <v>1238.71</v>
      </c>
      <c r="BX198" s="3">
        <f>[1]monsters!$Q198</f>
        <v>123.87</v>
      </c>
      <c r="BY198" s="3">
        <f>[1]monsters!$R198</f>
        <v>23.15</v>
      </c>
      <c r="BZ198" s="3">
        <f>[1]monsters!$S198</f>
        <v>2.31</v>
      </c>
      <c r="CA198" s="3">
        <f>[1]monsters!$K198</f>
        <v>1.4000000000000001</v>
      </c>
      <c r="CB198" s="12">
        <f>[1]monsters!$D198</f>
        <v>6</v>
      </c>
      <c r="CC198" s="12">
        <f t="shared" ca="1" si="37"/>
        <v>0.1</v>
      </c>
      <c r="CD198" s="12">
        <f t="shared" ca="1" si="38"/>
        <v>97.104040404040404</v>
      </c>
      <c r="CE198" s="12">
        <f t="shared" ca="1" si="39"/>
        <v>9.7104040404040397</v>
      </c>
      <c r="CS198" s="32"/>
      <c r="CT198" s="32"/>
      <c r="CU198" s="33"/>
      <c r="CV198" s="32"/>
      <c r="CW198" s="32"/>
      <c r="CX198" s="32"/>
      <c r="CY198" s="34"/>
      <c r="CZ198" s="34"/>
      <c r="DA198" s="34"/>
      <c r="DB198" s="33"/>
      <c r="DC198" s="33"/>
      <c r="DD198" s="33"/>
      <c r="DE198" s="33"/>
      <c r="DF198" s="33"/>
      <c r="DG198" s="33"/>
      <c r="DH198" s="34"/>
      <c r="DI198" s="34"/>
      <c r="DJ198" s="34"/>
      <c r="DK198" s="33"/>
      <c r="DL198" s="33"/>
      <c r="DM198" s="33"/>
      <c r="DN198" s="12">
        <v>5601064</v>
      </c>
      <c r="DS198" s="21"/>
      <c r="DT198" s="21"/>
      <c r="DU198" s="21"/>
    </row>
    <row r="199" spans="53:125" ht="13.5" customHeight="1">
      <c r="BA199" s="3"/>
      <c r="BB199" s="3"/>
      <c r="BC199" s="3"/>
      <c r="BT199" s="12">
        <v>5201065</v>
      </c>
      <c r="BU199" s="3">
        <f>[1]monsters!$N199</f>
        <v>297.60000000000002</v>
      </c>
      <c r="BV199" s="3">
        <f>[1]monsters!$O199</f>
        <v>29.76</v>
      </c>
      <c r="BW199" s="3">
        <f>[1]monsters!$P199</f>
        <v>1238.71</v>
      </c>
      <c r="BX199" s="3">
        <f>[1]monsters!$Q199</f>
        <v>123.87</v>
      </c>
      <c r="BY199" s="3">
        <f>[1]monsters!$R199</f>
        <v>29.76</v>
      </c>
      <c r="BZ199" s="3">
        <f>[1]monsters!$S199</f>
        <v>2.98</v>
      </c>
      <c r="CA199" s="3">
        <f>[1]monsters!$K199</f>
        <v>1.8</v>
      </c>
      <c r="CB199" s="12">
        <f>[1]monsters!$D199</f>
        <v>6</v>
      </c>
      <c r="CC199" s="12">
        <f t="shared" ca="1" si="37"/>
        <v>0.1</v>
      </c>
      <c r="CD199" s="12">
        <f t="shared" ca="1" si="38"/>
        <v>110.98505050505101</v>
      </c>
      <c r="CE199" s="12">
        <f t="shared" ca="1" si="39"/>
        <v>11.0985050505051</v>
      </c>
      <c r="CS199" s="32"/>
      <c r="CT199" s="32"/>
      <c r="CU199" s="33"/>
      <c r="CV199" s="32"/>
      <c r="CW199" s="32"/>
      <c r="CX199" s="32"/>
      <c r="CY199" s="34"/>
      <c r="CZ199" s="34"/>
      <c r="DA199" s="34"/>
      <c r="DB199" s="33"/>
      <c r="DC199" s="33"/>
      <c r="DD199" s="33"/>
      <c r="DE199" s="33"/>
      <c r="DF199" s="33"/>
      <c r="DG199" s="33"/>
      <c r="DH199" s="34"/>
      <c r="DI199" s="34"/>
      <c r="DJ199" s="34"/>
      <c r="DK199" s="33"/>
      <c r="DL199" s="33"/>
      <c r="DM199" s="33"/>
      <c r="DN199" s="12">
        <v>5201065</v>
      </c>
      <c r="DS199" s="21"/>
      <c r="DT199" s="21"/>
      <c r="DU199" s="21"/>
    </row>
    <row r="200" spans="53:125" ht="13.5" customHeight="1">
      <c r="BA200" s="3"/>
      <c r="BB200" s="3"/>
      <c r="BC200" s="3"/>
      <c r="BT200" s="12">
        <v>5202065</v>
      </c>
      <c r="BU200" s="3">
        <f>[1]monsters!$N200</f>
        <v>172.8</v>
      </c>
      <c r="BV200" s="3">
        <f>[1]monsters!$O200</f>
        <v>17.28</v>
      </c>
      <c r="BW200" s="3">
        <f>[1]monsters!$P200</f>
        <v>2133.33</v>
      </c>
      <c r="BX200" s="3">
        <f>[1]monsters!$Q200</f>
        <v>213.33</v>
      </c>
      <c r="BY200" s="3">
        <f>[1]monsters!$R200</f>
        <v>34.56</v>
      </c>
      <c r="BZ200" s="3">
        <f>[1]monsters!$S200</f>
        <v>3.46</v>
      </c>
      <c r="CA200" s="3">
        <f>[1]monsters!$K200</f>
        <v>1.8</v>
      </c>
      <c r="CB200" s="12">
        <f>[1]monsters!$D200</f>
        <v>2</v>
      </c>
      <c r="CC200" s="12">
        <f t="shared" ca="1" si="37"/>
        <v>0.1</v>
      </c>
      <c r="CD200" s="12">
        <f t="shared" ca="1" si="38"/>
        <v>110.98505050505101</v>
      </c>
      <c r="CE200" s="12">
        <f t="shared" ca="1" si="39"/>
        <v>11.0985050505051</v>
      </c>
      <c r="CS200" s="32"/>
      <c r="CT200" s="32"/>
      <c r="CU200" s="33"/>
      <c r="CV200" s="32"/>
      <c r="CW200" s="32"/>
      <c r="CX200" s="32"/>
      <c r="CY200" s="34"/>
      <c r="CZ200" s="34"/>
      <c r="DA200" s="34"/>
      <c r="DB200" s="33"/>
      <c r="DC200" s="33"/>
      <c r="DD200" s="33"/>
      <c r="DE200" s="33"/>
      <c r="DF200" s="33"/>
      <c r="DG200" s="33"/>
      <c r="DH200" s="34"/>
      <c r="DI200" s="34"/>
      <c r="DJ200" s="34"/>
      <c r="DK200" s="33"/>
      <c r="DL200" s="33"/>
      <c r="DM200" s="33"/>
      <c r="DN200" s="12">
        <v>5202065</v>
      </c>
      <c r="DS200" s="21"/>
      <c r="DT200" s="21"/>
      <c r="DU200" s="21"/>
    </row>
    <row r="201" spans="53:125" ht="13.5" customHeight="1">
      <c r="BA201" s="3"/>
      <c r="BB201" s="3"/>
      <c r="BC201" s="3"/>
      <c r="BT201" s="12">
        <v>5302065</v>
      </c>
      <c r="BU201" s="3">
        <f>[1]monsters!$N201</f>
        <v>124.8</v>
      </c>
      <c r="BV201" s="3">
        <f>[1]monsters!$O201</f>
        <v>12.48</v>
      </c>
      <c r="BW201" s="3">
        <f>[1]monsters!$P201</f>
        <v>2133.33</v>
      </c>
      <c r="BX201" s="3">
        <f>[1]monsters!$Q201</f>
        <v>213.33</v>
      </c>
      <c r="BY201" s="3">
        <f>[1]monsters!$R201</f>
        <v>24.96</v>
      </c>
      <c r="BZ201" s="3">
        <f>[1]monsters!$S201</f>
        <v>2.5</v>
      </c>
      <c r="CA201" s="3">
        <f>[1]monsters!$K201</f>
        <v>1.3</v>
      </c>
      <c r="CB201" s="12">
        <f>[1]monsters!$D201</f>
        <v>3</v>
      </c>
      <c r="CC201" s="12">
        <f t="shared" ca="1" si="37"/>
        <v>0.1</v>
      </c>
      <c r="CD201" s="12">
        <f t="shared" ca="1" si="38"/>
        <v>85.717378226711403</v>
      </c>
      <c r="CE201" s="12">
        <f t="shared" ca="1" si="39"/>
        <v>8.5717378226711407</v>
      </c>
      <c r="CS201" s="32"/>
      <c r="CT201" s="32"/>
      <c r="CU201" s="33"/>
      <c r="CV201" s="32"/>
      <c r="CW201" s="32"/>
      <c r="CX201" s="32"/>
      <c r="CY201" s="34"/>
      <c r="CZ201" s="34"/>
      <c r="DA201" s="34"/>
      <c r="DB201" s="33"/>
      <c r="DC201" s="33"/>
      <c r="DD201" s="33"/>
      <c r="DE201" s="33"/>
      <c r="DF201" s="33"/>
      <c r="DG201" s="33"/>
      <c r="DH201" s="34"/>
      <c r="DI201" s="34"/>
      <c r="DJ201" s="34"/>
      <c r="DK201" s="33"/>
      <c r="DL201" s="33"/>
      <c r="DM201" s="33"/>
      <c r="DN201" s="12">
        <v>5302065</v>
      </c>
      <c r="DS201" s="21"/>
      <c r="DT201" s="21"/>
      <c r="DU201" s="21"/>
    </row>
    <row r="202" spans="53:125" ht="13.5" customHeight="1">
      <c r="BA202" s="3"/>
      <c r="BB202" s="3"/>
      <c r="BC202" s="3"/>
      <c r="BT202" s="12">
        <v>5301065</v>
      </c>
      <c r="BU202" s="3">
        <f>[1]monsters!$N202</f>
        <v>134.4</v>
      </c>
      <c r="BV202" s="3">
        <f>[1]monsters!$O202</f>
        <v>13.44</v>
      </c>
      <c r="BW202" s="3">
        <f>[1]monsters!$P202</f>
        <v>2133.33</v>
      </c>
      <c r="BX202" s="3">
        <f>[1]monsters!$Q202</f>
        <v>213.33</v>
      </c>
      <c r="BY202" s="3">
        <f>[1]monsters!$R202</f>
        <v>26.88</v>
      </c>
      <c r="BZ202" s="3">
        <f>[1]monsters!$S202</f>
        <v>2.69</v>
      </c>
      <c r="CA202" s="3">
        <f>[1]monsters!$K202</f>
        <v>1.4000000000000001</v>
      </c>
      <c r="CB202" s="12">
        <f>[1]monsters!$D202</f>
        <v>3</v>
      </c>
      <c r="CC202" s="12">
        <f t="shared" ca="1" si="37"/>
        <v>0.1</v>
      </c>
      <c r="CD202" s="12">
        <f t="shared" ca="1" si="38"/>
        <v>89.119378226711405</v>
      </c>
      <c r="CE202" s="12">
        <f t="shared" ca="1" si="39"/>
        <v>8.9119378226711508</v>
      </c>
      <c r="CS202" s="32"/>
      <c r="CT202" s="32"/>
      <c r="CU202" s="33"/>
      <c r="CV202" s="32"/>
      <c r="CW202" s="32"/>
      <c r="CX202" s="32"/>
      <c r="CY202" s="34"/>
      <c r="CZ202" s="34"/>
      <c r="DA202" s="34"/>
      <c r="DB202" s="33"/>
      <c r="DC202" s="33"/>
      <c r="DD202" s="33"/>
      <c r="DE202" s="33"/>
      <c r="DF202" s="33"/>
      <c r="DG202" s="33"/>
      <c r="DH202" s="34"/>
      <c r="DI202" s="34"/>
      <c r="DJ202" s="34"/>
      <c r="DK202" s="33"/>
      <c r="DL202" s="33"/>
      <c r="DM202" s="33"/>
      <c r="DN202" s="12">
        <v>5301065</v>
      </c>
      <c r="DS202" s="21"/>
      <c r="DT202" s="21"/>
      <c r="DU202" s="21"/>
    </row>
    <row r="203" spans="53:125" ht="13.5" customHeight="1">
      <c r="BA203" s="3"/>
      <c r="BB203" s="3"/>
      <c r="BC203" s="3"/>
      <c r="BT203" s="12">
        <v>5400065</v>
      </c>
      <c r="BU203" s="3">
        <f>[1]monsters!$N203</f>
        <v>179.2</v>
      </c>
      <c r="BV203" s="3">
        <f>[1]monsters!$O203</f>
        <v>17.920000000000002</v>
      </c>
      <c r="BW203" s="3">
        <f>[1]monsters!$P203</f>
        <v>1600</v>
      </c>
      <c r="BX203" s="3">
        <f>[1]monsters!$Q203</f>
        <v>160</v>
      </c>
      <c r="BY203" s="3">
        <f>[1]monsters!$R203</f>
        <v>25.6</v>
      </c>
      <c r="BZ203" s="3">
        <f>[1]monsters!$S203</f>
        <v>2.56</v>
      </c>
      <c r="CA203" s="3">
        <f>[1]monsters!$K203</f>
        <v>1.4000000000000001</v>
      </c>
      <c r="CB203" s="12">
        <f>[1]monsters!$D203</f>
        <v>4</v>
      </c>
      <c r="CC203" s="12">
        <f t="shared" ca="1" si="37"/>
        <v>0.1</v>
      </c>
      <c r="CD203" s="12">
        <f t="shared" ca="1" si="38"/>
        <v>86.626945821854903</v>
      </c>
      <c r="CE203" s="12">
        <f t="shared" ca="1" si="39"/>
        <v>8.6626945821854893</v>
      </c>
      <c r="CS203" s="32"/>
      <c r="CT203" s="32"/>
      <c r="CU203" s="33"/>
      <c r="CV203" s="32"/>
      <c r="CW203" s="32"/>
      <c r="CX203" s="32"/>
      <c r="CY203" s="34"/>
      <c r="CZ203" s="34"/>
      <c r="DA203" s="34"/>
      <c r="DB203" s="33"/>
      <c r="DC203" s="33"/>
      <c r="DD203" s="33"/>
      <c r="DE203" s="33"/>
      <c r="DF203" s="33"/>
      <c r="DG203" s="33"/>
      <c r="DH203" s="34"/>
      <c r="DI203" s="34"/>
      <c r="DJ203" s="34"/>
      <c r="DK203" s="33"/>
      <c r="DL203" s="33"/>
      <c r="DM203" s="33"/>
      <c r="DN203" s="12">
        <v>5400065</v>
      </c>
      <c r="DS203" s="21"/>
      <c r="DT203" s="21"/>
      <c r="DU203" s="21"/>
    </row>
    <row r="204" spans="53:125" ht="13.5" customHeight="1">
      <c r="BA204" s="3"/>
      <c r="BB204" s="3"/>
      <c r="BC204" s="3"/>
      <c r="BT204" s="12">
        <v>5402065</v>
      </c>
      <c r="BU204" s="3">
        <f>[1]monsters!$N204</f>
        <v>238.93</v>
      </c>
      <c r="BV204" s="3">
        <f>[1]monsters!$O204</f>
        <v>23.89</v>
      </c>
      <c r="BW204" s="3">
        <f>[1]monsters!$P204</f>
        <v>1371.43</v>
      </c>
      <c r="BX204" s="3">
        <f>[1]monsters!$Q204</f>
        <v>137.13999999999999</v>
      </c>
      <c r="BY204" s="3">
        <f>[1]monsters!$R204</f>
        <v>29.87</v>
      </c>
      <c r="BZ204" s="3">
        <f>[1]monsters!$S204</f>
        <v>2.99</v>
      </c>
      <c r="CA204" s="3">
        <f>[1]monsters!$K204</f>
        <v>1.6</v>
      </c>
      <c r="CB204" s="12">
        <f>[1]monsters!$D204</f>
        <v>5</v>
      </c>
      <c r="CC204" s="12">
        <f t="shared" ca="1" si="37"/>
        <v>0.1</v>
      </c>
      <c r="CD204" s="12">
        <f t="shared" ca="1" si="38"/>
        <v>99.100945821854907</v>
      </c>
      <c r="CE204" s="12">
        <f t="shared" ca="1" si="39"/>
        <v>9.91009458218549</v>
      </c>
      <c r="CS204" s="32"/>
      <c r="CT204" s="32"/>
      <c r="CU204" s="33"/>
      <c r="CV204" s="32"/>
      <c r="CW204" s="32"/>
      <c r="CX204" s="32"/>
      <c r="CY204" s="34"/>
      <c r="CZ204" s="34"/>
      <c r="DA204" s="34"/>
      <c r="DB204" s="33"/>
      <c r="DC204" s="33"/>
      <c r="DD204" s="33"/>
      <c r="DE204" s="33"/>
      <c r="DF204" s="33"/>
      <c r="DG204" s="33"/>
      <c r="DH204" s="34"/>
      <c r="DI204" s="34"/>
      <c r="DJ204" s="34"/>
      <c r="DK204" s="33"/>
      <c r="DL204" s="33"/>
      <c r="DM204" s="33"/>
      <c r="DN204" s="12">
        <v>5402065</v>
      </c>
      <c r="DS204" s="21"/>
      <c r="DT204" s="21"/>
      <c r="DU204" s="21"/>
    </row>
    <row r="205" spans="53:125" ht="13.5" customHeight="1">
      <c r="BA205" s="3"/>
      <c r="BB205" s="3"/>
      <c r="BC205" s="3"/>
      <c r="BT205" s="12">
        <v>5500065</v>
      </c>
      <c r="BU205" s="3">
        <f>[1]monsters!$N205</f>
        <v>176</v>
      </c>
      <c r="BV205" s="3">
        <f>[1]monsters!$O205</f>
        <v>17.600000000000001</v>
      </c>
      <c r="BW205" s="3">
        <f>[1]monsters!$P205</f>
        <v>2112</v>
      </c>
      <c r="BX205" s="3">
        <f>[1]monsters!$Q205</f>
        <v>211.2</v>
      </c>
      <c r="BY205" s="3">
        <f>[1]monsters!$R205</f>
        <v>44</v>
      </c>
      <c r="BZ205" s="3">
        <f>[1]monsters!$S205</f>
        <v>4.4000000000000004</v>
      </c>
      <c r="CA205" s="3">
        <f>[1]monsters!$K205</f>
        <v>1.5</v>
      </c>
      <c r="CB205" s="12">
        <f>[1]monsters!$D205</f>
        <v>2</v>
      </c>
      <c r="CC205" s="12">
        <f t="shared" ca="1" si="37"/>
        <v>0.1</v>
      </c>
      <c r="CD205" s="12">
        <f t="shared" ca="1" si="38"/>
        <v>92.638033670033707</v>
      </c>
      <c r="CE205" s="12">
        <f t="shared" ca="1" si="39"/>
        <v>9.2638033670033693</v>
      </c>
      <c r="CS205" s="32"/>
      <c r="CT205" s="32"/>
      <c r="CU205" s="33"/>
      <c r="CV205" s="32"/>
      <c r="CW205" s="32"/>
      <c r="CX205" s="32"/>
      <c r="CY205" s="34"/>
      <c r="CZ205" s="34"/>
      <c r="DA205" s="34"/>
      <c r="DB205" s="33"/>
      <c r="DC205" s="33"/>
      <c r="DD205" s="33"/>
      <c r="DE205" s="33"/>
      <c r="DF205" s="33"/>
      <c r="DG205" s="33"/>
      <c r="DH205" s="34"/>
      <c r="DI205" s="34"/>
      <c r="DJ205" s="34"/>
      <c r="DK205" s="33"/>
      <c r="DL205" s="33"/>
      <c r="DM205" s="33"/>
      <c r="DN205" s="12">
        <v>5500065</v>
      </c>
      <c r="DS205" s="21"/>
      <c r="DT205" s="21"/>
      <c r="DU205" s="21"/>
    </row>
    <row r="206" spans="53:125" ht="13.5" customHeight="1">
      <c r="BA206" s="3"/>
      <c r="BB206" s="3"/>
      <c r="BC206" s="3"/>
      <c r="BT206" s="12">
        <v>5502065</v>
      </c>
      <c r="BU206" s="3">
        <f>[1]monsters!$N206</f>
        <v>168.96</v>
      </c>
      <c r="BV206" s="3">
        <f>[1]monsters!$O206</f>
        <v>16.899999999999999</v>
      </c>
      <c r="BW206" s="3">
        <f>[1]monsters!$P206</f>
        <v>2640</v>
      </c>
      <c r="BX206" s="3">
        <f>[1]monsters!$Q206</f>
        <v>264</v>
      </c>
      <c r="BY206" s="3">
        <f>[1]monsters!$R206</f>
        <v>56.32</v>
      </c>
      <c r="BZ206" s="3">
        <f>[1]monsters!$S206</f>
        <v>5.63</v>
      </c>
      <c r="CA206" s="3">
        <f>[1]monsters!$K206</f>
        <v>1.8</v>
      </c>
      <c r="CB206" s="12">
        <f>[1]monsters!$D206</f>
        <v>2</v>
      </c>
      <c r="CC206" s="12">
        <f t="shared" ca="1" si="37"/>
        <v>0.1</v>
      </c>
      <c r="CD206" s="12">
        <f t="shared" ca="1" si="38"/>
        <v>92.638033670033707</v>
      </c>
      <c r="CE206" s="12">
        <f t="shared" ca="1" si="39"/>
        <v>9.2638033670033693</v>
      </c>
      <c r="CS206" s="32"/>
      <c r="CT206" s="32"/>
      <c r="CU206" s="33"/>
      <c r="CV206" s="32"/>
      <c r="CW206" s="32"/>
      <c r="CX206" s="32"/>
      <c r="CY206" s="34"/>
      <c r="CZ206" s="34"/>
      <c r="DA206" s="34"/>
      <c r="DB206" s="33"/>
      <c r="DC206" s="33"/>
      <c r="DD206" s="33"/>
      <c r="DE206" s="33"/>
      <c r="DF206" s="33"/>
      <c r="DG206" s="33"/>
      <c r="DH206" s="34"/>
      <c r="DI206" s="34"/>
      <c r="DJ206" s="34"/>
      <c r="DK206" s="33"/>
      <c r="DL206" s="33"/>
      <c r="DM206" s="33"/>
      <c r="DN206" s="12">
        <v>5502065</v>
      </c>
      <c r="DS206" s="21"/>
      <c r="DT206" s="21"/>
      <c r="DU206" s="21"/>
    </row>
    <row r="207" spans="53:125" ht="13.5" customHeight="1">
      <c r="BA207" s="3"/>
      <c r="BB207" s="3"/>
      <c r="BC207" s="3"/>
      <c r="BT207" s="12">
        <v>5600065</v>
      </c>
      <c r="BU207" s="3">
        <f>[1]monsters!$N207</f>
        <v>190.08</v>
      </c>
      <c r="BV207" s="3">
        <f>[1]monsters!$O207</f>
        <v>19.010000000000002</v>
      </c>
      <c r="BW207" s="3">
        <f>[1]monsters!$P207</f>
        <v>2346.67</v>
      </c>
      <c r="BX207" s="3">
        <f>[1]monsters!$Q207</f>
        <v>234.67</v>
      </c>
      <c r="BY207" s="3">
        <f>[1]monsters!$R207</f>
        <v>38.020000000000003</v>
      </c>
      <c r="BZ207" s="3">
        <f>[1]monsters!$S207</f>
        <v>3.8</v>
      </c>
      <c r="CA207" s="3">
        <f>[1]monsters!$K207</f>
        <v>1.8</v>
      </c>
      <c r="CB207" s="12">
        <f>[1]monsters!$D207</f>
        <v>2</v>
      </c>
      <c r="CC207" s="12">
        <f t="shared" ca="1" si="37"/>
        <v>0.1</v>
      </c>
      <c r="CD207" s="12">
        <f t="shared" ca="1" si="38"/>
        <v>89.544040404040402</v>
      </c>
      <c r="CE207" s="12">
        <f t="shared" ca="1" si="39"/>
        <v>8.9544040404040395</v>
      </c>
      <c r="CS207" s="32"/>
      <c r="CT207" s="32"/>
      <c r="CU207" s="33"/>
      <c r="CV207" s="32"/>
      <c r="CW207" s="32"/>
      <c r="CX207" s="32"/>
      <c r="CY207" s="34"/>
      <c r="CZ207" s="34"/>
      <c r="DA207" s="34"/>
      <c r="DB207" s="33"/>
      <c r="DC207" s="33"/>
      <c r="DD207" s="33"/>
      <c r="DE207" s="33"/>
      <c r="DF207" s="33"/>
      <c r="DG207" s="33"/>
      <c r="DH207" s="34"/>
      <c r="DI207" s="34"/>
      <c r="DJ207" s="34"/>
      <c r="DK207" s="33"/>
      <c r="DL207" s="33"/>
      <c r="DM207" s="33"/>
      <c r="DN207" s="12">
        <v>5600065</v>
      </c>
      <c r="DS207" s="21"/>
      <c r="DT207" s="21"/>
      <c r="DU207" s="21"/>
    </row>
    <row r="208" spans="53:125" ht="13.5" customHeight="1">
      <c r="BA208" s="3"/>
      <c r="BB208" s="3"/>
      <c r="BC208" s="3"/>
      <c r="BT208" s="12">
        <v>5602065</v>
      </c>
      <c r="BU208" s="3">
        <f>[1]monsters!$N208</f>
        <v>126.72</v>
      </c>
      <c r="BV208" s="3">
        <f>[1]monsters!$O208</f>
        <v>12.67</v>
      </c>
      <c r="BW208" s="3">
        <f>[1]monsters!$P208</f>
        <v>2346.67</v>
      </c>
      <c r="BX208" s="3">
        <f>[1]monsters!$Q208</f>
        <v>234.67</v>
      </c>
      <c r="BY208" s="3">
        <f>[1]monsters!$R208</f>
        <v>25.34</v>
      </c>
      <c r="BZ208" s="3">
        <f>[1]monsters!$S208</f>
        <v>2.5299999999999998</v>
      </c>
      <c r="CA208" s="3">
        <f>[1]monsters!$K208</f>
        <v>1.2</v>
      </c>
      <c r="CB208" s="12">
        <f>[1]monsters!$D208</f>
        <v>3</v>
      </c>
      <c r="CC208" s="12">
        <f t="shared" ca="1" si="37"/>
        <v>0.1</v>
      </c>
      <c r="CD208" s="12">
        <f t="shared" ca="1" si="38"/>
        <v>116.00404040404</v>
      </c>
      <c r="CE208" s="12">
        <f t="shared" ca="1" si="39"/>
        <v>11.600404040403999</v>
      </c>
      <c r="CS208" s="32"/>
      <c r="CT208" s="32"/>
      <c r="CU208" s="33"/>
      <c r="CV208" s="32"/>
      <c r="CW208" s="32"/>
      <c r="CX208" s="32"/>
      <c r="CY208" s="34"/>
      <c r="CZ208" s="34"/>
      <c r="DA208" s="34"/>
      <c r="DB208" s="33"/>
      <c r="DC208" s="33"/>
      <c r="DD208" s="33"/>
      <c r="DE208" s="33"/>
      <c r="DF208" s="33"/>
      <c r="DG208" s="33"/>
      <c r="DH208" s="34"/>
      <c r="DI208" s="34"/>
      <c r="DJ208" s="34"/>
      <c r="DK208" s="33"/>
      <c r="DL208" s="33"/>
      <c r="DM208" s="33"/>
      <c r="DN208" s="12">
        <v>5602065</v>
      </c>
      <c r="DS208" s="21"/>
      <c r="DT208" s="21"/>
      <c r="DU208" s="21"/>
    </row>
    <row r="209" spans="53:125" ht="13.5" customHeight="1">
      <c r="BA209" s="3"/>
      <c r="BB209" s="3"/>
      <c r="BC209" s="3"/>
      <c r="BT209" s="12">
        <v>5200071</v>
      </c>
      <c r="BU209" s="3">
        <f>[1]monsters!$N209</f>
        <v>225.28</v>
      </c>
      <c r="BV209" s="3">
        <f>[1]monsters!$O209</f>
        <v>22.53</v>
      </c>
      <c r="BW209" s="3">
        <f>[1]monsters!$P209</f>
        <v>1760</v>
      </c>
      <c r="BX209" s="3">
        <f>[1]monsters!$Q209</f>
        <v>176</v>
      </c>
      <c r="BY209" s="3">
        <f>[1]monsters!$R209</f>
        <v>32.18</v>
      </c>
      <c r="BZ209" s="3">
        <f>[1]monsters!$S209</f>
        <v>3.22</v>
      </c>
      <c r="CA209" s="3">
        <f>[1]monsters!$K209</f>
        <v>1.6</v>
      </c>
      <c r="CB209" s="12">
        <f>[1]monsters!$D209</f>
        <v>4</v>
      </c>
      <c r="CC209" s="12">
        <f t="shared" ca="1" si="37"/>
        <v>0.1</v>
      </c>
      <c r="CD209" s="12">
        <f t="shared" ca="1" si="38"/>
        <v>105.451555555556</v>
      </c>
      <c r="CE209" s="12">
        <f t="shared" ca="1" si="39"/>
        <v>10.545155555555599</v>
      </c>
      <c r="CS209" s="32"/>
      <c r="CT209" s="32"/>
      <c r="CU209" s="33"/>
      <c r="CV209" s="32"/>
      <c r="CW209" s="32"/>
      <c r="CX209" s="32"/>
      <c r="CY209" s="34"/>
      <c r="CZ209" s="34"/>
      <c r="DA209" s="34"/>
      <c r="DB209" s="33"/>
      <c r="DC209" s="33"/>
      <c r="DD209" s="33"/>
      <c r="DE209" s="33"/>
      <c r="DF209" s="33"/>
      <c r="DG209" s="33"/>
      <c r="DH209" s="34"/>
      <c r="DI209" s="34"/>
      <c r="DJ209" s="34"/>
      <c r="DK209" s="33"/>
      <c r="DL209" s="33"/>
      <c r="DM209" s="33"/>
      <c r="DN209" s="12">
        <v>5200071</v>
      </c>
      <c r="DS209" s="21"/>
      <c r="DT209" s="21"/>
      <c r="DU209" s="21"/>
    </row>
    <row r="210" spans="53:125" ht="13.5" customHeight="1">
      <c r="BA210" s="3"/>
      <c r="BB210" s="3"/>
      <c r="BC210" s="3"/>
      <c r="BT210" s="12">
        <v>5201071</v>
      </c>
      <c r="BU210" s="3">
        <f>[1]monsters!$N210</f>
        <v>211.2</v>
      </c>
      <c r="BV210" s="3">
        <f>[1]monsters!$O210</f>
        <v>21.12</v>
      </c>
      <c r="BW210" s="3">
        <f>[1]monsters!$P210</f>
        <v>1760</v>
      </c>
      <c r="BX210" s="3">
        <f>[1]monsters!$Q210</f>
        <v>176</v>
      </c>
      <c r="BY210" s="3">
        <f>[1]monsters!$R210</f>
        <v>30.17</v>
      </c>
      <c r="BZ210" s="3">
        <f>[1]monsters!$S210</f>
        <v>3.02</v>
      </c>
      <c r="CA210" s="3">
        <f>[1]monsters!$K210</f>
        <v>1.5</v>
      </c>
      <c r="CB210" s="12">
        <f>[1]monsters!$D210</f>
        <v>4</v>
      </c>
      <c r="CC210" s="12">
        <f t="shared" ca="1" si="37"/>
        <v>0.1</v>
      </c>
      <c r="CD210" s="12">
        <f t="shared" ca="1" si="38"/>
        <v>122.083555555556</v>
      </c>
      <c r="CE210" s="12">
        <f t="shared" ca="1" si="39"/>
        <v>12.208355555555601</v>
      </c>
      <c r="CS210" s="32"/>
      <c r="CT210" s="32"/>
      <c r="CU210" s="33"/>
      <c r="CV210" s="32"/>
      <c r="CW210" s="32"/>
      <c r="CX210" s="32"/>
      <c r="CY210" s="34"/>
      <c r="CZ210" s="34"/>
      <c r="DA210" s="34"/>
      <c r="DB210" s="33"/>
      <c r="DC210" s="33"/>
      <c r="DD210" s="33"/>
      <c r="DE210" s="33"/>
      <c r="DF210" s="33"/>
      <c r="DG210" s="33"/>
      <c r="DH210" s="34"/>
      <c r="DI210" s="34"/>
      <c r="DJ210" s="34"/>
      <c r="DK210" s="33"/>
      <c r="DL210" s="33"/>
      <c r="DM210" s="33"/>
      <c r="DN210" s="12">
        <v>5201071</v>
      </c>
      <c r="DS210" s="21"/>
      <c r="DT210" s="21"/>
      <c r="DU210" s="21"/>
    </row>
    <row r="211" spans="53:125" ht="13.5" customHeight="1">
      <c r="BA211" s="3"/>
      <c r="BB211" s="3"/>
      <c r="BC211" s="3"/>
      <c r="BT211" s="12">
        <v>5300071</v>
      </c>
      <c r="BU211" s="3">
        <f>[1]monsters!$N211</f>
        <v>246.4</v>
      </c>
      <c r="BV211" s="3">
        <f>[1]monsters!$O211</f>
        <v>24.64</v>
      </c>
      <c r="BW211" s="3">
        <f>[1]monsters!$P211</f>
        <v>1508.57</v>
      </c>
      <c r="BX211" s="3">
        <f>[1]monsters!$Q211</f>
        <v>150.86000000000001</v>
      </c>
      <c r="BY211" s="3">
        <f>[1]monsters!$R211</f>
        <v>30.8</v>
      </c>
      <c r="BZ211" s="3">
        <f>[1]monsters!$S211</f>
        <v>3.08</v>
      </c>
      <c r="CA211" s="3">
        <f>[1]monsters!$K211</f>
        <v>1.5</v>
      </c>
      <c r="CB211" s="12">
        <f>[1]monsters!$D211</f>
        <v>5</v>
      </c>
      <c r="CC211" s="12">
        <f t="shared" ca="1" si="37"/>
        <v>0.1</v>
      </c>
      <c r="CD211" s="12">
        <f t="shared" ca="1" si="38"/>
        <v>98.031316049382795</v>
      </c>
      <c r="CE211" s="12">
        <f t="shared" ca="1" si="39"/>
        <v>9.8031316049382795</v>
      </c>
      <c r="CS211" s="32"/>
      <c r="CT211" s="32"/>
      <c r="CU211" s="33"/>
      <c r="CV211" s="32"/>
      <c r="CW211" s="32"/>
      <c r="CX211" s="32"/>
      <c r="CY211" s="34"/>
      <c r="CZ211" s="34"/>
      <c r="DA211" s="34"/>
      <c r="DB211" s="33"/>
      <c r="DC211" s="33"/>
      <c r="DD211" s="33"/>
      <c r="DE211" s="33"/>
      <c r="DF211" s="33"/>
      <c r="DG211" s="33"/>
      <c r="DH211" s="34"/>
      <c r="DI211" s="34"/>
      <c r="DJ211" s="34"/>
      <c r="DK211" s="33"/>
      <c r="DL211" s="33"/>
      <c r="DM211" s="33"/>
      <c r="DN211" s="12">
        <v>5300071</v>
      </c>
      <c r="DS211" s="21"/>
      <c r="DT211" s="21"/>
      <c r="DU211" s="21"/>
    </row>
    <row r="212" spans="53:125" ht="13.5" customHeight="1">
      <c r="BA212" s="3"/>
      <c r="BB212" s="3"/>
      <c r="BC212" s="3"/>
      <c r="BT212" s="12">
        <v>5301071</v>
      </c>
      <c r="BU212" s="3">
        <f>[1]monsters!$N212</f>
        <v>229.97</v>
      </c>
      <c r="BV212" s="3">
        <f>[1]monsters!$O212</f>
        <v>23</v>
      </c>
      <c r="BW212" s="3">
        <f>[1]monsters!$P212</f>
        <v>1508.57</v>
      </c>
      <c r="BX212" s="3">
        <f>[1]monsters!$Q212</f>
        <v>150.86000000000001</v>
      </c>
      <c r="BY212" s="3">
        <f>[1]monsters!$R212</f>
        <v>28.75</v>
      </c>
      <c r="BZ212" s="3">
        <f>[1]monsters!$S212</f>
        <v>2.87</v>
      </c>
      <c r="CA212" s="3">
        <f>[1]monsters!$K212</f>
        <v>1.4000000000000001</v>
      </c>
      <c r="CB212" s="12">
        <f>[1]monsters!$D212</f>
        <v>5</v>
      </c>
      <c r="CC212" s="12">
        <f t="shared" ca="1" si="37"/>
        <v>0.1</v>
      </c>
      <c r="CD212" s="12">
        <f t="shared" ca="1" si="38"/>
        <v>98.031316049382795</v>
      </c>
      <c r="CE212" s="12">
        <f t="shared" ca="1" si="39"/>
        <v>9.8031316049382795</v>
      </c>
      <c r="CS212" s="32"/>
      <c r="CT212" s="32"/>
      <c r="CU212" s="33"/>
      <c r="CV212" s="32"/>
      <c r="CW212" s="32"/>
      <c r="CX212" s="32"/>
      <c r="CY212" s="34"/>
      <c r="CZ212" s="34"/>
      <c r="DA212" s="34"/>
      <c r="DB212" s="33"/>
      <c r="DC212" s="33"/>
      <c r="DD212" s="33"/>
      <c r="DE212" s="33"/>
      <c r="DF212" s="33"/>
      <c r="DG212" s="33"/>
      <c r="DH212" s="34"/>
      <c r="DI212" s="34"/>
      <c r="DJ212" s="34"/>
      <c r="DK212" s="33"/>
      <c r="DL212" s="33"/>
      <c r="DM212" s="33"/>
      <c r="DN212" s="12">
        <v>5301071</v>
      </c>
      <c r="DS212" s="21"/>
      <c r="DT212" s="21"/>
      <c r="DU212" s="21"/>
    </row>
    <row r="213" spans="53:125" ht="13.5" customHeight="1">
      <c r="BA213" s="3"/>
      <c r="BB213" s="3"/>
      <c r="BC213" s="3"/>
      <c r="BT213" s="12">
        <v>5401071</v>
      </c>
      <c r="BU213" s="3">
        <f>[1]monsters!$N213</f>
        <v>272.8</v>
      </c>
      <c r="BV213" s="3">
        <f>[1]monsters!$O213</f>
        <v>27.28</v>
      </c>
      <c r="BW213" s="3">
        <f>[1]monsters!$P213</f>
        <v>1362.58</v>
      </c>
      <c r="BX213" s="3">
        <f>[1]monsters!$Q213</f>
        <v>136.26</v>
      </c>
      <c r="BY213" s="3">
        <f>[1]monsters!$R213</f>
        <v>27.28</v>
      </c>
      <c r="BZ213" s="3">
        <f>[1]monsters!$S213</f>
        <v>2.73</v>
      </c>
      <c r="CA213" s="3">
        <f>[1]monsters!$K213</f>
        <v>1.5</v>
      </c>
      <c r="CB213" s="12">
        <f>[1]monsters!$D213</f>
        <v>6</v>
      </c>
      <c r="CC213" s="12">
        <f t="shared" ca="1" si="37"/>
        <v>0.1</v>
      </c>
      <c r="CD213" s="12">
        <f t="shared" ca="1" si="38"/>
        <v>109.01104040404</v>
      </c>
      <c r="CE213" s="12">
        <f t="shared" ca="1" si="39"/>
        <v>10.901104040404</v>
      </c>
      <c r="CS213" s="32"/>
      <c r="CT213" s="32"/>
      <c r="CU213" s="33"/>
      <c r="CV213" s="32"/>
      <c r="CW213" s="32"/>
      <c r="CX213" s="32"/>
      <c r="CY213" s="34"/>
      <c r="CZ213" s="34"/>
      <c r="DA213" s="34"/>
      <c r="DB213" s="33"/>
      <c r="DC213" s="33"/>
      <c r="DD213" s="33"/>
      <c r="DE213" s="33"/>
      <c r="DF213" s="33"/>
      <c r="DG213" s="33"/>
      <c r="DH213" s="34"/>
      <c r="DI213" s="34"/>
      <c r="DJ213" s="34"/>
      <c r="DK213" s="33"/>
      <c r="DL213" s="33"/>
      <c r="DM213" s="33"/>
      <c r="DN213" s="12">
        <v>5401071</v>
      </c>
      <c r="DS213" s="21"/>
      <c r="DT213" s="21"/>
      <c r="DU213" s="21"/>
    </row>
    <row r="214" spans="53:125" ht="13.5" customHeight="1">
      <c r="BA214" s="3"/>
      <c r="BB214" s="3"/>
      <c r="BC214" s="3"/>
      <c r="BT214" s="12">
        <v>5402071</v>
      </c>
      <c r="BU214" s="3">
        <f>[1]monsters!$N214</f>
        <v>176</v>
      </c>
      <c r="BV214" s="3">
        <f>[1]monsters!$O214</f>
        <v>17.600000000000001</v>
      </c>
      <c r="BW214" s="3">
        <f>[1]monsters!$P214</f>
        <v>2112</v>
      </c>
      <c r="BX214" s="3">
        <f>[1]monsters!$Q214</f>
        <v>211.2</v>
      </c>
      <c r="BY214" s="3">
        <f>[1]monsters!$R214</f>
        <v>44</v>
      </c>
      <c r="BZ214" s="3">
        <f>[1]monsters!$S214</f>
        <v>4.4000000000000004</v>
      </c>
      <c r="CA214" s="3">
        <f>[1]monsters!$K214</f>
        <v>1.5</v>
      </c>
      <c r="CB214" s="12">
        <f>[1]monsters!$D214</f>
        <v>2</v>
      </c>
      <c r="CC214" s="12">
        <f t="shared" ca="1" si="37"/>
        <v>0.1</v>
      </c>
      <c r="CD214" s="12">
        <f t="shared" ca="1" si="38"/>
        <v>109.01104040404</v>
      </c>
      <c r="CE214" s="12">
        <f t="shared" ca="1" si="39"/>
        <v>10.901104040404</v>
      </c>
      <c r="CS214" s="32"/>
      <c r="CT214" s="32"/>
      <c r="CU214" s="33"/>
      <c r="CV214" s="32"/>
      <c r="CW214" s="32"/>
      <c r="CX214" s="32"/>
      <c r="CY214" s="34"/>
      <c r="CZ214" s="34"/>
      <c r="DA214" s="34"/>
      <c r="DB214" s="33"/>
      <c r="DC214" s="33"/>
      <c r="DD214" s="33"/>
      <c r="DE214" s="33"/>
      <c r="DF214" s="33"/>
      <c r="DG214" s="33"/>
      <c r="DH214" s="34"/>
      <c r="DI214" s="34"/>
      <c r="DJ214" s="34"/>
      <c r="DK214" s="33"/>
      <c r="DL214" s="33"/>
      <c r="DM214" s="33"/>
      <c r="DN214" s="12">
        <v>5402071</v>
      </c>
      <c r="DS214" s="21"/>
      <c r="DT214" s="21"/>
      <c r="DU214" s="21"/>
    </row>
    <row r="215" spans="53:125" ht="13.5" customHeight="1">
      <c r="BA215" s="3"/>
      <c r="BB215" s="3"/>
      <c r="BC215" s="3"/>
      <c r="BT215" s="12">
        <v>5500071</v>
      </c>
      <c r="BU215" s="3">
        <f>[1]monsters!$N215</f>
        <v>168.96</v>
      </c>
      <c r="BV215" s="3">
        <f>[1]monsters!$O215</f>
        <v>16.899999999999999</v>
      </c>
      <c r="BW215" s="3">
        <f>[1]monsters!$P215</f>
        <v>2640</v>
      </c>
      <c r="BX215" s="3">
        <f>[1]monsters!$Q215</f>
        <v>264</v>
      </c>
      <c r="BY215" s="3">
        <f>[1]monsters!$R215</f>
        <v>56.32</v>
      </c>
      <c r="BZ215" s="3">
        <f>[1]monsters!$S215</f>
        <v>5.63</v>
      </c>
      <c r="CA215" s="3">
        <f>[1]monsters!$K215</f>
        <v>1.8</v>
      </c>
      <c r="CB215" s="12">
        <f>[1]monsters!$D215</f>
        <v>2</v>
      </c>
      <c r="CC215" s="12">
        <f t="shared" ca="1" si="37"/>
        <v>0.1</v>
      </c>
      <c r="CD215" s="12">
        <f t="shared" ca="1" si="38"/>
        <v>101.901837037037</v>
      </c>
      <c r="CE215" s="12">
        <f t="shared" ca="1" si="39"/>
        <v>10.190183703703701</v>
      </c>
      <c r="CS215" s="32"/>
      <c r="CT215" s="32"/>
      <c r="CU215" s="33"/>
      <c r="CV215" s="32"/>
      <c r="CW215" s="32"/>
      <c r="CX215" s="32"/>
      <c r="CY215" s="34"/>
      <c r="CZ215" s="34"/>
      <c r="DA215" s="34"/>
      <c r="DB215" s="33"/>
      <c r="DC215" s="33"/>
      <c r="DD215" s="33"/>
      <c r="DE215" s="33"/>
      <c r="DF215" s="33"/>
      <c r="DG215" s="33"/>
      <c r="DH215" s="34"/>
      <c r="DI215" s="34"/>
      <c r="DJ215" s="34"/>
      <c r="DK215" s="33"/>
      <c r="DL215" s="33"/>
      <c r="DM215" s="33"/>
      <c r="DN215" s="12">
        <v>5500071</v>
      </c>
      <c r="DS215" s="21"/>
      <c r="DT215" s="21"/>
      <c r="DU215" s="21"/>
    </row>
    <row r="216" spans="53:125" ht="13.5" customHeight="1">
      <c r="BA216" s="3"/>
      <c r="BB216" s="3"/>
      <c r="BC216" s="3"/>
      <c r="BT216" s="12">
        <v>5501071</v>
      </c>
      <c r="BU216" s="3">
        <f>[1]monsters!$N216</f>
        <v>190.08</v>
      </c>
      <c r="BV216" s="3">
        <f>[1]monsters!$O216</f>
        <v>19.010000000000002</v>
      </c>
      <c r="BW216" s="3">
        <f>[1]monsters!$P216</f>
        <v>2346.67</v>
      </c>
      <c r="BX216" s="3">
        <f>[1]monsters!$Q216</f>
        <v>234.67</v>
      </c>
      <c r="BY216" s="3">
        <f>[1]monsters!$R216</f>
        <v>38.020000000000003</v>
      </c>
      <c r="BZ216" s="3">
        <f>[1]monsters!$S216</f>
        <v>3.8</v>
      </c>
      <c r="CA216" s="3">
        <f>[1]monsters!$K216</f>
        <v>1.8</v>
      </c>
      <c r="CB216" s="12">
        <f>[1]monsters!$D216</f>
        <v>2</v>
      </c>
      <c r="CC216" s="12">
        <f t="shared" ca="1" si="37"/>
        <v>0.1</v>
      </c>
      <c r="CD216" s="12">
        <f t="shared" ca="1" si="38"/>
        <v>116.870637037037</v>
      </c>
      <c r="CE216" s="12">
        <f t="shared" ca="1" si="39"/>
        <v>11.6870637037037</v>
      </c>
      <c r="CS216" s="32"/>
      <c r="CT216" s="32"/>
      <c r="CU216" s="33"/>
      <c r="CV216" s="32"/>
      <c r="CW216" s="32"/>
      <c r="CX216" s="32"/>
      <c r="CY216" s="34"/>
      <c r="CZ216" s="34"/>
      <c r="DA216" s="34"/>
      <c r="DB216" s="33"/>
      <c r="DC216" s="33"/>
      <c r="DD216" s="33"/>
      <c r="DE216" s="33"/>
      <c r="DF216" s="33"/>
      <c r="DG216" s="33"/>
      <c r="DH216" s="34"/>
      <c r="DI216" s="34"/>
      <c r="DJ216" s="34"/>
      <c r="DK216" s="33"/>
      <c r="DL216" s="33"/>
      <c r="DM216" s="33"/>
      <c r="DN216" s="12">
        <v>5501071</v>
      </c>
      <c r="DS216" s="21"/>
      <c r="DT216" s="21"/>
      <c r="DU216" s="21"/>
    </row>
    <row r="217" spans="53:125" ht="13.5" customHeight="1">
      <c r="BA217" s="3"/>
      <c r="BB217" s="3"/>
      <c r="BC217" s="3"/>
      <c r="BT217" s="12">
        <v>5600071</v>
      </c>
      <c r="BU217" s="3">
        <f>[1]monsters!$N217</f>
        <v>126.72</v>
      </c>
      <c r="BV217" s="3">
        <f>[1]monsters!$O217</f>
        <v>12.67</v>
      </c>
      <c r="BW217" s="3">
        <f>[1]monsters!$P217</f>
        <v>2346.67</v>
      </c>
      <c r="BX217" s="3">
        <f>[1]monsters!$Q217</f>
        <v>234.67</v>
      </c>
      <c r="BY217" s="3">
        <f>[1]monsters!$R217</f>
        <v>25.34</v>
      </c>
      <c r="BZ217" s="3">
        <f>[1]monsters!$S217</f>
        <v>2.5299999999999998</v>
      </c>
      <c r="CA217" s="3">
        <f>[1]monsters!$K217</f>
        <v>1.2</v>
      </c>
      <c r="CB217" s="12">
        <f>[1]monsters!$D217</f>
        <v>3</v>
      </c>
      <c r="CC217" s="12">
        <f t="shared" ca="1" si="37"/>
        <v>0.1</v>
      </c>
      <c r="CD217" s="12">
        <f t="shared" ca="1" si="38"/>
        <v>98.498444444444402</v>
      </c>
      <c r="CE217" s="12">
        <f t="shared" ca="1" si="39"/>
        <v>9.8498444444444395</v>
      </c>
      <c r="CS217" s="32"/>
      <c r="CT217" s="32"/>
      <c r="CU217" s="33"/>
      <c r="CV217" s="32"/>
      <c r="CW217" s="32"/>
      <c r="CX217" s="32"/>
      <c r="CY217" s="34"/>
      <c r="CZ217" s="34"/>
      <c r="DA217" s="34"/>
      <c r="DB217" s="33"/>
      <c r="DC217" s="33"/>
      <c r="DD217" s="33"/>
      <c r="DE217" s="33"/>
      <c r="DF217" s="33"/>
      <c r="DG217" s="33"/>
      <c r="DH217" s="34"/>
      <c r="DI217" s="34"/>
      <c r="DJ217" s="34"/>
      <c r="DK217" s="33"/>
      <c r="DL217" s="33"/>
      <c r="DM217" s="33"/>
      <c r="DN217" s="12">
        <v>5600071</v>
      </c>
      <c r="DS217" s="21"/>
      <c r="DT217" s="21"/>
      <c r="DU217" s="21"/>
    </row>
    <row r="218" spans="53:125" ht="13.5" customHeight="1">
      <c r="BA218" s="3"/>
      <c r="BB218" s="3"/>
      <c r="BC218" s="3"/>
      <c r="BT218" s="12">
        <v>5601071</v>
      </c>
      <c r="BU218" s="3">
        <f>[1]monsters!$N218</f>
        <v>225.28</v>
      </c>
      <c r="BV218" s="3">
        <f>[1]monsters!$O218</f>
        <v>22.53</v>
      </c>
      <c r="BW218" s="3">
        <f>[1]monsters!$P218</f>
        <v>1760</v>
      </c>
      <c r="BX218" s="3">
        <f>[1]monsters!$Q218</f>
        <v>176</v>
      </c>
      <c r="BY218" s="3">
        <f>[1]monsters!$R218</f>
        <v>32.18</v>
      </c>
      <c r="BZ218" s="3">
        <f>[1]monsters!$S218</f>
        <v>3.22</v>
      </c>
      <c r="CA218" s="3">
        <f>[1]monsters!$K218</f>
        <v>1.6</v>
      </c>
      <c r="CB218" s="12">
        <f>[1]monsters!$D218</f>
        <v>4</v>
      </c>
      <c r="CC218" s="12">
        <f t="shared" ca="1" si="37"/>
        <v>0.1</v>
      </c>
      <c r="CD218" s="12">
        <f t="shared" ca="1" si="38"/>
        <v>106.81444444444401</v>
      </c>
      <c r="CE218" s="12">
        <f t="shared" ca="1" si="39"/>
        <v>10.6814444444444</v>
      </c>
      <c r="CS218" s="32"/>
      <c r="CT218" s="32"/>
      <c r="CU218" s="33"/>
      <c r="CV218" s="32"/>
      <c r="CW218" s="32"/>
      <c r="CX218" s="32"/>
      <c r="CY218" s="34"/>
      <c r="CZ218" s="34"/>
      <c r="DA218" s="34"/>
      <c r="DB218" s="33"/>
      <c r="DC218" s="33"/>
      <c r="DD218" s="33"/>
      <c r="DE218" s="33"/>
      <c r="DF218" s="33"/>
      <c r="DG218" s="33"/>
      <c r="DH218" s="34"/>
      <c r="DI218" s="34"/>
      <c r="DJ218" s="34"/>
      <c r="DK218" s="33"/>
      <c r="DL218" s="33"/>
      <c r="DM218" s="33"/>
      <c r="DN218" s="12">
        <v>5601071</v>
      </c>
      <c r="DS218" s="21"/>
      <c r="DT218" s="21"/>
      <c r="DU218" s="21"/>
    </row>
    <row r="219" spans="53:125" ht="13.5" customHeight="1">
      <c r="BA219" s="3"/>
      <c r="BB219" s="3"/>
      <c r="BC219" s="3"/>
      <c r="BT219" s="12">
        <v>5200072</v>
      </c>
      <c r="BU219" s="3">
        <f>[1]monsters!$N219</f>
        <v>211.2</v>
      </c>
      <c r="BV219" s="3">
        <f>[1]monsters!$O219</f>
        <v>21.12</v>
      </c>
      <c r="BW219" s="3">
        <f>[1]monsters!$P219</f>
        <v>1760</v>
      </c>
      <c r="BX219" s="3">
        <f>[1]monsters!$Q219</f>
        <v>176</v>
      </c>
      <c r="BY219" s="3">
        <f>[1]monsters!$R219</f>
        <v>30.17</v>
      </c>
      <c r="BZ219" s="3">
        <f>[1]monsters!$S219</f>
        <v>3.02</v>
      </c>
      <c r="CA219" s="3">
        <f>[1]monsters!$K219</f>
        <v>1.5</v>
      </c>
      <c r="CB219" s="12">
        <f>[1]monsters!$D219</f>
        <v>4</v>
      </c>
      <c r="CC219" s="12">
        <f t="shared" ca="1" si="37"/>
        <v>0.1</v>
      </c>
      <c r="CD219" s="12">
        <f t="shared" ca="1" si="38"/>
        <v>105.451555555556</v>
      </c>
      <c r="CE219" s="12">
        <f t="shared" ca="1" si="39"/>
        <v>10.545155555555599</v>
      </c>
      <c r="CS219" s="32"/>
      <c r="CT219" s="32"/>
      <c r="CU219" s="33"/>
      <c r="CV219" s="32"/>
      <c r="CW219" s="32"/>
      <c r="CX219" s="32"/>
      <c r="CY219" s="34"/>
      <c r="CZ219" s="34"/>
      <c r="DA219" s="34"/>
      <c r="DB219" s="33"/>
      <c r="DC219" s="33"/>
      <c r="DD219" s="33"/>
      <c r="DE219" s="33"/>
      <c r="DF219" s="33"/>
      <c r="DG219" s="33"/>
      <c r="DH219" s="34"/>
      <c r="DI219" s="34"/>
      <c r="DJ219" s="34"/>
      <c r="DK219" s="33"/>
      <c r="DL219" s="33"/>
      <c r="DM219" s="33"/>
      <c r="DN219" s="12">
        <v>5200072</v>
      </c>
      <c r="DS219" s="21"/>
      <c r="DT219" s="21"/>
      <c r="DU219" s="21"/>
    </row>
    <row r="220" spans="53:125" ht="13.5" customHeight="1">
      <c r="BA220" s="3"/>
      <c r="BB220" s="3"/>
      <c r="BC220" s="3"/>
      <c r="BT220" s="12">
        <v>5202072</v>
      </c>
      <c r="BU220" s="3">
        <f>[1]monsters!$N220</f>
        <v>246.4</v>
      </c>
      <c r="BV220" s="3">
        <f>[1]monsters!$O220</f>
        <v>24.64</v>
      </c>
      <c r="BW220" s="3">
        <f>[1]monsters!$P220</f>
        <v>1508.57</v>
      </c>
      <c r="BX220" s="3">
        <f>[1]monsters!$Q220</f>
        <v>150.86000000000001</v>
      </c>
      <c r="BY220" s="3">
        <f>[1]monsters!$R220</f>
        <v>30.8</v>
      </c>
      <c r="BZ220" s="3">
        <f>[1]monsters!$S220</f>
        <v>3.08</v>
      </c>
      <c r="CA220" s="3">
        <f>[1]monsters!$K220</f>
        <v>1.5</v>
      </c>
      <c r="CB220" s="12">
        <f>[1]monsters!$D220</f>
        <v>5</v>
      </c>
      <c r="CC220" s="12">
        <f t="shared" ca="1" si="37"/>
        <v>0.1</v>
      </c>
      <c r="CD220" s="12">
        <f t="shared" ca="1" si="38"/>
        <v>122.083555555556</v>
      </c>
      <c r="CE220" s="12">
        <f t="shared" ca="1" si="39"/>
        <v>12.208355555555601</v>
      </c>
      <c r="CS220" s="32"/>
      <c r="CT220" s="32"/>
      <c r="CU220" s="33"/>
      <c r="CV220" s="32"/>
      <c r="CW220" s="32"/>
      <c r="CX220" s="32"/>
      <c r="CY220" s="34"/>
      <c r="CZ220" s="34"/>
      <c r="DA220" s="34"/>
      <c r="DB220" s="33"/>
      <c r="DC220" s="33"/>
      <c r="DD220" s="33"/>
      <c r="DE220" s="33"/>
      <c r="DF220" s="33"/>
      <c r="DG220" s="33"/>
      <c r="DH220" s="34"/>
      <c r="DI220" s="34"/>
      <c r="DJ220" s="34"/>
      <c r="DK220" s="33"/>
      <c r="DL220" s="33"/>
      <c r="DM220" s="33"/>
      <c r="DN220" s="12">
        <v>5202072</v>
      </c>
      <c r="DS220" s="21"/>
      <c r="DT220" s="21"/>
      <c r="DU220" s="21"/>
    </row>
    <row r="221" spans="53:125" ht="13.5" customHeight="1">
      <c r="BA221" s="3"/>
      <c r="BB221" s="3"/>
      <c r="BC221" s="3"/>
      <c r="BT221" s="12">
        <v>5302072</v>
      </c>
      <c r="BU221" s="3">
        <f>[1]monsters!$N221</f>
        <v>229.97</v>
      </c>
      <c r="BV221" s="3">
        <f>[1]monsters!$O221</f>
        <v>23</v>
      </c>
      <c r="BW221" s="3">
        <f>[1]monsters!$P221</f>
        <v>1508.57</v>
      </c>
      <c r="BX221" s="3">
        <f>[1]monsters!$Q221</f>
        <v>150.86000000000001</v>
      </c>
      <c r="BY221" s="3">
        <f>[1]monsters!$R221</f>
        <v>28.75</v>
      </c>
      <c r="BZ221" s="3">
        <f>[1]monsters!$S221</f>
        <v>2.87</v>
      </c>
      <c r="CA221" s="3">
        <f>[1]monsters!$K221</f>
        <v>1.4000000000000001</v>
      </c>
      <c r="CB221" s="12">
        <f>[1]monsters!$D221</f>
        <v>5</v>
      </c>
      <c r="CC221" s="12">
        <f t="shared" ca="1" si="37"/>
        <v>0.1</v>
      </c>
      <c r="CD221" s="12">
        <f t="shared" ca="1" si="38"/>
        <v>94.289116049382798</v>
      </c>
      <c r="CE221" s="12">
        <f t="shared" ca="1" si="39"/>
        <v>9.4289116049382802</v>
      </c>
      <c r="CS221" s="32"/>
      <c r="CT221" s="32"/>
      <c r="CU221" s="33"/>
      <c r="CV221" s="32"/>
      <c r="CW221" s="32"/>
      <c r="CX221" s="32"/>
      <c r="CY221" s="34"/>
      <c r="CZ221" s="34"/>
      <c r="DA221" s="34"/>
      <c r="DB221" s="33"/>
      <c r="DC221" s="33"/>
      <c r="DD221" s="33"/>
      <c r="DE221" s="33"/>
      <c r="DF221" s="33"/>
      <c r="DG221" s="33"/>
      <c r="DH221" s="34"/>
      <c r="DI221" s="34"/>
      <c r="DJ221" s="34"/>
      <c r="DK221" s="33"/>
      <c r="DL221" s="33"/>
      <c r="DM221" s="33"/>
      <c r="DN221" s="12">
        <v>5302072</v>
      </c>
      <c r="DS221" s="21"/>
      <c r="DT221" s="21"/>
      <c r="DU221" s="21"/>
    </row>
    <row r="222" spans="53:125" ht="13.5" customHeight="1">
      <c r="BA222" s="3"/>
      <c r="BB222" s="3"/>
      <c r="BC222" s="3"/>
      <c r="BT222" s="12">
        <v>5300072</v>
      </c>
      <c r="BU222" s="3">
        <f>[1]monsters!$N222</f>
        <v>272.8</v>
      </c>
      <c r="BV222" s="3">
        <f>[1]monsters!$O222</f>
        <v>27.28</v>
      </c>
      <c r="BW222" s="3">
        <f>[1]monsters!$P222</f>
        <v>1362.58</v>
      </c>
      <c r="BX222" s="3">
        <f>[1]monsters!$Q222</f>
        <v>136.26</v>
      </c>
      <c r="BY222" s="3">
        <f>[1]monsters!$R222</f>
        <v>27.28</v>
      </c>
      <c r="BZ222" s="3">
        <f>[1]monsters!$S222</f>
        <v>2.73</v>
      </c>
      <c r="CA222" s="3">
        <f>[1]monsters!$K222</f>
        <v>1.5</v>
      </c>
      <c r="CB222" s="12">
        <f>[1]monsters!$D222</f>
        <v>6</v>
      </c>
      <c r="CC222" s="12">
        <f t="shared" ca="1" si="37"/>
        <v>0.1</v>
      </c>
      <c r="CD222" s="12">
        <f t="shared" ca="1" si="38"/>
        <v>98.031316049382795</v>
      </c>
      <c r="CE222" s="12">
        <f t="shared" ca="1" si="39"/>
        <v>9.8031316049382795</v>
      </c>
      <c r="CS222" s="32"/>
      <c r="CT222" s="32"/>
      <c r="CU222" s="33"/>
      <c r="CV222" s="32"/>
      <c r="CW222" s="32"/>
      <c r="CX222" s="32"/>
      <c r="CY222" s="34"/>
      <c r="CZ222" s="34"/>
      <c r="DA222" s="34"/>
      <c r="DB222" s="33"/>
      <c r="DC222" s="33"/>
      <c r="DD222" s="33"/>
      <c r="DE222" s="33"/>
      <c r="DF222" s="33"/>
      <c r="DG222" s="33"/>
      <c r="DH222" s="34"/>
      <c r="DI222" s="34"/>
      <c r="DJ222" s="34"/>
      <c r="DK222" s="33"/>
      <c r="DL222" s="33"/>
      <c r="DM222" s="33"/>
      <c r="DN222" s="12">
        <v>5300072</v>
      </c>
      <c r="DS222" s="21"/>
      <c r="DT222" s="21"/>
      <c r="DU222" s="21"/>
    </row>
    <row r="223" spans="53:125" ht="13.5" customHeight="1">
      <c r="BA223" s="3"/>
      <c r="BB223" s="3"/>
      <c r="BC223" s="3"/>
      <c r="BT223" s="12">
        <v>5400072</v>
      </c>
      <c r="BU223" s="3">
        <f>[1]monsters!$N223</f>
        <v>176</v>
      </c>
      <c r="BV223" s="3">
        <f>[1]monsters!$O223</f>
        <v>17.600000000000001</v>
      </c>
      <c r="BW223" s="3">
        <f>[1]monsters!$P223</f>
        <v>2112</v>
      </c>
      <c r="BX223" s="3">
        <f>[1]monsters!$Q223</f>
        <v>211.2</v>
      </c>
      <c r="BY223" s="3">
        <f>[1]monsters!$R223</f>
        <v>44</v>
      </c>
      <c r="BZ223" s="3">
        <f>[1]monsters!$S223</f>
        <v>4.4000000000000004</v>
      </c>
      <c r="CA223" s="3">
        <f>[1]monsters!$K223</f>
        <v>1.5</v>
      </c>
      <c r="CB223" s="12">
        <f>[1]monsters!$D223</f>
        <v>2</v>
      </c>
      <c r="CC223" s="12">
        <f t="shared" ca="1" si="37"/>
        <v>0.1</v>
      </c>
      <c r="CD223" s="12">
        <f t="shared" ca="1" si="38"/>
        <v>95.289640404040398</v>
      </c>
      <c r="CE223" s="12">
        <f t="shared" ca="1" si="39"/>
        <v>9.5289640404040394</v>
      </c>
      <c r="CS223" s="32"/>
      <c r="CT223" s="32"/>
      <c r="CU223" s="33"/>
      <c r="CV223" s="32"/>
      <c r="CW223" s="32"/>
      <c r="CX223" s="32"/>
      <c r="CY223" s="34"/>
      <c r="CZ223" s="34"/>
      <c r="DA223" s="34"/>
      <c r="DB223" s="33"/>
      <c r="DC223" s="33"/>
      <c r="DD223" s="33"/>
      <c r="DE223" s="33"/>
      <c r="DF223" s="33"/>
      <c r="DG223" s="33"/>
      <c r="DH223" s="34"/>
      <c r="DI223" s="34"/>
      <c r="DJ223" s="34"/>
      <c r="DK223" s="33"/>
      <c r="DL223" s="33"/>
      <c r="DM223" s="33"/>
      <c r="DN223" s="12">
        <v>5400072</v>
      </c>
      <c r="DS223" s="21"/>
      <c r="DT223" s="21"/>
      <c r="DU223" s="21"/>
    </row>
    <row r="224" spans="53:125" ht="13.5" customHeight="1">
      <c r="BA224" s="3"/>
      <c r="BB224" s="3"/>
      <c r="BC224" s="3"/>
      <c r="BT224" s="12">
        <v>5402072</v>
      </c>
      <c r="BU224" s="3">
        <f>[1]monsters!$N224</f>
        <v>168.96</v>
      </c>
      <c r="BV224" s="3">
        <f>[1]monsters!$O224</f>
        <v>16.899999999999999</v>
      </c>
      <c r="BW224" s="3">
        <f>[1]monsters!$P224</f>
        <v>2640</v>
      </c>
      <c r="BX224" s="3">
        <f>[1]monsters!$Q224</f>
        <v>264</v>
      </c>
      <c r="BY224" s="3">
        <f>[1]monsters!$R224</f>
        <v>56.32</v>
      </c>
      <c r="BZ224" s="3">
        <f>[1]monsters!$S224</f>
        <v>5.63</v>
      </c>
      <c r="CA224" s="3">
        <f>[1]monsters!$K224</f>
        <v>1.8</v>
      </c>
      <c r="CB224" s="12">
        <f>[1]monsters!$D224</f>
        <v>2</v>
      </c>
      <c r="CC224" s="12">
        <f t="shared" ca="1" si="37"/>
        <v>0.1</v>
      </c>
      <c r="CD224" s="12">
        <f t="shared" ca="1" si="38"/>
        <v>109.01104040404</v>
      </c>
      <c r="CE224" s="12">
        <f t="shared" ca="1" si="39"/>
        <v>10.901104040404</v>
      </c>
      <c r="CS224" s="32"/>
      <c r="CT224" s="32"/>
      <c r="CU224" s="33"/>
      <c r="CV224" s="32"/>
      <c r="CW224" s="32"/>
      <c r="CX224" s="32"/>
      <c r="CY224" s="34"/>
      <c r="CZ224" s="34"/>
      <c r="DA224" s="34"/>
      <c r="DB224" s="33"/>
      <c r="DC224" s="33"/>
      <c r="DD224" s="33"/>
      <c r="DE224" s="33"/>
      <c r="DF224" s="33"/>
      <c r="DG224" s="33"/>
      <c r="DH224" s="34"/>
      <c r="DI224" s="34"/>
      <c r="DJ224" s="34"/>
      <c r="DK224" s="33"/>
      <c r="DL224" s="33"/>
      <c r="DM224" s="33"/>
      <c r="DN224" s="12">
        <v>5402072</v>
      </c>
      <c r="DS224" s="21"/>
      <c r="DT224" s="21"/>
      <c r="DU224" s="21"/>
    </row>
    <row r="225" spans="53:125" ht="13.5" customHeight="1">
      <c r="BA225" s="3"/>
      <c r="BB225" s="3"/>
      <c r="BC225" s="3"/>
      <c r="BT225" s="12">
        <v>5500072</v>
      </c>
      <c r="BU225" s="3">
        <f>[1]monsters!$N225</f>
        <v>190.08</v>
      </c>
      <c r="BV225" s="3">
        <f>[1]monsters!$O225</f>
        <v>19.010000000000002</v>
      </c>
      <c r="BW225" s="3">
        <f>[1]monsters!$P225</f>
        <v>2346.67</v>
      </c>
      <c r="BX225" s="3">
        <f>[1]monsters!$Q225</f>
        <v>234.67</v>
      </c>
      <c r="BY225" s="3">
        <f>[1]monsters!$R225</f>
        <v>38.020000000000003</v>
      </c>
      <c r="BZ225" s="3">
        <f>[1]monsters!$S225</f>
        <v>3.8</v>
      </c>
      <c r="CA225" s="3">
        <f>[1]monsters!$K225</f>
        <v>1.8</v>
      </c>
      <c r="CB225" s="12">
        <f>[1]monsters!$D225</f>
        <v>2</v>
      </c>
      <c r="CC225" s="12">
        <f t="shared" ca="1" si="37"/>
        <v>0.1</v>
      </c>
      <c r="CD225" s="12">
        <f t="shared" ca="1" si="38"/>
        <v>101.901837037037</v>
      </c>
      <c r="CE225" s="12">
        <f t="shared" ca="1" si="39"/>
        <v>10.190183703703701</v>
      </c>
      <c r="CS225" s="32"/>
      <c r="CT225" s="32"/>
      <c r="CU225" s="33"/>
      <c r="CV225" s="32"/>
      <c r="CW225" s="32"/>
      <c r="CX225" s="32"/>
      <c r="CY225" s="34"/>
      <c r="CZ225" s="34"/>
      <c r="DA225" s="34"/>
      <c r="DB225" s="33"/>
      <c r="DC225" s="33"/>
      <c r="DD225" s="33"/>
      <c r="DE225" s="33"/>
      <c r="DF225" s="33"/>
      <c r="DG225" s="33"/>
      <c r="DH225" s="34"/>
      <c r="DI225" s="34"/>
      <c r="DJ225" s="34"/>
      <c r="DK225" s="33"/>
      <c r="DL225" s="33"/>
      <c r="DM225" s="33"/>
      <c r="DN225" s="12">
        <v>5500072</v>
      </c>
      <c r="DS225" s="21"/>
      <c r="DT225" s="21"/>
      <c r="DU225" s="21"/>
    </row>
    <row r="226" spans="53:125" ht="13.5" customHeight="1">
      <c r="BA226" s="3"/>
      <c r="BB226" s="3"/>
      <c r="BC226" s="3"/>
      <c r="BT226" s="12">
        <v>5502072</v>
      </c>
      <c r="BU226" s="3">
        <f>[1]monsters!$N226</f>
        <v>126.72</v>
      </c>
      <c r="BV226" s="3">
        <f>[1]monsters!$O226</f>
        <v>12.67</v>
      </c>
      <c r="BW226" s="3">
        <f>[1]monsters!$P226</f>
        <v>2346.67</v>
      </c>
      <c r="BX226" s="3">
        <f>[1]monsters!$Q226</f>
        <v>234.67</v>
      </c>
      <c r="BY226" s="3">
        <f>[1]monsters!$R226</f>
        <v>25.34</v>
      </c>
      <c r="BZ226" s="3">
        <f>[1]monsters!$S226</f>
        <v>2.5299999999999998</v>
      </c>
      <c r="CA226" s="3">
        <f>[1]monsters!$K226</f>
        <v>1.2</v>
      </c>
      <c r="CB226" s="12">
        <f>[1]monsters!$D226</f>
        <v>3</v>
      </c>
      <c r="CC226" s="12">
        <f t="shared" ca="1" si="37"/>
        <v>0.1</v>
      </c>
      <c r="CD226" s="12">
        <f t="shared" ca="1" si="38"/>
        <v>101.901837037037</v>
      </c>
      <c r="CE226" s="12">
        <f t="shared" ca="1" si="39"/>
        <v>10.190183703703701</v>
      </c>
      <c r="CS226" s="32"/>
      <c r="CT226" s="32"/>
      <c r="CU226" s="33"/>
      <c r="CV226" s="32"/>
      <c r="CW226" s="32"/>
      <c r="CX226" s="32"/>
      <c r="CY226" s="34"/>
      <c r="CZ226" s="34"/>
      <c r="DA226" s="34"/>
      <c r="DB226" s="33"/>
      <c r="DC226" s="33"/>
      <c r="DD226" s="33"/>
      <c r="DE226" s="33"/>
      <c r="DF226" s="33"/>
      <c r="DG226" s="33"/>
      <c r="DH226" s="34"/>
      <c r="DI226" s="34"/>
      <c r="DJ226" s="34"/>
      <c r="DK226" s="33"/>
      <c r="DL226" s="33"/>
      <c r="DM226" s="33"/>
      <c r="DN226" s="12">
        <v>5502072</v>
      </c>
      <c r="DS226" s="21"/>
      <c r="DT226" s="21"/>
      <c r="DU226" s="21"/>
    </row>
    <row r="227" spans="53:125" ht="13.5" customHeight="1">
      <c r="BA227" s="3"/>
      <c r="BB227" s="3"/>
      <c r="BC227" s="3"/>
      <c r="BT227" s="12">
        <v>5600072</v>
      </c>
      <c r="BU227" s="3">
        <f>[1]monsters!$N227</f>
        <v>225.28</v>
      </c>
      <c r="BV227" s="3">
        <f>[1]monsters!$O227</f>
        <v>22.53</v>
      </c>
      <c r="BW227" s="3">
        <f>[1]monsters!$P227</f>
        <v>1760</v>
      </c>
      <c r="BX227" s="3">
        <f>[1]monsters!$Q227</f>
        <v>176</v>
      </c>
      <c r="BY227" s="3">
        <f>[1]monsters!$R227</f>
        <v>32.18</v>
      </c>
      <c r="BZ227" s="3">
        <f>[1]monsters!$S227</f>
        <v>3.22</v>
      </c>
      <c r="CA227" s="3">
        <f>[1]monsters!$K227</f>
        <v>1.6</v>
      </c>
      <c r="CB227" s="12">
        <f>[1]monsters!$D227</f>
        <v>4</v>
      </c>
      <c r="CC227" s="12">
        <f t="shared" ca="1" si="37"/>
        <v>0.1</v>
      </c>
      <c r="CD227" s="12">
        <f t="shared" ca="1" si="38"/>
        <v>98.498444444444402</v>
      </c>
      <c r="CE227" s="12">
        <f t="shared" ca="1" si="39"/>
        <v>9.8498444444444395</v>
      </c>
      <c r="CS227" s="32"/>
      <c r="CT227" s="32"/>
      <c r="CU227" s="33"/>
      <c r="CV227" s="32"/>
      <c r="CW227" s="32"/>
      <c r="CX227" s="32"/>
      <c r="CY227" s="34"/>
      <c r="CZ227" s="34"/>
      <c r="DA227" s="34"/>
      <c r="DB227" s="33"/>
      <c r="DC227" s="33"/>
      <c r="DD227" s="33"/>
      <c r="DE227" s="33"/>
      <c r="DF227" s="33"/>
      <c r="DG227" s="33"/>
      <c r="DH227" s="34"/>
      <c r="DI227" s="34"/>
      <c r="DJ227" s="34"/>
      <c r="DK227" s="33"/>
      <c r="DL227" s="33"/>
      <c r="DM227" s="33"/>
      <c r="DN227" s="12">
        <v>5600072</v>
      </c>
      <c r="DS227" s="21"/>
      <c r="DT227" s="21"/>
      <c r="DU227" s="21"/>
    </row>
    <row r="228" spans="53:125" ht="13.5" customHeight="1">
      <c r="BA228" s="3"/>
      <c r="BB228" s="3"/>
      <c r="BC228" s="3"/>
      <c r="BT228" s="12">
        <v>5602072</v>
      </c>
      <c r="BU228" s="3">
        <f>[1]monsters!$N228</f>
        <v>211.2</v>
      </c>
      <c r="BV228" s="3">
        <f>[1]monsters!$O228</f>
        <v>21.12</v>
      </c>
      <c r="BW228" s="3">
        <f>[1]monsters!$P228</f>
        <v>1760</v>
      </c>
      <c r="BX228" s="3">
        <f>[1]monsters!$Q228</f>
        <v>176</v>
      </c>
      <c r="BY228" s="3">
        <f>[1]monsters!$R228</f>
        <v>30.17</v>
      </c>
      <c r="BZ228" s="3">
        <f>[1]monsters!$S228</f>
        <v>3.02</v>
      </c>
      <c r="CA228" s="3">
        <f>[1]monsters!$K228</f>
        <v>1.5</v>
      </c>
      <c r="CB228" s="12">
        <f>[1]monsters!$D228</f>
        <v>4</v>
      </c>
      <c r="CC228" s="12">
        <f t="shared" ca="1" si="37"/>
        <v>0.1</v>
      </c>
      <c r="CD228" s="12">
        <f t="shared" ca="1" si="38"/>
        <v>127.604444444444</v>
      </c>
      <c r="CE228" s="12">
        <f t="shared" ca="1" si="39"/>
        <v>12.760444444444399</v>
      </c>
      <c r="CS228" s="32"/>
      <c r="CT228" s="32"/>
      <c r="CU228" s="33"/>
      <c r="CV228" s="32"/>
      <c r="CW228" s="32"/>
      <c r="CX228" s="32"/>
      <c r="CY228" s="34"/>
      <c r="CZ228" s="34"/>
      <c r="DA228" s="34"/>
      <c r="DB228" s="33"/>
      <c r="DC228" s="33"/>
      <c r="DD228" s="33"/>
      <c r="DE228" s="33"/>
      <c r="DF228" s="33"/>
      <c r="DG228" s="33"/>
      <c r="DH228" s="34"/>
      <c r="DI228" s="34"/>
      <c r="DJ228" s="34"/>
      <c r="DK228" s="33"/>
      <c r="DL228" s="33"/>
      <c r="DM228" s="33"/>
      <c r="DN228" s="12">
        <v>5602072</v>
      </c>
      <c r="DS228" s="21"/>
      <c r="DT228" s="21"/>
      <c r="DU228" s="21"/>
    </row>
    <row r="229" spans="53:125" ht="13.5" customHeight="1">
      <c r="BA229" s="3"/>
      <c r="BB229" s="3"/>
      <c r="BC229" s="3"/>
      <c r="BT229" s="12">
        <v>5200073</v>
      </c>
      <c r="BU229" s="3">
        <f>[1]monsters!$N229</f>
        <v>246.4</v>
      </c>
      <c r="BV229" s="3">
        <f>[1]monsters!$O229</f>
        <v>24.64</v>
      </c>
      <c r="BW229" s="3">
        <f>[1]monsters!$P229</f>
        <v>1508.57</v>
      </c>
      <c r="BX229" s="3">
        <f>[1]monsters!$Q229</f>
        <v>150.86000000000001</v>
      </c>
      <c r="BY229" s="3">
        <f>[1]monsters!$R229</f>
        <v>30.8</v>
      </c>
      <c r="BZ229" s="3">
        <f>[1]monsters!$S229</f>
        <v>3.08</v>
      </c>
      <c r="CA229" s="3">
        <f>[1]monsters!$K229</f>
        <v>1.5</v>
      </c>
      <c r="CB229" s="12">
        <f>[1]monsters!$D229</f>
        <v>5</v>
      </c>
      <c r="CC229" s="12">
        <f t="shared" ca="1" si="37"/>
        <v>0.1</v>
      </c>
      <c r="CD229" s="12">
        <f t="shared" ca="1" si="38"/>
        <v>105.451555555556</v>
      </c>
      <c r="CE229" s="12">
        <f t="shared" ca="1" si="39"/>
        <v>10.545155555555599</v>
      </c>
      <c r="CS229" s="32"/>
      <c r="CT229" s="32"/>
      <c r="CU229" s="33"/>
      <c r="CV229" s="32"/>
      <c r="CW229" s="32"/>
      <c r="CX229" s="32"/>
      <c r="CY229" s="34"/>
      <c r="CZ229" s="34"/>
      <c r="DA229" s="34"/>
      <c r="DB229" s="33"/>
      <c r="DC229" s="33"/>
      <c r="DD229" s="33"/>
      <c r="DE229" s="33"/>
      <c r="DF229" s="33"/>
      <c r="DG229" s="33"/>
      <c r="DH229" s="34"/>
      <c r="DI229" s="34"/>
      <c r="DJ229" s="34"/>
      <c r="DK229" s="34"/>
      <c r="DL229" s="34"/>
      <c r="DM229" s="34"/>
      <c r="DN229" s="12">
        <v>5200073</v>
      </c>
      <c r="DS229" s="21"/>
      <c r="DT229" s="21"/>
      <c r="DU229" s="21"/>
    </row>
    <row r="230" spans="53:125" ht="13.5" customHeight="1">
      <c r="BA230" s="3"/>
      <c r="BB230" s="3"/>
      <c r="BC230" s="3"/>
      <c r="BT230" s="12">
        <v>5202073</v>
      </c>
      <c r="BU230" s="3">
        <f>[1]monsters!$N230</f>
        <v>229.97</v>
      </c>
      <c r="BV230" s="3">
        <f>[1]monsters!$O230</f>
        <v>23</v>
      </c>
      <c r="BW230" s="3">
        <f>[1]monsters!$P230</f>
        <v>1508.57</v>
      </c>
      <c r="BX230" s="3">
        <f>[1]monsters!$Q230</f>
        <v>150.86000000000001</v>
      </c>
      <c r="BY230" s="3">
        <f>[1]monsters!$R230</f>
        <v>28.75</v>
      </c>
      <c r="BZ230" s="3">
        <f>[1]monsters!$S230</f>
        <v>2.87</v>
      </c>
      <c r="CA230" s="3">
        <f>[1]monsters!$K230</f>
        <v>1.4000000000000001</v>
      </c>
      <c r="CB230" s="12">
        <f>[1]monsters!$D230</f>
        <v>5</v>
      </c>
      <c r="CC230" s="12">
        <f t="shared" ca="1" si="37"/>
        <v>0.1</v>
      </c>
      <c r="CD230" s="12">
        <f t="shared" ca="1" si="38"/>
        <v>122.083555555556</v>
      </c>
      <c r="CE230" s="12">
        <f t="shared" ca="1" si="39"/>
        <v>12.208355555555601</v>
      </c>
      <c r="CS230" s="32"/>
      <c r="CT230" s="32"/>
      <c r="CU230" s="33"/>
      <c r="CV230" s="32"/>
      <c r="CW230" s="32"/>
      <c r="CX230" s="32"/>
      <c r="CY230" s="34"/>
      <c r="CZ230" s="34"/>
      <c r="DA230" s="34"/>
      <c r="DB230" s="33"/>
      <c r="DC230" s="33"/>
      <c r="DD230" s="33"/>
      <c r="DE230" s="33"/>
      <c r="DF230" s="33"/>
      <c r="DG230" s="33"/>
      <c r="DH230" s="34"/>
      <c r="DI230" s="34"/>
      <c r="DJ230" s="34"/>
      <c r="DK230" s="34"/>
      <c r="DL230" s="34"/>
      <c r="DM230" s="34"/>
      <c r="DN230" s="12">
        <v>5202073</v>
      </c>
      <c r="DS230" s="21"/>
      <c r="DT230" s="21"/>
      <c r="DU230" s="21"/>
    </row>
    <row r="231" spans="53:125" ht="13.5" customHeight="1">
      <c r="BA231" s="3"/>
      <c r="BB231" s="3"/>
      <c r="BC231" s="3"/>
      <c r="BT231" s="12">
        <v>5302073</v>
      </c>
      <c r="BU231" s="3">
        <f>[1]monsters!$N231</f>
        <v>272.8</v>
      </c>
      <c r="BV231" s="3">
        <f>[1]monsters!$O231</f>
        <v>27.28</v>
      </c>
      <c r="BW231" s="3">
        <f>[1]monsters!$P231</f>
        <v>1362.58</v>
      </c>
      <c r="BX231" s="3">
        <f>[1]monsters!$Q231</f>
        <v>136.26</v>
      </c>
      <c r="BY231" s="3">
        <f>[1]monsters!$R231</f>
        <v>27.28</v>
      </c>
      <c r="BZ231" s="3">
        <f>[1]monsters!$S231</f>
        <v>2.73</v>
      </c>
      <c r="CA231" s="3">
        <f>[1]monsters!$K231</f>
        <v>1.5</v>
      </c>
      <c r="CB231" s="12">
        <f>[1]monsters!$D231</f>
        <v>6</v>
      </c>
      <c r="CC231" s="12">
        <f t="shared" ca="1" si="37"/>
        <v>0.1</v>
      </c>
      <c r="CD231" s="12">
        <f t="shared" ca="1" si="38"/>
        <v>94.289116049382798</v>
      </c>
      <c r="CE231" s="12">
        <f t="shared" ca="1" si="39"/>
        <v>9.4289116049382802</v>
      </c>
      <c r="CS231" s="32"/>
      <c r="CT231" s="32"/>
      <c r="CU231" s="33"/>
      <c r="CV231" s="32"/>
      <c r="CW231" s="32"/>
      <c r="CX231" s="32"/>
      <c r="CY231" s="34"/>
      <c r="CZ231" s="34"/>
      <c r="DA231" s="34"/>
      <c r="DB231" s="33"/>
      <c r="DC231" s="33"/>
      <c r="DD231" s="33"/>
      <c r="DE231" s="33"/>
      <c r="DF231" s="33"/>
      <c r="DG231" s="33"/>
      <c r="DH231" s="34"/>
      <c r="DI231" s="34"/>
      <c r="DJ231" s="34"/>
      <c r="DK231" s="34"/>
      <c r="DL231" s="34"/>
      <c r="DM231" s="34"/>
      <c r="DN231" s="12">
        <v>5302073</v>
      </c>
      <c r="DS231" s="21"/>
      <c r="DT231" s="21"/>
      <c r="DU231" s="21"/>
    </row>
    <row r="232" spans="53:125" ht="13.5" customHeight="1">
      <c r="BA232" s="3"/>
      <c r="BB232" s="3"/>
      <c r="BC232" s="3"/>
      <c r="BT232" s="12">
        <v>5301073</v>
      </c>
      <c r="BU232" s="3">
        <f>[1]monsters!$N232</f>
        <v>168.96</v>
      </c>
      <c r="BV232" s="3">
        <f>[1]monsters!$O232</f>
        <v>16.899999999999999</v>
      </c>
      <c r="BW232" s="3">
        <f>[1]monsters!$P232</f>
        <v>2640</v>
      </c>
      <c r="BX232" s="3">
        <f>[1]monsters!$Q232</f>
        <v>264</v>
      </c>
      <c r="BY232" s="3">
        <f>[1]monsters!$R232</f>
        <v>56.32</v>
      </c>
      <c r="BZ232" s="3">
        <f>[1]monsters!$S232</f>
        <v>5.63</v>
      </c>
      <c r="CA232" s="3">
        <f>[1]monsters!$K232</f>
        <v>1.8</v>
      </c>
      <c r="CB232" s="12">
        <f>[1]monsters!$D232</f>
        <v>2</v>
      </c>
      <c r="CC232" s="12">
        <f t="shared" ca="1" si="37"/>
        <v>0.1</v>
      </c>
      <c r="CD232" s="12">
        <f t="shared" ca="1" si="38"/>
        <v>98.031316049382795</v>
      </c>
      <c r="CE232" s="12">
        <f t="shared" ca="1" si="39"/>
        <v>9.8031316049382795</v>
      </c>
      <c r="CS232" s="32"/>
      <c r="CT232" s="32"/>
      <c r="CU232" s="33"/>
      <c r="CV232" s="32"/>
      <c r="CW232" s="32"/>
      <c r="CX232" s="32"/>
      <c r="CY232" s="34"/>
      <c r="CZ232" s="34"/>
      <c r="DA232" s="34"/>
      <c r="DB232" s="33"/>
      <c r="DC232" s="33"/>
      <c r="DD232" s="33"/>
      <c r="DE232" s="33"/>
      <c r="DF232" s="33"/>
      <c r="DG232" s="33"/>
      <c r="DH232" s="34"/>
      <c r="DI232" s="34"/>
      <c r="DJ232" s="34"/>
      <c r="DK232" s="34"/>
      <c r="DL232" s="34"/>
      <c r="DM232" s="34"/>
      <c r="DN232" s="12">
        <v>5301073</v>
      </c>
      <c r="DS232" s="21"/>
      <c r="DT232" s="21"/>
      <c r="DU232" s="21"/>
    </row>
    <row r="233" spans="53:125" ht="13.5" customHeight="1">
      <c r="BA233" s="3"/>
      <c r="BB233" s="3"/>
      <c r="BC233" s="3"/>
      <c r="BT233" s="12">
        <v>5400073</v>
      </c>
      <c r="BU233" s="3">
        <f>[1]monsters!$N233</f>
        <v>147.84</v>
      </c>
      <c r="BV233" s="3">
        <f>[1]monsters!$O233</f>
        <v>14.78</v>
      </c>
      <c r="BW233" s="3">
        <f>[1]monsters!$P233</f>
        <v>2346.67</v>
      </c>
      <c r="BX233" s="3">
        <f>[1]monsters!$Q233</f>
        <v>234.67</v>
      </c>
      <c r="BY233" s="3">
        <f>[1]monsters!$R233</f>
        <v>29.57</v>
      </c>
      <c r="BZ233" s="3">
        <f>[1]monsters!$S233</f>
        <v>2.96</v>
      </c>
      <c r="CA233" s="3">
        <f>[1]monsters!$K233</f>
        <v>1.4000000000000001</v>
      </c>
      <c r="CB233" s="12">
        <f>[1]monsters!$D233</f>
        <v>3</v>
      </c>
      <c r="CC233" s="12">
        <f t="shared" ca="1" si="37"/>
        <v>0.1</v>
      </c>
      <c r="CD233" s="12">
        <f t="shared" ca="1" si="38"/>
        <v>95.289640404040398</v>
      </c>
      <c r="CE233" s="12">
        <f t="shared" ca="1" si="39"/>
        <v>9.5289640404040394</v>
      </c>
      <c r="CS233" s="32"/>
      <c r="CT233" s="32"/>
      <c r="CU233" s="33"/>
      <c r="CV233" s="32"/>
      <c r="CW233" s="32"/>
      <c r="CX233" s="32"/>
      <c r="CY233" s="34"/>
      <c r="CZ233" s="34"/>
      <c r="DA233" s="34"/>
      <c r="DB233" s="33"/>
      <c r="DC233" s="33"/>
      <c r="DD233" s="33"/>
      <c r="DE233" s="33"/>
      <c r="DF233" s="33"/>
      <c r="DG233" s="33"/>
      <c r="DH233" s="34"/>
      <c r="DI233" s="34"/>
      <c r="DJ233" s="34"/>
      <c r="DK233" s="34"/>
      <c r="DL233" s="34"/>
      <c r="DM233" s="34"/>
      <c r="DN233" s="12">
        <v>5400073</v>
      </c>
      <c r="DS233" s="21"/>
      <c r="DT233" s="21"/>
      <c r="DU233" s="21"/>
    </row>
    <row r="234" spans="53:125" ht="13.5" customHeight="1">
      <c r="BT234" s="12">
        <v>5401073</v>
      </c>
      <c r="BU234" s="3">
        <f>[1]monsters!$N234</f>
        <v>262.83</v>
      </c>
      <c r="BV234" s="3">
        <f>[1]monsters!$O234</f>
        <v>26.28</v>
      </c>
      <c r="BW234" s="3">
        <f>[1]monsters!$P234</f>
        <v>1508.57</v>
      </c>
      <c r="BX234" s="3">
        <f>[1]monsters!$Q234</f>
        <v>150.86000000000001</v>
      </c>
      <c r="BY234" s="3">
        <f>[1]monsters!$R234</f>
        <v>32.85</v>
      </c>
      <c r="BZ234" s="3">
        <f>[1]monsters!$S234</f>
        <v>3.29</v>
      </c>
      <c r="CA234" s="3">
        <f>[1]monsters!$K234</f>
        <v>1.6</v>
      </c>
      <c r="CB234" s="12">
        <f>[1]monsters!$D234</f>
        <v>5</v>
      </c>
      <c r="CC234" s="12">
        <f t="shared" ca="1" si="37"/>
        <v>0.1</v>
      </c>
      <c r="CD234" s="12">
        <f t="shared" ca="1" si="38"/>
        <v>109.01104040404</v>
      </c>
      <c r="CE234" s="12">
        <f t="shared" ca="1" si="39"/>
        <v>10.901104040404</v>
      </c>
      <c r="CS234" s="32"/>
      <c r="CT234" s="32"/>
      <c r="CU234" s="33"/>
      <c r="CV234" s="32"/>
      <c r="CW234" s="32"/>
      <c r="CX234" s="32"/>
      <c r="CY234" s="34"/>
      <c r="CZ234" s="34"/>
      <c r="DA234" s="34"/>
      <c r="DB234" s="33"/>
      <c r="DC234" s="33"/>
      <c r="DD234" s="33"/>
      <c r="DE234" s="33"/>
      <c r="DF234" s="33"/>
      <c r="DG234" s="33"/>
      <c r="DH234" s="34"/>
      <c r="DI234" s="34"/>
      <c r="DJ234" s="34"/>
      <c r="DK234" s="34"/>
      <c r="DL234" s="34"/>
      <c r="DM234" s="34"/>
      <c r="DN234" s="12">
        <v>5401073</v>
      </c>
      <c r="DS234" s="21"/>
      <c r="DT234" s="21"/>
      <c r="DU234" s="21"/>
    </row>
    <row r="235" spans="53:125" ht="13.5" customHeight="1">
      <c r="BT235" s="12">
        <v>5501073</v>
      </c>
      <c r="BU235" s="3">
        <f>[1]monsters!$N235</f>
        <v>254.61</v>
      </c>
      <c r="BV235" s="3">
        <f>[1]monsters!$O235</f>
        <v>25.46</v>
      </c>
      <c r="BW235" s="3">
        <f>[1]monsters!$P235</f>
        <v>1362.58</v>
      </c>
      <c r="BX235" s="3">
        <f>[1]monsters!$Q235</f>
        <v>136.26</v>
      </c>
      <c r="BY235" s="3">
        <f>[1]monsters!$R235</f>
        <v>25.46</v>
      </c>
      <c r="BZ235" s="3">
        <f>[1]monsters!$S235</f>
        <v>2.5499999999999998</v>
      </c>
      <c r="CA235" s="3">
        <f>[1]monsters!$K235</f>
        <v>1.4000000000000001</v>
      </c>
      <c r="CB235" s="12">
        <f>[1]monsters!$D235</f>
        <v>6</v>
      </c>
      <c r="CC235" s="12">
        <f t="shared" ca="1" si="37"/>
        <v>0.1</v>
      </c>
      <c r="CD235" s="12">
        <f t="shared" ca="1" si="38"/>
        <v>116.870637037037</v>
      </c>
      <c r="CE235" s="12">
        <f t="shared" ca="1" si="39"/>
        <v>11.6870637037037</v>
      </c>
      <c r="CS235" s="32"/>
      <c r="CT235" s="32"/>
      <c r="CU235" s="33"/>
      <c r="CV235" s="32"/>
      <c r="CW235" s="32"/>
      <c r="CX235" s="32"/>
      <c r="CY235" s="34"/>
      <c r="CZ235" s="34"/>
      <c r="DA235" s="34"/>
      <c r="DB235" s="33"/>
      <c r="DC235" s="33"/>
      <c r="DD235" s="33"/>
      <c r="DE235" s="33"/>
      <c r="DF235" s="33"/>
      <c r="DG235" s="33"/>
      <c r="DH235" s="34"/>
      <c r="DI235" s="34"/>
      <c r="DJ235" s="34"/>
      <c r="DK235" s="34"/>
      <c r="DL235" s="34"/>
      <c r="DM235" s="34"/>
      <c r="DN235" s="12">
        <v>5501073</v>
      </c>
      <c r="DS235" s="21"/>
      <c r="DT235" s="21"/>
      <c r="DU235" s="21"/>
    </row>
    <row r="236" spans="53:125" ht="13.5" customHeight="1">
      <c r="BT236" s="12">
        <v>5502073</v>
      </c>
      <c r="BU236" s="3">
        <f>[1]monsters!$N236</f>
        <v>327.36</v>
      </c>
      <c r="BV236" s="3">
        <f>[1]monsters!$O236</f>
        <v>32.74</v>
      </c>
      <c r="BW236" s="3">
        <f>[1]monsters!$P236</f>
        <v>1362.58</v>
      </c>
      <c r="BX236" s="3">
        <f>[1]monsters!$Q236</f>
        <v>136.26</v>
      </c>
      <c r="BY236" s="3">
        <f>[1]monsters!$R236</f>
        <v>32.74</v>
      </c>
      <c r="BZ236" s="3">
        <f>[1]monsters!$S236</f>
        <v>3.27</v>
      </c>
      <c r="CA236" s="3">
        <f>[1]monsters!$K236</f>
        <v>1.8</v>
      </c>
      <c r="CB236" s="12">
        <f>[1]monsters!$D236</f>
        <v>6</v>
      </c>
      <c r="CC236" s="12">
        <f t="shared" ca="1" si="37"/>
        <v>0.1</v>
      </c>
      <c r="CD236" s="12">
        <f t="shared" ca="1" si="38"/>
        <v>101.901837037037</v>
      </c>
      <c r="CE236" s="12">
        <f t="shared" ca="1" si="39"/>
        <v>10.190183703703701</v>
      </c>
      <c r="CS236" s="32"/>
      <c r="CT236" s="32"/>
      <c r="CU236" s="33"/>
      <c r="CV236" s="32"/>
      <c r="CW236" s="32"/>
      <c r="CX236" s="32"/>
      <c r="CY236" s="34"/>
      <c r="CZ236" s="34"/>
      <c r="DA236" s="34"/>
      <c r="DB236" s="33"/>
      <c r="DC236" s="33"/>
      <c r="DD236" s="33"/>
      <c r="DE236" s="33"/>
      <c r="DF236" s="33"/>
      <c r="DG236" s="33"/>
      <c r="DH236" s="34"/>
      <c r="DI236" s="34"/>
      <c r="DJ236" s="34"/>
      <c r="DK236" s="34"/>
      <c r="DL236" s="34"/>
      <c r="DM236" s="34"/>
      <c r="DN236" s="12">
        <v>5502073</v>
      </c>
      <c r="DS236" s="21"/>
      <c r="DT236" s="21"/>
      <c r="DU236" s="21"/>
    </row>
    <row r="237" spans="53:125" ht="13.5" customHeight="1">
      <c r="BT237" s="12">
        <v>5600073</v>
      </c>
      <c r="BU237" s="3">
        <f>[1]monsters!$N237</f>
        <v>190.08</v>
      </c>
      <c r="BV237" s="3">
        <f>[1]monsters!$O237</f>
        <v>19.010000000000002</v>
      </c>
      <c r="BW237" s="3">
        <f>[1]monsters!$P237</f>
        <v>2346.67</v>
      </c>
      <c r="BX237" s="3">
        <f>[1]monsters!$Q237</f>
        <v>234.67</v>
      </c>
      <c r="BY237" s="3">
        <f>[1]monsters!$R237</f>
        <v>38.020000000000003</v>
      </c>
      <c r="BZ237" s="3">
        <f>[1]monsters!$S237</f>
        <v>3.8</v>
      </c>
      <c r="CA237" s="3">
        <f>[1]monsters!$K237</f>
        <v>1.8</v>
      </c>
      <c r="CB237" s="12">
        <f>[1]monsters!$D237</f>
        <v>2</v>
      </c>
      <c r="CC237" s="12">
        <f t="shared" ca="1" si="37"/>
        <v>0.1</v>
      </c>
      <c r="CD237" s="12">
        <f t="shared" ca="1" si="38"/>
        <v>98.498444444444402</v>
      </c>
      <c r="CE237" s="12">
        <f t="shared" ca="1" si="39"/>
        <v>9.8498444444444395</v>
      </c>
      <c r="CS237" s="32"/>
      <c r="CT237" s="32"/>
      <c r="CU237" s="33"/>
      <c r="CV237" s="32"/>
      <c r="CW237" s="32"/>
      <c r="CX237" s="32"/>
      <c r="CY237" s="34"/>
      <c r="CZ237" s="34"/>
      <c r="DA237" s="34"/>
      <c r="DB237" s="33"/>
      <c r="DC237" s="33"/>
      <c r="DD237" s="33"/>
      <c r="DE237" s="33"/>
      <c r="DF237" s="33"/>
      <c r="DG237" s="33"/>
      <c r="DH237" s="34"/>
      <c r="DI237" s="34"/>
      <c r="DJ237" s="34"/>
      <c r="DK237" s="34"/>
      <c r="DL237" s="34"/>
      <c r="DM237" s="34"/>
      <c r="DN237" s="12">
        <v>5600073</v>
      </c>
      <c r="DS237" s="21"/>
      <c r="DT237" s="21"/>
      <c r="DU237" s="21"/>
    </row>
    <row r="238" spans="53:125" ht="13.5" customHeight="1">
      <c r="BT238" s="12">
        <v>5601073</v>
      </c>
      <c r="BU238" s="3">
        <f>[1]monsters!$N238</f>
        <v>137.28</v>
      </c>
      <c r="BV238" s="3">
        <f>[1]monsters!$O238</f>
        <v>13.73</v>
      </c>
      <c r="BW238" s="3">
        <f>[1]monsters!$P238</f>
        <v>2346.67</v>
      </c>
      <c r="BX238" s="3">
        <f>[1]monsters!$Q238</f>
        <v>234.67</v>
      </c>
      <c r="BY238" s="3">
        <f>[1]monsters!$R238</f>
        <v>27.46</v>
      </c>
      <c r="BZ238" s="3">
        <f>[1]monsters!$S238</f>
        <v>2.75</v>
      </c>
      <c r="CA238" s="3">
        <f>[1]monsters!$K238</f>
        <v>1.3</v>
      </c>
      <c r="CB238" s="12">
        <f>[1]monsters!$D238</f>
        <v>3</v>
      </c>
      <c r="CC238" s="12">
        <f t="shared" ca="1" si="37"/>
        <v>0.1</v>
      </c>
      <c r="CD238" s="12">
        <f t="shared" ca="1" si="38"/>
        <v>106.81444444444401</v>
      </c>
      <c r="CE238" s="12">
        <f t="shared" ca="1" si="39"/>
        <v>10.6814444444444</v>
      </c>
      <c r="CS238" s="32"/>
      <c r="CT238" s="32"/>
      <c r="CU238" s="33"/>
      <c r="CV238" s="32"/>
      <c r="CW238" s="32"/>
      <c r="CX238" s="32"/>
      <c r="CY238" s="34"/>
      <c r="CZ238" s="34"/>
      <c r="DA238" s="34"/>
      <c r="DB238" s="33"/>
      <c r="DC238" s="33"/>
      <c r="DD238" s="33"/>
      <c r="DE238" s="33"/>
      <c r="DF238" s="33"/>
      <c r="DG238" s="33"/>
      <c r="DH238" s="34"/>
      <c r="DI238" s="34"/>
      <c r="DJ238" s="34"/>
      <c r="DK238" s="34"/>
      <c r="DL238" s="34"/>
      <c r="DM238" s="34"/>
      <c r="DN238" s="12">
        <v>5601073</v>
      </c>
      <c r="DS238" s="21"/>
      <c r="DT238" s="21"/>
      <c r="DU238" s="21"/>
    </row>
    <row r="239" spans="53:125" ht="13.5" customHeight="1">
      <c r="BT239" s="12">
        <v>5200074</v>
      </c>
      <c r="BU239" s="3">
        <f>[1]monsters!$N239</f>
        <v>147.84</v>
      </c>
      <c r="BV239" s="3">
        <f>[1]monsters!$O239</f>
        <v>14.78</v>
      </c>
      <c r="BW239" s="3">
        <f>[1]monsters!$P239</f>
        <v>2346.67</v>
      </c>
      <c r="BX239" s="3">
        <f>[1]monsters!$Q239</f>
        <v>234.67</v>
      </c>
      <c r="BY239" s="3">
        <f>[1]monsters!$R239</f>
        <v>29.57</v>
      </c>
      <c r="BZ239" s="3">
        <f>[1]monsters!$S239</f>
        <v>2.96</v>
      </c>
      <c r="CA239" s="3">
        <f>[1]monsters!$K239</f>
        <v>1.4000000000000001</v>
      </c>
      <c r="CB239" s="12">
        <f>[1]monsters!$D239</f>
        <v>3</v>
      </c>
      <c r="CC239" s="12">
        <f t="shared" ca="1" si="37"/>
        <v>0.1</v>
      </c>
      <c r="CD239" s="12">
        <f t="shared" ca="1" si="38"/>
        <v>105.451555555556</v>
      </c>
      <c r="CE239" s="12">
        <f t="shared" ca="1" si="39"/>
        <v>10.545155555555599</v>
      </c>
      <c r="CS239" s="32"/>
      <c r="CT239" s="32"/>
      <c r="CU239" s="33"/>
      <c r="CV239" s="32"/>
      <c r="CW239" s="32"/>
      <c r="CX239" s="32"/>
      <c r="CY239" s="34"/>
      <c r="CZ239" s="34"/>
      <c r="DA239" s="34"/>
      <c r="DB239" s="33"/>
      <c r="DC239" s="33"/>
      <c r="DD239" s="33"/>
      <c r="DE239" s="33"/>
      <c r="DF239" s="33"/>
      <c r="DG239" s="33"/>
      <c r="DH239" s="34"/>
      <c r="DI239" s="34"/>
      <c r="DJ239" s="34"/>
      <c r="DK239" s="34"/>
      <c r="DL239" s="34"/>
      <c r="DM239" s="34"/>
      <c r="DN239" s="12">
        <v>5200074</v>
      </c>
      <c r="DS239" s="21"/>
      <c r="DT239" s="21"/>
      <c r="DU239" s="21"/>
    </row>
    <row r="240" spans="53:125" ht="13.5" customHeight="1">
      <c r="BT240" s="12">
        <v>5201074</v>
      </c>
      <c r="BU240" s="3">
        <f>[1]monsters!$N240</f>
        <v>197.12</v>
      </c>
      <c r="BV240" s="3">
        <f>[1]monsters!$O240</f>
        <v>19.71</v>
      </c>
      <c r="BW240" s="3">
        <f>[1]monsters!$P240</f>
        <v>1760</v>
      </c>
      <c r="BX240" s="3">
        <f>[1]monsters!$Q240</f>
        <v>176</v>
      </c>
      <c r="BY240" s="3">
        <f>[1]monsters!$R240</f>
        <v>28.16</v>
      </c>
      <c r="BZ240" s="3">
        <f>[1]monsters!$S240</f>
        <v>2.82</v>
      </c>
      <c r="CA240" s="3">
        <f>[1]monsters!$K240</f>
        <v>1.4000000000000001</v>
      </c>
      <c r="CB240" s="12">
        <f>[1]monsters!$D240</f>
        <v>4</v>
      </c>
      <c r="CC240" s="12">
        <f t="shared" ca="1" si="37"/>
        <v>0.1</v>
      </c>
      <c r="CD240" s="12">
        <f t="shared" ca="1" si="38"/>
        <v>122.083555555556</v>
      </c>
      <c r="CE240" s="12">
        <f t="shared" ca="1" si="39"/>
        <v>12.208355555555601</v>
      </c>
      <c r="CS240" s="32"/>
      <c r="CT240" s="32"/>
      <c r="CU240" s="33"/>
      <c r="CV240" s="32"/>
      <c r="CW240" s="32"/>
      <c r="CX240" s="32"/>
      <c r="CY240" s="34"/>
      <c r="CZ240" s="34"/>
      <c r="DA240" s="34"/>
      <c r="DB240" s="33"/>
      <c r="DC240" s="33"/>
      <c r="DD240" s="33"/>
      <c r="DE240" s="33"/>
      <c r="DF240" s="33"/>
      <c r="DG240" s="33"/>
      <c r="DH240" s="34"/>
      <c r="DI240" s="34"/>
      <c r="DJ240" s="34"/>
      <c r="DK240" s="34"/>
      <c r="DL240" s="34"/>
      <c r="DM240" s="34"/>
      <c r="DN240" s="12">
        <v>5201074</v>
      </c>
      <c r="DS240" s="21"/>
      <c r="DT240" s="21"/>
      <c r="DU240" s="21"/>
    </row>
    <row r="241" spans="72:125" ht="13.5" customHeight="1">
      <c r="BT241" s="12">
        <v>5300074</v>
      </c>
      <c r="BU241" s="3">
        <f>[1]monsters!$N241</f>
        <v>262.83</v>
      </c>
      <c r="BV241" s="3">
        <f>[1]monsters!$O241</f>
        <v>26.28</v>
      </c>
      <c r="BW241" s="3">
        <f>[1]monsters!$P241</f>
        <v>1508.57</v>
      </c>
      <c r="BX241" s="3">
        <f>[1]monsters!$Q241</f>
        <v>150.86000000000001</v>
      </c>
      <c r="BY241" s="3">
        <f>[1]monsters!$R241</f>
        <v>32.85</v>
      </c>
      <c r="BZ241" s="3">
        <f>[1]monsters!$S241</f>
        <v>3.29</v>
      </c>
      <c r="CA241" s="3">
        <f>[1]monsters!$K241</f>
        <v>1.6</v>
      </c>
      <c r="CB241" s="12">
        <f>[1]monsters!$D241</f>
        <v>5</v>
      </c>
      <c r="CC241" s="12">
        <f t="shared" ca="1" si="37"/>
        <v>0.1</v>
      </c>
      <c r="CD241" s="12">
        <f t="shared" ca="1" si="38"/>
        <v>98.031316049382795</v>
      </c>
      <c r="CE241" s="12">
        <f t="shared" ca="1" si="39"/>
        <v>9.8031316049382795</v>
      </c>
      <c r="CS241" s="32"/>
      <c r="CT241" s="32"/>
      <c r="CU241" s="33"/>
      <c r="CV241" s="32"/>
      <c r="CW241" s="32"/>
      <c r="CX241" s="32"/>
      <c r="CY241" s="34"/>
      <c r="CZ241" s="34"/>
      <c r="DA241" s="34"/>
      <c r="DB241" s="33"/>
      <c r="DC241" s="33"/>
      <c r="DD241" s="33"/>
      <c r="DE241" s="33"/>
      <c r="DF241" s="33"/>
      <c r="DG241" s="33"/>
      <c r="DH241" s="34"/>
      <c r="DI241" s="34"/>
      <c r="DJ241" s="34"/>
      <c r="DK241" s="34"/>
      <c r="DL241" s="34"/>
      <c r="DM241" s="34"/>
      <c r="DN241" s="12">
        <v>5300074</v>
      </c>
      <c r="DS241" s="21"/>
      <c r="DT241" s="21"/>
      <c r="DU241" s="21"/>
    </row>
    <row r="242" spans="72:125" ht="13.5" customHeight="1">
      <c r="BT242" s="12">
        <v>5301074</v>
      </c>
      <c r="BU242" s="3">
        <f>[1]monsters!$N242</f>
        <v>192</v>
      </c>
      <c r="BV242" s="3">
        <f>[1]monsters!$O242</f>
        <v>19.2</v>
      </c>
      <c r="BW242" s="3">
        <f>[1]monsters!$P242</f>
        <v>2304</v>
      </c>
      <c r="BX242" s="3">
        <f>[1]monsters!$Q242</f>
        <v>230.4</v>
      </c>
      <c r="BY242" s="3">
        <f>[1]monsters!$R242</f>
        <v>48</v>
      </c>
      <c r="BZ242" s="3">
        <f>[1]monsters!$S242</f>
        <v>4.8</v>
      </c>
      <c r="CA242" s="3">
        <f>[1]monsters!$K242</f>
        <v>1.5</v>
      </c>
      <c r="CB242" s="12">
        <f>[1]monsters!$D242</f>
        <v>2</v>
      </c>
      <c r="CC242" s="12">
        <f t="shared" ca="1" si="37"/>
        <v>0.1</v>
      </c>
      <c r="CD242" s="12">
        <f t="shared" ca="1" si="38"/>
        <v>98.031316049382795</v>
      </c>
      <c r="CE242" s="12">
        <f t="shared" ca="1" si="39"/>
        <v>9.8031316049382795</v>
      </c>
      <c r="CS242" s="32"/>
      <c r="CT242" s="32"/>
      <c r="CU242" s="33"/>
      <c r="CV242" s="32"/>
      <c r="CW242" s="32"/>
      <c r="CX242" s="32"/>
      <c r="CY242" s="34"/>
      <c r="CZ242" s="34"/>
      <c r="DA242" s="34"/>
      <c r="DB242" s="33"/>
      <c r="DC242" s="33"/>
      <c r="DD242" s="33"/>
      <c r="DE242" s="33"/>
      <c r="DF242" s="33"/>
      <c r="DG242" s="33"/>
      <c r="DH242" s="34"/>
      <c r="DI242" s="34"/>
      <c r="DJ242" s="34"/>
      <c r="DK242" s="34"/>
      <c r="DL242" s="34"/>
      <c r="DM242" s="34"/>
      <c r="DN242" s="12">
        <v>5301074</v>
      </c>
      <c r="DS242" s="21"/>
      <c r="DT242" s="21"/>
      <c r="DU242" s="21"/>
    </row>
    <row r="243" spans="72:125" ht="13.5" customHeight="1">
      <c r="BT243" s="12">
        <v>5401074</v>
      </c>
      <c r="BU243" s="3">
        <f>[1]monsters!$N243</f>
        <v>184.32</v>
      </c>
      <c r="BV243" s="3">
        <f>[1]monsters!$O243</f>
        <v>18.43</v>
      </c>
      <c r="BW243" s="3">
        <f>[1]monsters!$P243</f>
        <v>2880</v>
      </c>
      <c r="BX243" s="3">
        <f>[1]monsters!$Q243</f>
        <v>288</v>
      </c>
      <c r="BY243" s="3">
        <f>[1]monsters!$R243</f>
        <v>61.44</v>
      </c>
      <c r="BZ243" s="3">
        <f>[1]monsters!$S243</f>
        <v>6.14</v>
      </c>
      <c r="CA243" s="3">
        <f>[1]monsters!$K243</f>
        <v>1.8</v>
      </c>
      <c r="CB243" s="12">
        <f>[1]monsters!$D243</f>
        <v>2</v>
      </c>
      <c r="CC243" s="12">
        <f t="shared" ca="1" si="37"/>
        <v>0.1</v>
      </c>
      <c r="CD243" s="12">
        <f t="shared" ca="1" si="38"/>
        <v>109.01104040404</v>
      </c>
      <c r="CE243" s="12">
        <f t="shared" ca="1" si="39"/>
        <v>10.901104040404</v>
      </c>
      <c r="CS243" s="32"/>
      <c r="CT243" s="32"/>
      <c r="CU243" s="33"/>
      <c r="CV243" s="32"/>
      <c r="CW243" s="32"/>
      <c r="CX243" s="32"/>
      <c r="CY243" s="34"/>
      <c r="CZ243" s="34"/>
      <c r="DA243" s="34"/>
      <c r="DB243" s="33"/>
      <c r="DC243" s="33"/>
      <c r="DD243" s="33"/>
      <c r="DE243" s="33"/>
      <c r="DF243" s="33"/>
      <c r="DG243" s="33"/>
      <c r="DH243" s="34"/>
      <c r="DI243" s="34"/>
      <c r="DJ243" s="34"/>
      <c r="DK243" s="34"/>
      <c r="DL243" s="34"/>
      <c r="DM243" s="34"/>
      <c r="DN243" s="12">
        <v>5401074</v>
      </c>
      <c r="DS243" s="21"/>
      <c r="DT243" s="21"/>
      <c r="DU243" s="21"/>
    </row>
    <row r="244" spans="72:125" ht="13.5" customHeight="1">
      <c r="BT244" s="12">
        <v>5402074</v>
      </c>
      <c r="BU244" s="3">
        <f>[1]monsters!$N244</f>
        <v>207.36</v>
      </c>
      <c r="BV244" s="3">
        <f>[1]monsters!$O244</f>
        <v>20.74</v>
      </c>
      <c r="BW244" s="3">
        <f>[1]monsters!$P244</f>
        <v>2560</v>
      </c>
      <c r="BX244" s="3">
        <f>[1]monsters!$Q244</f>
        <v>256</v>
      </c>
      <c r="BY244" s="3">
        <f>[1]monsters!$R244</f>
        <v>41.47</v>
      </c>
      <c r="BZ244" s="3">
        <f>[1]monsters!$S244</f>
        <v>4.1500000000000004</v>
      </c>
      <c r="CA244" s="3">
        <f>[1]monsters!$K244</f>
        <v>1.8</v>
      </c>
      <c r="CB244" s="12">
        <f>[1]monsters!$D244</f>
        <v>2</v>
      </c>
      <c r="CC244" s="12">
        <f t="shared" ca="1" si="37"/>
        <v>0.1</v>
      </c>
      <c r="CD244" s="12">
        <f t="shared" ca="1" si="38"/>
        <v>109.01104040404</v>
      </c>
      <c r="CE244" s="12">
        <f t="shared" ca="1" si="39"/>
        <v>10.901104040404</v>
      </c>
      <c r="CS244" s="32"/>
      <c r="CT244" s="32"/>
      <c r="CU244" s="33"/>
      <c r="CV244" s="32"/>
      <c r="CW244" s="32"/>
      <c r="CX244" s="32"/>
      <c r="CY244" s="34"/>
      <c r="CZ244" s="34"/>
      <c r="DA244" s="34"/>
      <c r="DB244" s="33"/>
      <c r="DC244" s="33"/>
      <c r="DD244" s="33"/>
      <c r="DE244" s="33"/>
      <c r="DF244" s="33"/>
      <c r="DG244" s="33"/>
      <c r="DH244" s="34"/>
      <c r="DI244" s="34"/>
      <c r="DJ244" s="34"/>
      <c r="DK244" s="34"/>
      <c r="DL244" s="34"/>
      <c r="DM244" s="34"/>
      <c r="DN244" s="12">
        <v>5402074</v>
      </c>
      <c r="DS244" s="21"/>
      <c r="DT244" s="21"/>
      <c r="DU244" s="21"/>
    </row>
    <row r="245" spans="72:125" ht="13.5" customHeight="1">
      <c r="BT245" s="12">
        <v>5501074</v>
      </c>
      <c r="BU245" s="3">
        <f>[1]monsters!$N245</f>
        <v>138.24</v>
      </c>
      <c r="BV245" s="3">
        <f>[1]monsters!$O245</f>
        <v>13.82</v>
      </c>
      <c r="BW245" s="3">
        <f>[1]monsters!$P245</f>
        <v>2560</v>
      </c>
      <c r="BX245" s="3">
        <f>[1]monsters!$Q245</f>
        <v>256</v>
      </c>
      <c r="BY245" s="3">
        <f>[1]monsters!$R245</f>
        <v>27.65</v>
      </c>
      <c r="BZ245" s="3">
        <f>[1]monsters!$S245</f>
        <v>2.76</v>
      </c>
      <c r="CA245" s="3">
        <f>[1]monsters!$K245</f>
        <v>1.2</v>
      </c>
      <c r="CB245" s="12">
        <f>[1]monsters!$D245</f>
        <v>3</v>
      </c>
      <c r="CC245" s="12">
        <f t="shared" ca="1" si="37"/>
        <v>0.1</v>
      </c>
      <c r="CD245" s="12">
        <f t="shared" ca="1" si="38"/>
        <v>116.870637037037</v>
      </c>
      <c r="CE245" s="12">
        <f t="shared" ca="1" si="39"/>
        <v>11.6870637037037</v>
      </c>
      <c r="CS245" s="32"/>
      <c r="CT245" s="32"/>
      <c r="CU245" s="33"/>
      <c r="CV245" s="32"/>
      <c r="CW245" s="32"/>
      <c r="CX245" s="32"/>
      <c r="CY245" s="34"/>
      <c r="CZ245" s="34"/>
      <c r="DA245" s="34"/>
      <c r="DB245" s="33"/>
      <c r="DC245" s="33"/>
      <c r="DD245" s="33"/>
      <c r="DE245" s="33"/>
      <c r="DF245" s="33"/>
      <c r="DG245" s="33"/>
      <c r="DH245" s="34"/>
      <c r="DI245" s="34"/>
      <c r="DJ245" s="34"/>
      <c r="DK245" s="34"/>
      <c r="DL245" s="34"/>
      <c r="DM245" s="34"/>
      <c r="DN245" s="12">
        <v>5501074</v>
      </c>
      <c r="DS245" s="21"/>
      <c r="DT245" s="21"/>
      <c r="DU245" s="21"/>
    </row>
    <row r="246" spans="72:125" ht="13.5" customHeight="1">
      <c r="BT246" s="12">
        <v>5502074</v>
      </c>
      <c r="BU246" s="3">
        <f>[1]monsters!$N246</f>
        <v>245.76</v>
      </c>
      <c r="BV246" s="3">
        <f>[1]monsters!$O246</f>
        <v>24.58</v>
      </c>
      <c r="BW246" s="3">
        <f>[1]monsters!$P246</f>
        <v>1920</v>
      </c>
      <c r="BX246" s="3">
        <f>[1]monsters!$Q246</f>
        <v>192</v>
      </c>
      <c r="BY246" s="3">
        <f>[1]monsters!$R246</f>
        <v>35.11</v>
      </c>
      <c r="BZ246" s="3">
        <f>[1]monsters!$S246</f>
        <v>3.51</v>
      </c>
      <c r="CA246" s="3">
        <f>[1]monsters!$K246</f>
        <v>1.6</v>
      </c>
      <c r="CB246" s="12">
        <f>[1]monsters!$D246</f>
        <v>4</v>
      </c>
      <c r="CC246" s="12">
        <f t="shared" ca="1" si="37"/>
        <v>0.1</v>
      </c>
      <c r="CD246" s="12">
        <f t="shared" ca="1" si="38"/>
        <v>101.901837037037</v>
      </c>
      <c r="CE246" s="12">
        <f t="shared" ca="1" si="39"/>
        <v>10.190183703703701</v>
      </c>
      <c r="CS246" s="32"/>
      <c r="CT246" s="32"/>
      <c r="CU246" s="33"/>
      <c r="CV246" s="32"/>
      <c r="CW246" s="32"/>
      <c r="CX246" s="32"/>
      <c r="CY246" s="34"/>
      <c r="CZ246" s="34"/>
      <c r="DA246" s="34"/>
      <c r="DB246" s="33"/>
      <c r="DC246" s="33"/>
      <c r="DD246" s="33"/>
      <c r="DE246" s="33"/>
      <c r="DF246" s="33"/>
      <c r="DG246" s="33"/>
      <c r="DH246" s="34"/>
      <c r="DI246" s="34"/>
      <c r="DJ246" s="34"/>
      <c r="DK246" s="34"/>
      <c r="DL246" s="34"/>
      <c r="DM246" s="34"/>
      <c r="DN246" s="12">
        <v>5502074</v>
      </c>
      <c r="DS246" s="21"/>
      <c r="DT246" s="21"/>
      <c r="DU246" s="21"/>
    </row>
    <row r="247" spans="72:125" ht="13.5" customHeight="1">
      <c r="BT247" s="12">
        <v>5600074</v>
      </c>
      <c r="BU247" s="3">
        <f>[1]monsters!$N247</f>
        <v>230.4</v>
      </c>
      <c r="BV247" s="3">
        <f>[1]monsters!$O247</f>
        <v>23.04</v>
      </c>
      <c r="BW247" s="3">
        <f>[1]monsters!$P247</f>
        <v>1920</v>
      </c>
      <c r="BX247" s="3">
        <f>[1]monsters!$Q247</f>
        <v>192</v>
      </c>
      <c r="BY247" s="3">
        <f>[1]monsters!$R247</f>
        <v>32.909999999999997</v>
      </c>
      <c r="BZ247" s="3">
        <f>[1]monsters!$S247</f>
        <v>3.29</v>
      </c>
      <c r="CA247" s="3">
        <f>[1]monsters!$K247</f>
        <v>1.5</v>
      </c>
      <c r="CB247" s="12">
        <f>[1]monsters!$D247</f>
        <v>4</v>
      </c>
      <c r="CC247" s="12">
        <f t="shared" ca="1" si="37"/>
        <v>0.1</v>
      </c>
      <c r="CD247" s="12">
        <f t="shared" ca="1" si="38"/>
        <v>98.498444444444402</v>
      </c>
      <c r="CE247" s="12">
        <f t="shared" ca="1" si="39"/>
        <v>9.8498444444444395</v>
      </c>
      <c r="CS247" s="32"/>
      <c r="CT247" s="32"/>
      <c r="CU247" s="33"/>
      <c r="CV247" s="32"/>
      <c r="CW247" s="32"/>
      <c r="CX247" s="32"/>
      <c r="CY247" s="34"/>
      <c r="CZ247" s="34"/>
      <c r="DA247" s="34"/>
      <c r="DB247" s="33"/>
      <c r="DC247" s="33"/>
      <c r="DD247" s="33"/>
      <c r="DE247" s="33"/>
      <c r="DF247" s="33"/>
      <c r="DG247" s="33"/>
      <c r="DH247" s="34"/>
      <c r="DI247" s="34"/>
      <c r="DJ247" s="34"/>
      <c r="DK247" s="34"/>
      <c r="DL247" s="34"/>
      <c r="DM247" s="34"/>
      <c r="DN247" s="12">
        <v>5600074</v>
      </c>
      <c r="DS247" s="21"/>
      <c r="DT247" s="21"/>
      <c r="DU247" s="21"/>
    </row>
    <row r="248" spans="72:125" ht="13.5" customHeight="1">
      <c r="BT248" s="12">
        <v>5601074</v>
      </c>
      <c r="BU248" s="3">
        <f>[1]monsters!$N248</f>
        <v>268.8</v>
      </c>
      <c r="BV248" s="3">
        <f>[1]monsters!$O248</f>
        <v>26.88</v>
      </c>
      <c r="BW248" s="3">
        <f>[1]monsters!$P248</f>
        <v>1645.71</v>
      </c>
      <c r="BX248" s="3">
        <f>[1]monsters!$Q248</f>
        <v>164.57</v>
      </c>
      <c r="BY248" s="3">
        <f>[1]monsters!$R248</f>
        <v>33.6</v>
      </c>
      <c r="BZ248" s="3">
        <f>[1]monsters!$S248</f>
        <v>3.36</v>
      </c>
      <c r="CA248" s="3">
        <f>[1]monsters!$K248</f>
        <v>1.5</v>
      </c>
      <c r="CB248" s="12">
        <f>[1]monsters!$D248</f>
        <v>5</v>
      </c>
      <c r="CC248" s="12">
        <f t="shared" ca="1" si="37"/>
        <v>0.1</v>
      </c>
      <c r="CD248" s="12">
        <f t="shared" ca="1" si="38"/>
        <v>106.81444444444401</v>
      </c>
      <c r="CE248" s="12">
        <f t="shared" ca="1" si="39"/>
        <v>10.6814444444444</v>
      </c>
      <c r="CS248" s="32"/>
      <c r="CT248" s="32"/>
      <c r="CU248" s="33"/>
      <c r="CV248" s="32"/>
      <c r="CW248" s="32"/>
      <c r="CX248" s="32"/>
      <c r="CY248" s="34"/>
      <c r="CZ248" s="34"/>
      <c r="DA248" s="34"/>
      <c r="DB248" s="33"/>
      <c r="DC248" s="33"/>
      <c r="DD248" s="33"/>
      <c r="DE248" s="33"/>
      <c r="DF248" s="33"/>
      <c r="DG248" s="33"/>
      <c r="DH248" s="34"/>
      <c r="DI248" s="34"/>
      <c r="DJ248" s="34"/>
      <c r="DK248" s="34"/>
      <c r="DL248" s="34"/>
      <c r="DM248" s="34"/>
      <c r="DN248" s="12">
        <v>5601074</v>
      </c>
      <c r="DS248" s="21"/>
      <c r="DT248" s="21"/>
      <c r="DU248" s="21"/>
    </row>
    <row r="249" spans="72:125" ht="13.5" customHeight="1">
      <c r="BT249" s="12">
        <v>5201075</v>
      </c>
      <c r="BU249" s="3">
        <f>[1]monsters!$N249</f>
        <v>250.88</v>
      </c>
      <c r="BV249" s="3">
        <f>[1]monsters!$O249</f>
        <v>25.09</v>
      </c>
      <c r="BW249" s="3">
        <f>[1]monsters!$P249</f>
        <v>1645.71</v>
      </c>
      <c r="BX249" s="3">
        <f>[1]monsters!$Q249</f>
        <v>164.57</v>
      </c>
      <c r="BY249" s="3">
        <f>[1]monsters!$R249</f>
        <v>31.36</v>
      </c>
      <c r="BZ249" s="3">
        <f>[1]monsters!$S249</f>
        <v>3.14</v>
      </c>
      <c r="CA249" s="3">
        <f>[1]monsters!$K249</f>
        <v>1.4000000000000001</v>
      </c>
      <c r="CB249" s="12">
        <f>[1]monsters!$D249</f>
        <v>5</v>
      </c>
      <c r="CC249" s="12">
        <f t="shared" ca="1" si="37"/>
        <v>0.1</v>
      </c>
      <c r="CD249" s="12">
        <f t="shared" ca="1" si="38"/>
        <v>122.083555555556</v>
      </c>
      <c r="CE249" s="12">
        <f t="shared" ca="1" si="39"/>
        <v>12.208355555555601</v>
      </c>
      <c r="CS249" s="32"/>
      <c r="CT249" s="32"/>
      <c r="CU249" s="33"/>
      <c r="CV249" s="32"/>
      <c r="CW249" s="32"/>
      <c r="CX249" s="32"/>
      <c r="CY249" s="34"/>
      <c r="CZ249" s="34"/>
      <c r="DA249" s="34"/>
      <c r="DB249" s="33"/>
      <c r="DC249" s="33"/>
      <c r="DD249" s="33"/>
      <c r="DE249" s="33"/>
      <c r="DF249" s="33"/>
      <c r="DG249" s="33"/>
      <c r="DH249" s="34"/>
      <c r="DI249" s="34"/>
      <c r="DJ249" s="34"/>
      <c r="DK249" s="34"/>
      <c r="DL249" s="34"/>
      <c r="DM249" s="34"/>
      <c r="DN249" s="12">
        <v>5201075</v>
      </c>
      <c r="DS249" s="21"/>
      <c r="DT249" s="21"/>
      <c r="DU249" s="21"/>
    </row>
    <row r="250" spans="72:125" ht="13.5" customHeight="1">
      <c r="BT250" s="12">
        <v>5202075</v>
      </c>
      <c r="BU250" s="3">
        <f>[1]monsters!$N250</f>
        <v>297.60000000000002</v>
      </c>
      <c r="BV250" s="3">
        <f>[1]monsters!$O250</f>
        <v>29.76</v>
      </c>
      <c r="BW250" s="3">
        <f>[1]monsters!$P250</f>
        <v>1486.45</v>
      </c>
      <c r="BX250" s="3">
        <f>[1]monsters!$Q250</f>
        <v>148.65</v>
      </c>
      <c r="BY250" s="3">
        <f>[1]monsters!$R250</f>
        <v>29.76</v>
      </c>
      <c r="BZ250" s="3">
        <f>[1]monsters!$S250</f>
        <v>2.98</v>
      </c>
      <c r="CA250" s="3">
        <f>[1]monsters!$K250</f>
        <v>1.5</v>
      </c>
      <c r="CB250" s="12">
        <f>[1]monsters!$D250</f>
        <v>6</v>
      </c>
      <c r="CC250" s="12">
        <f t="shared" ca="1" si="37"/>
        <v>0.1</v>
      </c>
      <c r="CD250" s="12">
        <f t="shared" ca="1" si="38"/>
        <v>122.083555555556</v>
      </c>
      <c r="CE250" s="12">
        <f t="shared" ca="1" si="39"/>
        <v>12.208355555555601</v>
      </c>
      <c r="CS250" s="32"/>
      <c r="CT250" s="32"/>
      <c r="CU250" s="33"/>
      <c r="CV250" s="32"/>
      <c r="CW250" s="32"/>
      <c r="CX250" s="32"/>
      <c r="CY250" s="34"/>
      <c r="CZ250" s="34"/>
      <c r="DA250" s="34"/>
      <c r="DB250" s="33"/>
      <c r="DC250" s="33"/>
      <c r="DD250" s="33"/>
      <c r="DE250" s="33"/>
      <c r="DF250" s="33"/>
      <c r="DG250" s="33"/>
      <c r="DH250" s="34"/>
      <c r="DI250" s="34"/>
      <c r="DJ250" s="34"/>
      <c r="DK250" s="34"/>
      <c r="DL250" s="34"/>
      <c r="DM250" s="34"/>
      <c r="DN250" s="12">
        <v>5202075</v>
      </c>
      <c r="DS250" s="21"/>
      <c r="DT250" s="21"/>
      <c r="DU250" s="21"/>
    </row>
    <row r="251" spans="72:125" ht="13.5" customHeight="1">
      <c r="BT251" s="12">
        <v>5302075</v>
      </c>
      <c r="BU251" s="3">
        <f>[1]monsters!$N251</f>
        <v>192</v>
      </c>
      <c r="BV251" s="3">
        <f>[1]monsters!$O251</f>
        <v>19.2</v>
      </c>
      <c r="BW251" s="3">
        <f>[1]monsters!$P251</f>
        <v>2304</v>
      </c>
      <c r="BX251" s="3">
        <f>[1]monsters!$Q251</f>
        <v>230.4</v>
      </c>
      <c r="BY251" s="3">
        <f>[1]monsters!$R251</f>
        <v>48</v>
      </c>
      <c r="BZ251" s="3">
        <f>[1]monsters!$S251</f>
        <v>4.8</v>
      </c>
      <c r="CA251" s="3">
        <f>[1]monsters!$K251</f>
        <v>1.5</v>
      </c>
      <c r="CB251" s="12">
        <f>[1]monsters!$D251</f>
        <v>2</v>
      </c>
      <c r="CC251" s="12">
        <f t="shared" ca="1" si="37"/>
        <v>0.1</v>
      </c>
      <c r="CD251" s="12">
        <f t="shared" ca="1" si="38"/>
        <v>94.289116049382798</v>
      </c>
      <c r="CE251" s="12">
        <f t="shared" ca="1" si="39"/>
        <v>9.4289116049382802</v>
      </c>
      <c r="CS251" s="32"/>
      <c r="CT251" s="32"/>
      <c r="CU251" s="33"/>
      <c r="CV251" s="32"/>
      <c r="CW251" s="32"/>
      <c r="CX251" s="32"/>
      <c r="CY251" s="34"/>
      <c r="CZ251" s="34"/>
      <c r="DA251" s="34"/>
      <c r="DB251" s="33"/>
      <c r="DC251" s="33"/>
      <c r="DD251" s="33"/>
      <c r="DE251" s="33"/>
      <c r="DF251" s="33"/>
      <c r="DG251" s="33"/>
      <c r="DH251" s="34"/>
      <c r="DI251" s="34"/>
      <c r="DJ251" s="34"/>
      <c r="DK251" s="34"/>
      <c r="DL251" s="34"/>
      <c r="DM251" s="34"/>
      <c r="DN251" s="12">
        <v>5302075</v>
      </c>
      <c r="DS251" s="21"/>
      <c r="DT251" s="21"/>
      <c r="DU251" s="21"/>
    </row>
    <row r="252" spans="72:125" ht="13.5" customHeight="1">
      <c r="BT252" s="12">
        <v>5301075</v>
      </c>
      <c r="BU252" s="3">
        <f>[1]monsters!$N252</f>
        <v>184.32</v>
      </c>
      <c r="BV252" s="3">
        <f>[1]monsters!$O252</f>
        <v>18.43</v>
      </c>
      <c r="BW252" s="3">
        <f>[1]monsters!$P252</f>
        <v>2880</v>
      </c>
      <c r="BX252" s="3">
        <f>[1]monsters!$Q252</f>
        <v>288</v>
      </c>
      <c r="BY252" s="3">
        <f>[1]monsters!$R252</f>
        <v>61.44</v>
      </c>
      <c r="BZ252" s="3">
        <f>[1]monsters!$S252</f>
        <v>6.14</v>
      </c>
      <c r="CA252" s="3">
        <f>[1]monsters!$K252</f>
        <v>1.8</v>
      </c>
      <c r="CB252" s="12">
        <f>[1]monsters!$D252</f>
        <v>2</v>
      </c>
      <c r="CC252" s="12">
        <f t="shared" ca="1" si="37"/>
        <v>0.1</v>
      </c>
      <c r="CD252" s="12">
        <f t="shared" ca="1" si="38"/>
        <v>98.031316049382795</v>
      </c>
      <c r="CE252" s="12">
        <f t="shared" ca="1" si="39"/>
        <v>9.8031316049382795</v>
      </c>
      <c r="CS252" s="32"/>
      <c r="CT252" s="32"/>
      <c r="CU252" s="33"/>
      <c r="CV252" s="32"/>
      <c r="CW252" s="32"/>
      <c r="CX252" s="32"/>
      <c r="CY252" s="34"/>
      <c r="CZ252" s="34"/>
      <c r="DA252" s="34"/>
      <c r="DB252" s="33"/>
      <c r="DC252" s="33"/>
      <c r="DD252" s="33"/>
      <c r="DE252" s="33"/>
      <c r="DF252" s="33"/>
      <c r="DG252" s="33"/>
      <c r="DH252" s="34"/>
      <c r="DI252" s="34"/>
      <c r="DJ252" s="34"/>
      <c r="DK252" s="34"/>
      <c r="DL252" s="34"/>
      <c r="DM252" s="34"/>
      <c r="DN252" s="12">
        <v>5301075</v>
      </c>
      <c r="DS252" s="21"/>
      <c r="DT252" s="21"/>
      <c r="DU252" s="21"/>
    </row>
    <row r="253" spans="72:125" ht="13.5" customHeight="1">
      <c r="BT253" s="12">
        <v>5400075</v>
      </c>
      <c r="BU253" s="3">
        <f>[1]monsters!$N253</f>
        <v>207.36</v>
      </c>
      <c r="BV253" s="3">
        <f>[1]monsters!$O253</f>
        <v>20.74</v>
      </c>
      <c r="BW253" s="3">
        <f>[1]monsters!$P253</f>
        <v>2560</v>
      </c>
      <c r="BX253" s="3">
        <f>[1]monsters!$Q253</f>
        <v>256</v>
      </c>
      <c r="BY253" s="3">
        <f>[1]monsters!$R253</f>
        <v>41.47</v>
      </c>
      <c r="BZ253" s="3">
        <f>[1]monsters!$S253</f>
        <v>4.1500000000000004</v>
      </c>
      <c r="CA253" s="3">
        <f>[1]monsters!$K253</f>
        <v>1.8</v>
      </c>
      <c r="CB253" s="12">
        <f>[1]monsters!$D253</f>
        <v>2</v>
      </c>
      <c r="CC253" s="12">
        <f t="shared" ca="1" si="37"/>
        <v>0.1</v>
      </c>
      <c r="CD253" s="12">
        <f t="shared" ca="1" si="38"/>
        <v>95.289640404040398</v>
      </c>
      <c r="CE253" s="12">
        <f t="shared" ca="1" si="39"/>
        <v>9.5289640404040394</v>
      </c>
      <c r="CS253" s="32"/>
      <c r="CT253" s="32"/>
      <c r="CU253" s="33"/>
      <c r="CV253" s="32"/>
      <c r="CW253" s="32"/>
      <c r="CX253" s="32"/>
      <c r="CY253" s="34"/>
      <c r="CZ253" s="34"/>
      <c r="DA253" s="34"/>
      <c r="DB253" s="33"/>
      <c r="DC253" s="33"/>
      <c r="DD253" s="33"/>
      <c r="DE253" s="33"/>
      <c r="DF253" s="33"/>
      <c r="DG253" s="33"/>
      <c r="DH253" s="34"/>
      <c r="DI253" s="34"/>
      <c r="DJ253" s="34"/>
      <c r="DK253" s="34"/>
      <c r="DL253" s="34"/>
      <c r="DM253" s="34"/>
      <c r="DN253" s="12">
        <v>5400075</v>
      </c>
      <c r="DS253" s="21"/>
      <c r="DT253" s="21"/>
      <c r="DU253" s="21"/>
    </row>
    <row r="254" spans="72:125" ht="13.5" customHeight="1">
      <c r="BT254" s="12">
        <v>5402075</v>
      </c>
      <c r="BU254" s="3">
        <f>[1]monsters!$N254</f>
        <v>138.24</v>
      </c>
      <c r="BV254" s="3">
        <f>[1]monsters!$O254</f>
        <v>13.82</v>
      </c>
      <c r="BW254" s="3">
        <f>[1]monsters!$P254</f>
        <v>2560</v>
      </c>
      <c r="BX254" s="3">
        <f>[1]monsters!$Q254</f>
        <v>256</v>
      </c>
      <c r="BY254" s="3">
        <f>[1]monsters!$R254</f>
        <v>27.65</v>
      </c>
      <c r="BZ254" s="3">
        <f>[1]monsters!$S254</f>
        <v>2.76</v>
      </c>
      <c r="CA254" s="3">
        <f>[1]monsters!$K254</f>
        <v>1.2</v>
      </c>
      <c r="CB254" s="12">
        <f>[1]monsters!$D254</f>
        <v>3</v>
      </c>
      <c r="CC254" s="12">
        <f t="shared" ca="1" si="37"/>
        <v>0.1</v>
      </c>
      <c r="CD254" s="12">
        <f t="shared" ca="1" si="38"/>
        <v>109.01104040404</v>
      </c>
      <c r="CE254" s="12">
        <f t="shared" ca="1" si="39"/>
        <v>10.901104040404</v>
      </c>
      <c r="CS254" s="32"/>
      <c r="CT254" s="32"/>
      <c r="CU254" s="33"/>
      <c r="CV254" s="32"/>
      <c r="CW254" s="32"/>
      <c r="CX254" s="32"/>
      <c r="CY254" s="34"/>
      <c r="CZ254" s="34"/>
      <c r="DA254" s="34"/>
      <c r="DB254" s="33"/>
      <c r="DC254" s="33"/>
      <c r="DD254" s="33"/>
      <c r="DE254" s="33"/>
      <c r="DF254" s="33"/>
      <c r="DG254" s="33"/>
      <c r="DH254" s="34"/>
      <c r="DI254" s="34"/>
      <c r="DJ254" s="34"/>
      <c r="DK254" s="34"/>
      <c r="DL254" s="34"/>
      <c r="DM254" s="34"/>
      <c r="DN254" s="12">
        <v>5402075</v>
      </c>
      <c r="DS254" s="21"/>
      <c r="DT254" s="21"/>
      <c r="DU254" s="21"/>
    </row>
    <row r="255" spans="72:125" ht="13.5" customHeight="1">
      <c r="BT255" s="12">
        <v>5500075</v>
      </c>
      <c r="BU255" s="3">
        <f>[1]monsters!$N255</f>
        <v>245.76</v>
      </c>
      <c r="BV255" s="3">
        <f>[1]monsters!$O255</f>
        <v>24.58</v>
      </c>
      <c r="BW255" s="3">
        <f>[1]monsters!$P255</f>
        <v>1920</v>
      </c>
      <c r="BX255" s="3">
        <f>[1]monsters!$Q255</f>
        <v>192</v>
      </c>
      <c r="BY255" s="3">
        <f>[1]monsters!$R255</f>
        <v>35.11</v>
      </c>
      <c r="BZ255" s="3">
        <f>[1]monsters!$S255</f>
        <v>3.51</v>
      </c>
      <c r="CA255" s="3">
        <f>[1]monsters!$K255</f>
        <v>1.6</v>
      </c>
      <c r="CB255" s="12">
        <f>[1]monsters!$D255</f>
        <v>4</v>
      </c>
      <c r="CC255" s="12">
        <f t="shared" ca="1" si="37"/>
        <v>0.1</v>
      </c>
      <c r="CD255" s="12">
        <f t="shared" ca="1" si="38"/>
        <v>101.901837037037</v>
      </c>
      <c r="CE255" s="12">
        <f t="shared" ca="1" si="39"/>
        <v>10.190183703703701</v>
      </c>
      <c r="CS255" s="32"/>
      <c r="CT255" s="32"/>
      <c r="CU255" s="33"/>
      <c r="CV255" s="32"/>
      <c r="CW255" s="32"/>
      <c r="CX255" s="32"/>
      <c r="CY255" s="34"/>
      <c r="CZ255" s="34"/>
      <c r="DA255" s="34"/>
      <c r="DB255" s="33"/>
      <c r="DC255" s="33"/>
      <c r="DD255" s="33"/>
      <c r="DE255" s="33"/>
      <c r="DF255" s="33"/>
      <c r="DG255" s="33"/>
      <c r="DH255" s="34"/>
      <c r="DI255" s="34"/>
      <c r="DJ255" s="34"/>
      <c r="DK255" s="34"/>
      <c r="DL255" s="34"/>
      <c r="DM255" s="34"/>
      <c r="DN255" s="12">
        <v>5500075</v>
      </c>
      <c r="DS255" s="21"/>
      <c r="DT255" s="21"/>
      <c r="DU255" s="21"/>
    </row>
    <row r="256" spans="72:125" ht="13.5" customHeight="1">
      <c r="BT256" s="12">
        <v>5502075</v>
      </c>
      <c r="BU256" s="3">
        <f>[1]monsters!$N256</f>
        <v>230.4</v>
      </c>
      <c r="BV256" s="3">
        <f>[1]monsters!$O256</f>
        <v>23.04</v>
      </c>
      <c r="BW256" s="3">
        <f>[1]monsters!$P256</f>
        <v>1920</v>
      </c>
      <c r="BX256" s="3">
        <f>[1]monsters!$Q256</f>
        <v>192</v>
      </c>
      <c r="BY256" s="3">
        <f>[1]monsters!$R256</f>
        <v>32.909999999999997</v>
      </c>
      <c r="BZ256" s="3">
        <f>[1]monsters!$S256</f>
        <v>3.29</v>
      </c>
      <c r="CA256" s="3">
        <f>[1]monsters!$K256</f>
        <v>1.5</v>
      </c>
      <c r="CB256" s="12">
        <f>[1]monsters!$D256</f>
        <v>4</v>
      </c>
      <c r="CC256" s="12">
        <f t="shared" ca="1" si="37"/>
        <v>0.1</v>
      </c>
      <c r="CD256" s="12">
        <f t="shared" ca="1" si="38"/>
        <v>101.901837037037</v>
      </c>
      <c r="CE256" s="12">
        <f t="shared" ca="1" si="39"/>
        <v>10.190183703703701</v>
      </c>
      <c r="CS256" s="32"/>
      <c r="CT256" s="32"/>
      <c r="CU256" s="33"/>
      <c r="CV256" s="32"/>
      <c r="CW256" s="32"/>
      <c r="CX256" s="32"/>
      <c r="CY256" s="34"/>
      <c r="CZ256" s="34"/>
      <c r="DA256" s="34"/>
      <c r="DB256" s="33"/>
      <c r="DC256" s="33"/>
      <c r="DD256" s="33"/>
      <c r="DE256" s="33"/>
      <c r="DF256" s="33"/>
      <c r="DG256" s="33"/>
      <c r="DH256" s="34"/>
      <c r="DI256" s="34"/>
      <c r="DJ256" s="34"/>
      <c r="DK256" s="34"/>
      <c r="DL256" s="34"/>
      <c r="DM256" s="34"/>
      <c r="DN256" s="12">
        <v>5502075</v>
      </c>
      <c r="DS256" s="21"/>
      <c r="DT256" s="21"/>
      <c r="DU256" s="21"/>
    </row>
    <row r="257" spans="72:125" ht="13.5" customHeight="1">
      <c r="BT257" s="12">
        <v>5600075</v>
      </c>
      <c r="BU257" s="3">
        <f>[1]monsters!$N257</f>
        <v>268.8</v>
      </c>
      <c r="BV257" s="3">
        <f>[1]monsters!$O257</f>
        <v>26.88</v>
      </c>
      <c r="BW257" s="3">
        <f>[1]monsters!$P257</f>
        <v>1645.71</v>
      </c>
      <c r="BX257" s="3">
        <f>[1]monsters!$Q257</f>
        <v>164.57</v>
      </c>
      <c r="BY257" s="3">
        <f>[1]monsters!$R257</f>
        <v>33.6</v>
      </c>
      <c r="BZ257" s="3">
        <f>[1]monsters!$S257</f>
        <v>3.36</v>
      </c>
      <c r="CA257" s="3">
        <f>[1]monsters!$K257</f>
        <v>1.5</v>
      </c>
      <c r="CB257" s="12">
        <f>[1]monsters!$D257</f>
        <v>5</v>
      </c>
      <c r="CC257" s="12">
        <f t="shared" ca="1" si="37"/>
        <v>0.1</v>
      </c>
      <c r="CD257" s="12">
        <f t="shared" ca="1" si="38"/>
        <v>98.498444444444402</v>
      </c>
      <c r="CE257" s="12">
        <f t="shared" ca="1" si="39"/>
        <v>9.8498444444444395</v>
      </c>
      <c r="CS257" s="32"/>
      <c r="CT257" s="32"/>
      <c r="CU257" s="33"/>
      <c r="CV257" s="32"/>
      <c r="CW257" s="32"/>
      <c r="CX257" s="32"/>
      <c r="CY257" s="34"/>
      <c r="CZ257" s="34"/>
      <c r="DA257" s="34"/>
      <c r="DB257" s="33"/>
      <c r="DC257" s="33"/>
      <c r="DD257" s="33"/>
      <c r="DE257" s="33"/>
      <c r="DF257" s="33"/>
      <c r="DG257" s="33"/>
      <c r="DH257" s="34"/>
      <c r="DI257" s="34"/>
      <c r="DJ257" s="34"/>
      <c r="DK257" s="34"/>
      <c r="DL257" s="34"/>
      <c r="DM257" s="34"/>
      <c r="DN257" s="12">
        <v>5600075</v>
      </c>
      <c r="DS257" s="21"/>
      <c r="DT257" s="21"/>
      <c r="DU257" s="21"/>
    </row>
    <row r="258" spans="72:125" ht="13.5" customHeight="1">
      <c r="BT258" s="12">
        <v>5602075</v>
      </c>
      <c r="BU258" s="3">
        <f>[1]monsters!$N258</f>
        <v>250.88</v>
      </c>
      <c r="BV258" s="3">
        <f>[1]monsters!$O258</f>
        <v>25.09</v>
      </c>
      <c r="BW258" s="3">
        <f>[1]monsters!$P258</f>
        <v>1645.71</v>
      </c>
      <c r="BX258" s="3">
        <f>[1]monsters!$Q258</f>
        <v>164.57</v>
      </c>
      <c r="BY258" s="3">
        <f>[1]monsters!$R258</f>
        <v>31.36</v>
      </c>
      <c r="BZ258" s="3">
        <f>[1]monsters!$S258</f>
        <v>3.14</v>
      </c>
      <c r="CA258" s="3">
        <f>[1]monsters!$K258</f>
        <v>1.4000000000000001</v>
      </c>
      <c r="CB258" s="12">
        <f>[1]monsters!$D258</f>
        <v>5</v>
      </c>
      <c r="CC258" s="12">
        <f t="shared" ca="1" si="37"/>
        <v>0.1</v>
      </c>
      <c r="CD258" s="12">
        <f t="shared" ca="1" si="38"/>
        <v>127.604444444444</v>
      </c>
      <c r="CE258" s="12">
        <f t="shared" ca="1" si="39"/>
        <v>12.760444444444399</v>
      </c>
      <c r="CS258" s="32"/>
      <c r="CT258" s="32"/>
      <c r="CU258" s="33"/>
      <c r="CV258" s="32"/>
      <c r="CW258" s="32"/>
      <c r="CX258" s="32"/>
      <c r="CY258" s="34"/>
      <c r="CZ258" s="34"/>
      <c r="DA258" s="34"/>
      <c r="DB258" s="33"/>
      <c r="DC258" s="33"/>
      <c r="DD258" s="33"/>
      <c r="DE258" s="33"/>
      <c r="DF258" s="33"/>
      <c r="DG258" s="33"/>
      <c r="DH258" s="34"/>
      <c r="DI258" s="34"/>
      <c r="DJ258" s="34"/>
      <c r="DK258" s="34"/>
      <c r="DL258" s="34"/>
      <c r="DM258" s="34"/>
      <c r="DN258" s="12">
        <v>5602075</v>
      </c>
      <c r="DS258" s="21"/>
      <c r="DT258" s="21"/>
      <c r="DU258" s="21"/>
    </row>
    <row r="259" spans="72:125" ht="13.5" customHeight="1">
      <c r="BT259" s="12">
        <v>5200081</v>
      </c>
      <c r="BU259" s="3">
        <f>[1]monsters!$N259</f>
        <v>297.60000000000002</v>
      </c>
      <c r="BV259" s="3">
        <f>[1]monsters!$O259</f>
        <v>29.76</v>
      </c>
      <c r="BW259" s="3">
        <f>[1]monsters!$P259</f>
        <v>1486.45</v>
      </c>
      <c r="BX259" s="3">
        <f>[1]monsters!$Q259</f>
        <v>148.65</v>
      </c>
      <c r="BY259" s="3">
        <f>[1]monsters!$R259</f>
        <v>29.76</v>
      </c>
      <c r="BZ259" s="3">
        <f>[1]monsters!$S259</f>
        <v>2.98</v>
      </c>
      <c r="CA259" s="3">
        <f>[1]monsters!$K259</f>
        <v>1.5</v>
      </c>
      <c r="CB259" s="12">
        <f>[1]monsters!$D259</f>
        <v>6</v>
      </c>
      <c r="CC259" s="12">
        <f t="shared" ca="1" si="37"/>
        <v>0.1</v>
      </c>
      <c r="CD259" s="12">
        <f t="shared" ca="1" si="38"/>
        <v>115.03806060606099</v>
      </c>
      <c r="CE259" s="12">
        <f t="shared" ca="1" si="39"/>
        <v>11.503806060606101</v>
      </c>
      <c r="CS259" s="32"/>
      <c r="CT259" s="32"/>
      <c r="CU259" s="33"/>
      <c r="CV259" s="32"/>
      <c r="CW259" s="32"/>
      <c r="CX259" s="32"/>
      <c r="CY259" s="34"/>
      <c r="CZ259" s="34"/>
      <c r="DA259" s="34"/>
      <c r="DB259" s="33"/>
      <c r="DC259" s="33"/>
      <c r="DD259" s="33"/>
      <c r="DE259" s="33"/>
      <c r="DF259" s="33"/>
      <c r="DG259" s="33"/>
      <c r="DH259" s="34"/>
      <c r="DI259" s="34"/>
      <c r="DJ259" s="34"/>
      <c r="DK259" s="34"/>
      <c r="DL259" s="34"/>
      <c r="DM259" s="34"/>
      <c r="DN259" s="12">
        <v>5200081</v>
      </c>
      <c r="DS259" s="21"/>
      <c r="DT259" s="21"/>
      <c r="DU259" s="21"/>
    </row>
    <row r="260" spans="72:125" ht="13.5" customHeight="1">
      <c r="BT260" s="12">
        <v>5201081</v>
      </c>
      <c r="BU260" s="3">
        <f>[1]monsters!$N260</f>
        <v>192</v>
      </c>
      <c r="BV260" s="3">
        <f>[1]monsters!$O260</f>
        <v>19.2</v>
      </c>
      <c r="BW260" s="3">
        <f>[1]monsters!$P260</f>
        <v>2304</v>
      </c>
      <c r="BX260" s="3">
        <f>[1]monsters!$Q260</f>
        <v>230.4</v>
      </c>
      <c r="BY260" s="3">
        <f>[1]monsters!$R260</f>
        <v>48</v>
      </c>
      <c r="BZ260" s="3">
        <f>[1]monsters!$S260</f>
        <v>4.8</v>
      </c>
      <c r="CA260" s="3">
        <f>[1]monsters!$K260</f>
        <v>1.5</v>
      </c>
      <c r="CB260" s="12">
        <f>[1]monsters!$D260</f>
        <v>2</v>
      </c>
      <c r="CC260" s="12">
        <f t="shared" ref="CC260:CC323" ca="1" si="40">INDEX($CK$5:$CK$10,MATCH($CC260,$CJ$5:$CJ$10))</f>
        <v>0.1</v>
      </c>
      <c r="CD260" s="12">
        <f t="shared" ca="1" si="38"/>
        <v>133.18206060606099</v>
      </c>
      <c r="CE260" s="12">
        <f t="shared" ca="1" si="39"/>
        <v>13.3182060606061</v>
      </c>
      <c r="CS260" s="32"/>
      <c r="CT260" s="32"/>
      <c r="CU260" s="33"/>
      <c r="CV260" s="32"/>
      <c r="CW260" s="32"/>
      <c r="CX260" s="32"/>
      <c r="CY260" s="34"/>
      <c r="CZ260" s="34"/>
      <c r="DA260" s="34"/>
      <c r="DB260" s="33"/>
      <c r="DC260" s="33"/>
      <c r="DD260" s="33"/>
      <c r="DE260" s="33"/>
      <c r="DF260" s="33"/>
      <c r="DG260" s="33"/>
      <c r="DH260" s="34"/>
      <c r="DI260" s="34"/>
      <c r="DJ260" s="34"/>
      <c r="DK260" s="34"/>
      <c r="DL260" s="34"/>
      <c r="DM260" s="34"/>
      <c r="DN260" s="12">
        <v>5201081</v>
      </c>
      <c r="DS260" s="21"/>
      <c r="DT260" s="21"/>
      <c r="DU260" s="21"/>
    </row>
    <row r="261" spans="72:125" ht="13.5" customHeight="1">
      <c r="BT261" s="12">
        <v>5300081</v>
      </c>
      <c r="BU261" s="3">
        <f>[1]monsters!$N261</f>
        <v>184.32</v>
      </c>
      <c r="BV261" s="3">
        <f>[1]monsters!$O261</f>
        <v>18.43</v>
      </c>
      <c r="BW261" s="3">
        <f>[1]monsters!$P261</f>
        <v>2880</v>
      </c>
      <c r="BX261" s="3">
        <f>[1]monsters!$Q261</f>
        <v>288</v>
      </c>
      <c r="BY261" s="3">
        <f>[1]monsters!$R261</f>
        <v>61.44</v>
      </c>
      <c r="BZ261" s="3">
        <f>[1]monsters!$S261</f>
        <v>6.14</v>
      </c>
      <c r="CA261" s="3">
        <f>[1]monsters!$K261</f>
        <v>1.8</v>
      </c>
      <c r="CB261" s="12">
        <f>[1]monsters!$D261</f>
        <v>2</v>
      </c>
      <c r="CC261" s="12">
        <f t="shared" ca="1" si="40"/>
        <v>0.1</v>
      </c>
      <c r="CD261" s="12">
        <f t="shared" ref="CD261:CD324" ca="1" si="41">(BW261/33/(1-CC261)/(1-0)+BU261*(1+0.5*0.1)*0.9)</f>
        <v>106.943253872054</v>
      </c>
      <c r="CE261" s="12">
        <f t="shared" ref="CE261:CE324" ca="1" si="42">(BW261/33/(1-CC261)/(1-0)+BU261*(1+0.5*0.1)*0.9)*0.1</f>
        <v>10.694325387205399</v>
      </c>
      <c r="CS261" s="32"/>
      <c r="CT261" s="32"/>
      <c r="CU261" s="33"/>
      <c r="CV261" s="32"/>
      <c r="CW261" s="32"/>
      <c r="CX261" s="32"/>
      <c r="CY261" s="34"/>
      <c r="CZ261" s="34"/>
      <c r="DA261" s="34"/>
      <c r="DB261" s="33"/>
      <c r="DC261" s="33"/>
      <c r="DD261" s="33"/>
      <c r="DE261" s="33"/>
      <c r="DF261" s="33"/>
      <c r="DG261" s="33"/>
      <c r="DH261" s="34"/>
      <c r="DI261" s="34"/>
      <c r="DJ261" s="34"/>
      <c r="DK261" s="34"/>
      <c r="DL261" s="34"/>
      <c r="DM261" s="34"/>
      <c r="DN261" s="12">
        <v>5300081</v>
      </c>
      <c r="DS261" s="21"/>
      <c r="DT261" s="21"/>
      <c r="DU261" s="21"/>
    </row>
    <row r="262" spans="72:125" ht="13.5" customHeight="1">
      <c r="BT262" s="12">
        <v>5301081</v>
      </c>
      <c r="BU262" s="3">
        <f>[1]monsters!$N262</f>
        <v>207.36</v>
      </c>
      <c r="BV262" s="3">
        <f>[1]monsters!$O262</f>
        <v>20.74</v>
      </c>
      <c r="BW262" s="3">
        <f>[1]monsters!$P262</f>
        <v>2560</v>
      </c>
      <c r="BX262" s="3">
        <f>[1]monsters!$Q262</f>
        <v>256</v>
      </c>
      <c r="BY262" s="3">
        <f>[1]monsters!$R262</f>
        <v>41.47</v>
      </c>
      <c r="BZ262" s="3">
        <f>[1]monsters!$S262</f>
        <v>4.1500000000000004</v>
      </c>
      <c r="CA262" s="3">
        <f>[1]monsters!$K262</f>
        <v>1.8</v>
      </c>
      <c r="CB262" s="12">
        <f>[1]monsters!$D262</f>
        <v>2</v>
      </c>
      <c r="CC262" s="12">
        <f t="shared" ca="1" si="40"/>
        <v>0.1</v>
      </c>
      <c r="CD262" s="12">
        <f t="shared" ca="1" si="41"/>
        <v>106.943253872054</v>
      </c>
      <c r="CE262" s="12">
        <f t="shared" ca="1" si="42"/>
        <v>10.694325387205399</v>
      </c>
      <c r="CS262" s="32"/>
      <c r="CT262" s="32"/>
      <c r="CU262" s="33"/>
      <c r="CV262" s="32"/>
      <c r="CW262" s="32"/>
      <c r="CX262" s="32"/>
      <c r="CY262" s="34"/>
      <c r="CZ262" s="34"/>
      <c r="DA262" s="34"/>
      <c r="DB262" s="33"/>
      <c r="DC262" s="33"/>
      <c r="DD262" s="33"/>
      <c r="DE262" s="33"/>
      <c r="DF262" s="33"/>
      <c r="DG262" s="33"/>
      <c r="DH262" s="34"/>
      <c r="DI262" s="34"/>
      <c r="DJ262" s="34"/>
      <c r="DK262" s="34"/>
      <c r="DL262" s="34"/>
      <c r="DM262" s="34"/>
      <c r="DN262" s="12">
        <v>5301081</v>
      </c>
      <c r="DS262" s="21"/>
      <c r="DT262" s="21"/>
      <c r="DU262" s="21"/>
    </row>
    <row r="263" spans="72:125" ht="13.5" customHeight="1">
      <c r="BT263" s="12">
        <v>5401081</v>
      </c>
      <c r="BU263" s="3">
        <f>[1]monsters!$N263</f>
        <v>138.24</v>
      </c>
      <c r="BV263" s="3">
        <f>[1]monsters!$O263</f>
        <v>13.82</v>
      </c>
      <c r="BW263" s="3">
        <f>[1]monsters!$P263</f>
        <v>2560</v>
      </c>
      <c r="BX263" s="3">
        <f>[1]monsters!$Q263</f>
        <v>256</v>
      </c>
      <c r="BY263" s="3">
        <f>[1]monsters!$R263</f>
        <v>27.65</v>
      </c>
      <c r="BZ263" s="3">
        <f>[1]monsters!$S263</f>
        <v>2.76</v>
      </c>
      <c r="CA263" s="3">
        <f>[1]monsters!$K263</f>
        <v>1.2</v>
      </c>
      <c r="CB263" s="12">
        <f>[1]monsters!$D263</f>
        <v>3</v>
      </c>
      <c r="CC263" s="12">
        <f t="shared" ca="1" si="40"/>
        <v>0.1</v>
      </c>
      <c r="CD263" s="12">
        <f t="shared" ca="1" si="41"/>
        <v>118.92113498622599</v>
      </c>
      <c r="CE263" s="12">
        <f t="shared" ca="1" si="42"/>
        <v>11.892113498622599</v>
      </c>
      <c r="CS263" s="32"/>
      <c r="CT263" s="32"/>
      <c r="CU263" s="33"/>
      <c r="CV263" s="32"/>
      <c r="CW263" s="32"/>
      <c r="CX263" s="32"/>
      <c r="CY263" s="34"/>
      <c r="CZ263" s="34"/>
      <c r="DA263" s="34"/>
      <c r="DB263" s="33"/>
      <c r="DC263" s="33"/>
      <c r="DD263" s="33"/>
      <c r="DE263" s="33"/>
      <c r="DF263" s="33"/>
      <c r="DG263" s="33"/>
      <c r="DH263" s="34"/>
      <c r="DI263" s="34"/>
      <c r="DJ263" s="34"/>
      <c r="DK263" s="34"/>
      <c r="DL263" s="34"/>
      <c r="DM263" s="34"/>
      <c r="DN263" s="12">
        <v>5401081</v>
      </c>
      <c r="DS263" s="21"/>
      <c r="DT263" s="21"/>
      <c r="DU263" s="21"/>
    </row>
    <row r="264" spans="72:125" ht="13.5" customHeight="1">
      <c r="BT264" s="12">
        <v>5402081</v>
      </c>
      <c r="BU264" s="3">
        <f>[1]monsters!$N264</f>
        <v>245.76</v>
      </c>
      <c r="BV264" s="3">
        <f>[1]monsters!$O264</f>
        <v>24.58</v>
      </c>
      <c r="BW264" s="3">
        <f>[1]monsters!$P264</f>
        <v>1920</v>
      </c>
      <c r="BX264" s="3">
        <f>[1]monsters!$Q264</f>
        <v>192</v>
      </c>
      <c r="BY264" s="3">
        <f>[1]monsters!$R264</f>
        <v>35.11</v>
      </c>
      <c r="BZ264" s="3">
        <f>[1]monsters!$S264</f>
        <v>3.51</v>
      </c>
      <c r="CA264" s="3">
        <f>[1]monsters!$K264</f>
        <v>1.6</v>
      </c>
      <c r="CB264" s="12">
        <f>[1]monsters!$D264</f>
        <v>4</v>
      </c>
      <c r="CC264" s="12">
        <f t="shared" ca="1" si="40"/>
        <v>0.1</v>
      </c>
      <c r="CD264" s="12">
        <f t="shared" ca="1" si="41"/>
        <v>118.92113498622599</v>
      </c>
      <c r="CE264" s="12">
        <f t="shared" ca="1" si="42"/>
        <v>11.892113498622599</v>
      </c>
      <c r="CS264" s="32"/>
      <c r="CT264" s="32"/>
      <c r="CU264" s="33"/>
      <c r="CV264" s="32"/>
      <c r="CW264" s="32"/>
      <c r="CX264" s="32"/>
      <c r="CY264" s="34"/>
      <c r="CZ264" s="34"/>
      <c r="DA264" s="34"/>
      <c r="DB264" s="33"/>
      <c r="DC264" s="33"/>
      <c r="DD264" s="33"/>
      <c r="DE264" s="33"/>
      <c r="DF264" s="33"/>
      <c r="DG264" s="33"/>
      <c r="DH264" s="34"/>
      <c r="DI264" s="34"/>
      <c r="DJ264" s="34"/>
      <c r="DK264" s="34"/>
      <c r="DL264" s="34"/>
      <c r="DM264" s="34"/>
      <c r="DN264" s="12">
        <v>5402081</v>
      </c>
      <c r="DS264" s="21"/>
      <c r="DT264" s="21"/>
      <c r="DU264" s="21"/>
    </row>
    <row r="265" spans="72:125" ht="13.5" customHeight="1">
      <c r="BT265" s="12">
        <v>5500081</v>
      </c>
      <c r="BU265" s="3">
        <f>[1]monsters!$N265</f>
        <v>230.4</v>
      </c>
      <c r="BV265" s="3">
        <f>[1]monsters!$O265</f>
        <v>23.04</v>
      </c>
      <c r="BW265" s="3">
        <f>[1]monsters!$P265</f>
        <v>1920</v>
      </c>
      <c r="BX265" s="3">
        <f>[1]monsters!$Q265</f>
        <v>192</v>
      </c>
      <c r="BY265" s="3">
        <f>[1]monsters!$R265</f>
        <v>32.909999999999997</v>
      </c>
      <c r="BZ265" s="3">
        <f>[1]monsters!$S265</f>
        <v>3.29</v>
      </c>
      <c r="CA265" s="3">
        <f>[1]monsters!$K265</f>
        <v>1.5</v>
      </c>
      <c r="CB265" s="12">
        <f>[1]monsters!$D265</f>
        <v>4</v>
      </c>
      <c r="CC265" s="12">
        <f t="shared" ca="1" si="40"/>
        <v>0.1</v>
      </c>
      <c r="CD265" s="12">
        <f t="shared" ca="1" si="41"/>
        <v>111.16564040404</v>
      </c>
      <c r="CE265" s="12">
        <f t="shared" ca="1" si="42"/>
        <v>11.116564040404</v>
      </c>
      <c r="CS265" s="32"/>
      <c r="CT265" s="32"/>
      <c r="CU265" s="33"/>
      <c r="CV265" s="32"/>
      <c r="CW265" s="32"/>
      <c r="CX265" s="32"/>
      <c r="CY265" s="34"/>
      <c r="CZ265" s="34"/>
      <c r="DA265" s="34"/>
      <c r="DB265" s="33"/>
      <c r="DC265" s="33"/>
      <c r="DD265" s="33"/>
      <c r="DE265" s="33"/>
      <c r="DF265" s="33"/>
      <c r="DG265" s="33"/>
      <c r="DH265" s="34"/>
      <c r="DI265" s="34"/>
      <c r="DJ265" s="34"/>
      <c r="DK265" s="34"/>
      <c r="DL265" s="34"/>
      <c r="DM265" s="34"/>
      <c r="DN265" s="12">
        <v>5500081</v>
      </c>
      <c r="DS265" s="21"/>
      <c r="DT265" s="21"/>
      <c r="DU265" s="21"/>
    </row>
    <row r="266" spans="72:125" ht="13.5" customHeight="1">
      <c r="BT266" s="12">
        <v>5501081</v>
      </c>
      <c r="BU266" s="3">
        <f>[1]monsters!$N266</f>
        <v>268.8</v>
      </c>
      <c r="BV266" s="3">
        <f>[1]monsters!$O266</f>
        <v>26.88</v>
      </c>
      <c r="BW266" s="3">
        <f>[1]monsters!$P266</f>
        <v>1645.71</v>
      </c>
      <c r="BX266" s="3">
        <f>[1]monsters!$Q266</f>
        <v>164.57</v>
      </c>
      <c r="BY266" s="3">
        <f>[1]monsters!$R266</f>
        <v>33.6</v>
      </c>
      <c r="BZ266" s="3">
        <f>[1]monsters!$S266</f>
        <v>3.36</v>
      </c>
      <c r="CA266" s="3">
        <f>[1]monsters!$K266</f>
        <v>1.5</v>
      </c>
      <c r="CB266" s="12">
        <f>[1]monsters!$D266</f>
        <v>5</v>
      </c>
      <c r="CC266" s="12">
        <f t="shared" ca="1" si="40"/>
        <v>0.1</v>
      </c>
      <c r="CD266" s="12">
        <f t="shared" ca="1" si="41"/>
        <v>127.49524040404</v>
      </c>
      <c r="CE266" s="12">
        <f t="shared" ca="1" si="42"/>
        <v>12.749524040403999</v>
      </c>
      <c r="CS266" s="32"/>
      <c r="CT266" s="32"/>
      <c r="CU266" s="33"/>
      <c r="CV266" s="32"/>
      <c r="CW266" s="32"/>
      <c r="CX266" s="32"/>
      <c r="CY266" s="34"/>
      <c r="CZ266" s="34"/>
      <c r="DA266" s="34"/>
      <c r="DB266" s="33"/>
      <c r="DC266" s="33"/>
      <c r="DD266" s="33"/>
      <c r="DE266" s="33"/>
      <c r="DF266" s="33"/>
      <c r="DG266" s="33"/>
      <c r="DH266" s="34"/>
      <c r="DI266" s="34"/>
      <c r="DJ266" s="34"/>
      <c r="DK266" s="34"/>
      <c r="DL266" s="34"/>
      <c r="DM266" s="34"/>
      <c r="DN266" s="12">
        <v>5501081</v>
      </c>
      <c r="DS266" s="21"/>
      <c r="DT266" s="21"/>
      <c r="DU266" s="21"/>
    </row>
    <row r="267" spans="72:125" ht="13.5" customHeight="1">
      <c r="BT267" s="12">
        <v>5600081</v>
      </c>
      <c r="BU267" s="3">
        <f>[1]monsters!$N267</f>
        <v>250.88</v>
      </c>
      <c r="BV267" s="3">
        <f>[1]monsters!$O267</f>
        <v>25.09</v>
      </c>
      <c r="BW267" s="3">
        <f>[1]monsters!$P267</f>
        <v>1645.71</v>
      </c>
      <c r="BX267" s="3">
        <f>[1]monsters!$Q267</f>
        <v>164.57</v>
      </c>
      <c r="BY267" s="3">
        <f>[1]monsters!$R267</f>
        <v>31.36</v>
      </c>
      <c r="BZ267" s="3">
        <f>[1]monsters!$S267</f>
        <v>3.14</v>
      </c>
      <c r="CA267" s="3">
        <f>[1]monsters!$K267</f>
        <v>1.4000000000000001</v>
      </c>
      <c r="CB267" s="12">
        <f>[1]monsters!$D267</f>
        <v>5</v>
      </c>
      <c r="CC267" s="12">
        <f t="shared" ca="1" si="40"/>
        <v>0.1</v>
      </c>
      <c r="CD267" s="12">
        <f t="shared" ca="1" si="41"/>
        <v>107.452848484848</v>
      </c>
      <c r="CE267" s="12">
        <f t="shared" ca="1" si="42"/>
        <v>10.7452848484848</v>
      </c>
      <c r="CS267" s="32"/>
      <c r="CT267" s="32"/>
      <c r="CU267" s="33"/>
      <c r="CV267" s="32"/>
      <c r="CW267" s="32"/>
      <c r="CX267" s="32"/>
      <c r="CY267" s="34"/>
      <c r="CZ267" s="34"/>
      <c r="DA267" s="34"/>
      <c r="DB267" s="33"/>
      <c r="DC267" s="33"/>
      <c r="DD267" s="33"/>
      <c r="DE267" s="33"/>
      <c r="DF267" s="33"/>
      <c r="DG267" s="33"/>
      <c r="DH267" s="34"/>
      <c r="DI267" s="34"/>
      <c r="DJ267" s="34"/>
      <c r="DK267" s="34"/>
      <c r="DL267" s="34"/>
      <c r="DM267" s="34"/>
      <c r="DN267" s="12">
        <v>5600081</v>
      </c>
      <c r="DS267" s="21"/>
      <c r="DT267" s="21"/>
      <c r="DU267" s="21"/>
    </row>
    <row r="268" spans="72:125" ht="13.5" customHeight="1">
      <c r="BT268" s="12">
        <v>5601081</v>
      </c>
      <c r="BU268" s="3">
        <f>[1]monsters!$N268</f>
        <v>297.60000000000002</v>
      </c>
      <c r="BV268" s="3">
        <f>[1]monsters!$O268</f>
        <v>29.76</v>
      </c>
      <c r="BW268" s="3">
        <f>[1]monsters!$P268</f>
        <v>1486.45</v>
      </c>
      <c r="BX268" s="3">
        <f>[1]monsters!$Q268</f>
        <v>148.65</v>
      </c>
      <c r="BY268" s="3">
        <f>[1]monsters!$R268</f>
        <v>29.76</v>
      </c>
      <c r="BZ268" s="3">
        <f>[1]monsters!$S268</f>
        <v>2.98</v>
      </c>
      <c r="CA268" s="3">
        <f>[1]monsters!$K268</f>
        <v>1.5</v>
      </c>
      <c r="CB268" s="12">
        <f>[1]monsters!$D268</f>
        <v>6</v>
      </c>
      <c r="CC268" s="12">
        <f t="shared" ca="1" si="40"/>
        <v>0.1</v>
      </c>
      <c r="CD268" s="12">
        <f t="shared" ca="1" si="41"/>
        <v>116.52484848484799</v>
      </c>
      <c r="CE268" s="12">
        <f t="shared" ca="1" si="42"/>
        <v>11.6524848484848</v>
      </c>
      <c r="CS268" s="32"/>
      <c r="CT268" s="32"/>
      <c r="CU268" s="33"/>
      <c r="CV268" s="32"/>
      <c r="CW268" s="32"/>
      <c r="CX268" s="32"/>
      <c r="CY268" s="34"/>
      <c r="CZ268" s="34"/>
      <c r="DA268" s="34"/>
      <c r="DB268" s="33"/>
      <c r="DC268" s="33"/>
      <c r="DD268" s="33"/>
      <c r="DE268" s="33"/>
      <c r="DF268" s="33"/>
      <c r="DG268" s="33"/>
      <c r="DH268" s="34"/>
      <c r="DI268" s="34"/>
      <c r="DJ268" s="34"/>
      <c r="DK268" s="34"/>
      <c r="DL268" s="34"/>
      <c r="DM268" s="34"/>
      <c r="DN268" s="12">
        <v>5601081</v>
      </c>
      <c r="DS268" s="21"/>
      <c r="DT268" s="21"/>
      <c r="DU268" s="21"/>
    </row>
    <row r="269" spans="72:125" ht="13.5" customHeight="1">
      <c r="BT269" s="12">
        <v>5200082</v>
      </c>
      <c r="BU269" s="3">
        <f>[1]monsters!$N269</f>
        <v>184.32</v>
      </c>
      <c r="BV269" s="3">
        <f>[1]monsters!$O269</f>
        <v>18.43</v>
      </c>
      <c r="BW269" s="3">
        <f>[1]monsters!$P269</f>
        <v>2880</v>
      </c>
      <c r="BX269" s="3">
        <f>[1]monsters!$Q269</f>
        <v>288</v>
      </c>
      <c r="BY269" s="3">
        <f>[1]monsters!$R269</f>
        <v>61.44</v>
      </c>
      <c r="BZ269" s="3">
        <f>[1]monsters!$S269</f>
        <v>6.14</v>
      </c>
      <c r="CA269" s="3">
        <f>[1]monsters!$K269</f>
        <v>1.8</v>
      </c>
      <c r="CB269" s="12">
        <f>[1]monsters!$D269</f>
        <v>2</v>
      </c>
      <c r="CC269" s="12">
        <f t="shared" ca="1" si="40"/>
        <v>0.1</v>
      </c>
      <c r="CD269" s="12">
        <f t="shared" ca="1" si="41"/>
        <v>115.03806060606099</v>
      </c>
      <c r="CE269" s="12">
        <f t="shared" ca="1" si="42"/>
        <v>11.503806060606101</v>
      </c>
      <c r="CS269" s="32"/>
      <c r="CT269" s="32"/>
      <c r="CU269" s="33"/>
      <c r="CV269" s="32"/>
      <c r="CW269" s="32"/>
      <c r="CX269" s="32"/>
      <c r="CY269" s="34"/>
      <c r="CZ269" s="34"/>
      <c r="DA269" s="34"/>
      <c r="DB269" s="33"/>
      <c r="DC269" s="33"/>
      <c r="DD269" s="33"/>
      <c r="DE269" s="33"/>
      <c r="DF269" s="33"/>
      <c r="DG269" s="33"/>
      <c r="DH269" s="34"/>
      <c r="DI269" s="34"/>
      <c r="DJ269" s="34"/>
      <c r="DK269" s="34"/>
      <c r="DL269" s="34"/>
      <c r="DM269" s="34"/>
      <c r="DN269" s="12">
        <v>5200082</v>
      </c>
      <c r="DS269" s="21"/>
      <c r="DT269" s="21"/>
      <c r="DU269" s="21"/>
    </row>
    <row r="270" spans="72:125" ht="13.5" customHeight="1">
      <c r="BT270" s="12">
        <v>5202082</v>
      </c>
      <c r="BU270" s="3">
        <f>[1]monsters!$N270</f>
        <v>161.28</v>
      </c>
      <c r="BV270" s="3">
        <f>[1]monsters!$O270</f>
        <v>16.13</v>
      </c>
      <c r="BW270" s="3">
        <f>[1]monsters!$P270</f>
        <v>2560</v>
      </c>
      <c r="BX270" s="3">
        <f>[1]monsters!$Q270</f>
        <v>256</v>
      </c>
      <c r="BY270" s="3">
        <f>[1]monsters!$R270</f>
        <v>32.26</v>
      </c>
      <c r="BZ270" s="3">
        <f>[1]monsters!$S270</f>
        <v>3.23</v>
      </c>
      <c r="CA270" s="3">
        <f>[1]monsters!$K270</f>
        <v>1.4000000000000001</v>
      </c>
      <c r="CB270" s="12">
        <f>[1]monsters!$D270</f>
        <v>3</v>
      </c>
      <c r="CC270" s="12">
        <f t="shared" ca="1" si="40"/>
        <v>0.1</v>
      </c>
      <c r="CD270" s="12">
        <f t="shared" ca="1" si="41"/>
        <v>133.18206060606099</v>
      </c>
      <c r="CE270" s="12">
        <f t="shared" ca="1" si="42"/>
        <v>13.3182060606061</v>
      </c>
      <c r="CS270" s="32"/>
      <c r="CT270" s="32"/>
      <c r="CU270" s="33"/>
      <c r="CV270" s="32"/>
      <c r="CW270" s="32"/>
      <c r="CX270" s="32"/>
      <c r="CY270" s="34"/>
      <c r="CZ270" s="34"/>
      <c r="DA270" s="34"/>
      <c r="DB270" s="33"/>
      <c r="DC270" s="33"/>
      <c r="DD270" s="33"/>
      <c r="DE270" s="33"/>
      <c r="DF270" s="33"/>
      <c r="DG270" s="33"/>
      <c r="DH270" s="34"/>
      <c r="DI270" s="34"/>
      <c r="DJ270" s="34"/>
      <c r="DK270" s="34"/>
      <c r="DL270" s="34"/>
      <c r="DM270" s="34"/>
      <c r="DN270" s="12">
        <v>5202082</v>
      </c>
      <c r="DS270" s="21"/>
      <c r="DT270" s="21"/>
      <c r="DU270" s="21"/>
    </row>
    <row r="271" spans="72:125" ht="13.5" customHeight="1">
      <c r="BT271" s="12">
        <v>5302082</v>
      </c>
      <c r="BU271" s="3">
        <f>[1]monsters!$N271</f>
        <v>286.72000000000003</v>
      </c>
      <c r="BV271" s="3">
        <f>[1]monsters!$O271</f>
        <v>28.67</v>
      </c>
      <c r="BW271" s="3">
        <f>[1]monsters!$P271</f>
        <v>1645.71</v>
      </c>
      <c r="BX271" s="3">
        <f>[1]monsters!$Q271</f>
        <v>164.57</v>
      </c>
      <c r="BY271" s="3">
        <f>[1]monsters!$R271</f>
        <v>35.840000000000003</v>
      </c>
      <c r="BZ271" s="3">
        <f>[1]monsters!$S271</f>
        <v>3.58</v>
      </c>
      <c r="CA271" s="3">
        <f>[1]monsters!$K271</f>
        <v>1.6</v>
      </c>
      <c r="CB271" s="12">
        <f>[1]monsters!$D271</f>
        <v>5</v>
      </c>
      <c r="CC271" s="12">
        <f t="shared" ca="1" si="40"/>
        <v>0.1</v>
      </c>
      <c r="CD271" s="12">
        <f t="shared" ca="1" si="41"/>
        <v>102.86085387205399</v>
      </c>
      <c r="CE271" s="12">
        <f t="shared" ca="1" si="42"/>
        <v>10.2860853872054</v>
      </c>
      <c r="CS271" s="32"/>
      <c r="CT271" s="32"/>
      <c r="CU271" s="33"/>
      <c r="CV271" s="32"/>
      <c r="CW271" s="32"/>
      <c r="CX271" s="32"/>
      <c r="CY271" s="34"/>
      <c r="CZ271" s="34"/>
      <c r="DA271" s="34"/>
      <c r="DB271" s="33"/>
      <c r="DC271" s="33"/>
      <c r="DD271" s="33"/>
      <c r="DE271" s="33"/>
      <c r="DF271" s="33"/>
      <c r="DG271" s="33"/>
      <c r="DH271" s="34"/>
      <c r="DI271" s="34"/>
      <c r="DJ271" s="34"/>
      <c r="DK271" s="34"/>
      <c r="DL271" s="34"/>
      <c r="DM271" s="34"/>
      <c r="DN271" s="12">
        <v>5302082</v>
      </c>
      <c r="DS271" s="21"/>
      <c r="DT271" s="21"/>
      <c r="DU271" s="21"/>
    </row>
    <row r="272" spans="72:125" ht="13.5" customHeight="1">
      <c r="BT272" s="12">
        <v>5300082</v>
      </c>
      <c r="BU272" s="3">
        <f>[1]monsters!$N272</f>
        <v>277.76</v>
      </c>
      <c r="BV272" s="3">
        <f>[1]monsters!$O272</f>
        <v>27.78</v>
      </c>
      <c r="BW272" s="3">
        <f>[1]monsters!$P272</f>
        <v>1486.45</v>
      </c>
      <c r="BX272" s="3">
        <f>[1]monsters!$Q272</f>
        <v>148.65</v>
      </c>
      <c r="BY272" s="3">
        <f>[1]monsters!$R272</f>
        <v>27.78</v>
      </c>
      <c r="BZ272" s="3">
        <f>[1]monsters!$S272</f>
        <v>2.78</v>
      </c>
      <c r="CA272" s="3">
        <f>[1]monsters!$K272</f>
        <v>1.4000000000000001</v>
      </c>
      <c r="CB272" s="12">
        <f>[1]monsters!$D272</f>
        <v>6</v>
      </c>
      <c r="CC272" s="12">
        <f t="shared" ca="1" si="40"/>
        <v>0.1</v>
      </c>
      <c r="CD272" s="12">
        <f t="shared" ca="1" si="41"/>
        <v>106.943253872054</v>
      </c>
      <c r="CE272" s="12">
        <f t="shared" ca="1" si="42"/>
        <v>10.694325387205399</v>
      </c>
      <c r="CS272" s="32"/>
      <c r="CT272" s="32"/>
      <c r="CU272" s="33"/>
      <c r="CV272" s="32"/>
      <c r="CW272" s="32"/>
      <c r="CX272" s="32"/>
      <c r="CY272" s="34"/>
      <c r="CZ272" s="34"/>
      <c r="DA272" s="34"/>
      <c r="DB272" s="33"/>
      <c r="DC272" s="33"/>
      <c r="DD272" s="33"/>
      <c r="DE272" s="33"/>
      <c r="DF272" s="33"/>
      <c r="DG272" s="33"/>
      <c r="DH272" s="34"/>
      <c r="DI272" s="34"/>
      <c r="DJ272" s="34"/>
      <c r="DK272" s="34"/>
      <c r="DL272" s="34"/>
      <c r="DM272" s="34"/>
      <c r="DN272" s="12">
        <v>5300082</v>
      </c>
      <c r="DS272" s="21"/>
      <c r="DT272" s="21"/>
      <c r="DU272" s="21"/>
    </row>
    <row r="273" spans="72:125" ht="13.5" customHeight="1">
      <c r="BT273" s="12">
        <v>5400082</v>
      </c>
      <c r="BU273" s="3">
        <f>[1]monsters!$N273</f>
        <v>357.12</v>
      </c>
      <c r="BV273" s="3">
        <f>[1]monsters!$O273</f>
        <v>35.71</v>
      </c>
      <c r="BW273" s="3">
        <f>[1]monsters!$P273</f>
        <v>1486.45</v>
      </c>
      <c r="BX273" s="3">
        <f>[1]monsters!$Q273</f>
        <v>148.65</v>
      </c>
      <c r="BY273" s="3">
        <f>[1]monsters!$R273</f>
        <v>35.71</v>
      </c>
      <c r="BZ273" s="3">
        <f>[1]monsters!$S273</f>
        <v>3.57</v>
      </c>
      <c r="CA273" s="3">
        <f>[1]monsters!$K273</f>
        <v>1.8</v>
      </c>
      <c r="CB273" s="12">
        <f>[1]monsters!$D273</f>
        <v>6</v>
      </c>
      <c r="CC273" s="12">
        <f t="shared" ca="1" si="40"/>
        <v>0.1</v>
      </c>
      <c r="CD273" s="12">
        <f t="shared" ca="1" si="41"/>
        <v>103.95233498622601</v>
      </c>
      <c r="CE273" s="12">
        <f t="shared" ca="1" si="42"/>
        <v>10.3952334986226</v>
      </c>
      <c r="CS273" s="32"/>
      <c r="CT273" s="32"/>
      <c r="CU273" s="33"/>
      <c r="CV273" s="32"/>
      <c r="CW273" s="32"/>
      <c r="CX273" s="32"/>
      <c r="CY273" s="34"/>
      <c r="CZ273" s="34"/>
      <c r="DA273" s="34"/>
      <c r="DB273" s="33"/>
      <c r="DC273" s="33"/>
      <c r="DD273" s="33"/>
      <c r="DE273" s="33"/>
      <c r="DF273" s="33"/>
      <c r="DG273" s="33"/>
      <c r="DH273" s="34"/>
      <c r="DI273" s="34"/>
      <c r="DJ273" s="34"/>
      <c r="DK273" s="34"/>
      <c r="DL273" s="34"/>
      <c r="DM273" s="34"/>
      <c r="DN273" s="12">
        <v>5400082</v>
      </c>
      <c r="DS273" s="21"/>
      <c r="DT273" s="21"/>
      <c r="DU273" s="21"/>
    </row>
    <row r="274" spans="72:125" ht="13.5" customHeight="1">
      <c r="BT274" s="12">
        <v>5402082</v>
      </c>
      <c r="BU274" s="3">
        <f>[1]monsters!$N274</f>
        <v>207.36</v>
      </c>
      <c r="BV274" s="3">
        <f>[1]monsters!$O274</f>
        <v>20.74</v>
      </c>
      <c r="BW274" s="3">
        <f>[1]monsters!$P274</f>
        <v>2560</v>
      </c>
      <c r="BX274" s="3">
        <f>[1]monsters!$Q274</f>
        <v>256</v>
      </c>
      <c r="BY274" s="3">
        <f>[1]monsters!$R274</f>
        <v>41.47</v>
      </c>
      <c r="BZ274" s="3">
        <f>[1]monsters!$S274</f>
        <v>4.1500000000000004</v>
      </c>
      <c r="CA274" s="3">
        <f>[1]monsters!$K274</f>
        <v>1.8</v>
      </c>
      <c r="CB274" s="12">
        <f>[1]monsters!$D274</f>
        <v>2</v>
      </c>
      <c r="CC274" s="12">
        <f t="shared" ca="1" si="40"/>
        <v>0.1</v>
      </c>
      <c r="CD274" s="12">
        <f t="shared" ca="1" si="41"/>
        <v>118.92113498622599</v>
      </c>
      <c r="CE274" s="12">
        <f t="shared" ca="1" si="42"/>
        <v>11.892113498622599</v>
      </c>
      <c r="CS274" s="32"/>
      <c r="CT274" s="32"/>
      <c r="CU274" s="33"/>
      <c r="CV274" s="32"/>
      <c r="CW274" s="32"/>
      <c r="CX274" s="32"/>
      <c r="CY274" s="34"/>
      <c r="CZ274" s="34"/>
      <c r="DA274" s="34"/>
      <c r="DB274" s="33"/>
      <c r="DC274" s="33"/>
      <c r="DD274" s="33"/>
      <c r="DE274" s="33"/>
      <c r="DF274" s="33"/>
      <c r="DG274" s="33"/>
      <c r="DH274" s="34"/>
      <c r="DI274" s="34"/>
      <c r="DJ274" s="34"/>
      <c r="DK274" s="34"/>
      <c r="DL274" s="34"/>
      <c r="DM274" s="34"/>
      <c r="DN274" s="12">
        <v>5402082</v>
      </c>
      <c r="DS274" s="21"/>
      <c r="DT274" s="21"/>
      <c r="DU274" s="21"/>
    </row>
    <row r="275" spans="72:125" ht="13.5" customHeight="1">
      <c r="BT275" s="12">
        <v>5500082</v>
      </c>
      <c r="BU275" s="3">
        <f>[1]monsters!$N275</f>
        <v>149.76</v>
      </c>
      <c r="BV275" s="3">
        <f>[1]monsters!$O275</f>
        <v>14.98</v>
      </c>
      <c r="BW275" s="3">
        <f>[1]monsters!$P275</f>
        <v>2560</v>
      </c>
      <c r="BX275" s="3">
        <f>[1]monsters!$Q275</f>
        <v>256</v>
      </c>
      <c r="BY275" s="3">
        <f>[1]monsters!$R275</f>
        <v>29.95</v>
      </c>
      <c r="BZ275" s="3">
        <f>[1]monsters!$S275</f>
        <v>3</v>
      </c>
      <c r="CA275" s="3">
        <f>[1]monsters!$K275</f>
        <v>1.3</v>
      </c>
      <c r="CB275" s="12">
        <f>[1]monsters!$D275</f>
        <v>3</v>
      </c>
      <c r="CC275" s="12">
        <f t="shared" ca="1" si="40"/>
        <v>0.1</v>
      </c>
      <c r="CD275" s="12">
        <f t="shared" ca="1" si="41"/>
        <v>111.16564040404</v>
      </c>
      <c r="CE275" s="12">
        <f t="shared" ca="1" si="42"/>
        <v>11.116564040404</v>
      </c>
      <c r="CS275" s="32"/>
      <c r="CT275" s="32"/>
      <c r="CU275" s="33"/>
      <c r="CV275" s="32"/>
      <c r="CW275" s="32"/>
      <c r="CX275" s="32"/>
      <c r="CY275" s="34"/>
      <c r="CZ275" s="34"/>
      <c r="DA275" s="34"/>
      <c r="DB275" s="33"/>
      <c r="DC275" s="33"/>
      <c r="DD275" s="33"/>
      <c r="DE275" s="33"/>
      <c r="DF275" s="33"/>
      <c r="DG275" s="33"/>
      <c r="DH275" s="34"/>
      <c r="DI275" s="34"/>
      <c r="DJ275" s="34"/>
      <c r="DK275" s="34"/>
      <c r="DL275" s="34"/>
      <c r="DM275" s="34"/>
      <c r="DN275" s="12">
        <v>5500082</v>
      </c>
      <c r="DS275" s="21"/>
      <c r="DT275" s="21"/>
      <c r="DU275" s="21"/>
    </row>
    <row r="276" spans="72:125" ht="13.5" customHeight="1">
      <c r="BT276" s="12">
        <v>5502082</v>
      </c>
      <c r="BU276" s="3">
        <f>[1]monsters!$N276</f>
        <v>161.28</v>
      </c>
      <c r="BV276" s="3">
        <f>[1]monsters!$O276</f>
        <v>16.13</v>
      </c>
      <c r="BW276" s="3">
        <f>[1]monsters!$P276</f>
        <v>2560</v>
      </c>
      <c r="BX276" s="3">
        <f>[1]monsters!$Q276</f>
        <v>256</v>
      </c>
      <c r="BY276" s="3">
        <f>[1]monsters!$R276</f>
        <v>32.26</v>
      </c>
      <c r="BZ276" s="3">
        <f>[1]monsters!$S276</f>
        <v>3.23</v>
      </c>
      <c r="CA276" s="3">
        <f>[1]monsters!$K276</f>
        <v>1.4000000000000001</v>
      </c>
      <c r="CB276" s="12">
        <f>[1]monsters!$D276</f>
        <v>3</v>
      </c>
      <c r="CC276" s="12">
        <f t="shared" ca="1" si="40"/>
        <v>0.1</v>
      </c>
      <c r="CD276" s="12">
        <f t="shared" ca="1" si="41"/>
        <v>111.16564040404</v>
      </c>
      <c r="CE276" s="12">
        <f t="shared" ca="1" si="42"/>
        <v>11.116564040404</v>
      </c>
      <c r="CS276" s="32"/>
      <c r="CT276" s="32"/>
      <c r="CU276" s="33"/>
      <c r="CV276" s="32"/>
      <c r="CW276" s="32"/>
      <c r="CX276" s="32"/>
      <c r="CY276" s="34"/>
      <c r="CZ276" s="34"/>
      <c r="DA276" s="34"/>
      <c r="DB276" s="33"/>
      <c r="DC276" s="33"/>
      <c r="DD276" s="33"/>
      <c r="DE276" s="33"/>
      <c r="DF276" s="33"/>
      <c r="DG276" s="33"/>
      <c r="DH276" s="34"/>
      <c r="DI276" s="34"/>
      <c r="DJ276" s="34"/>
      <c r="DK276" s="34"/>
      <c r="DL276" s="34"/>
      <c r="DM276" s="34"/>
      <c r="DN276" s="12">
        <v>5502082</v>
      </c>
      <c r="DS276" s="21"/>
      <c r="DT276" s="21"/>
      <c r="DU276" s="21"/>
    </row>
    <row r="277" spans="72:125" ht="13.5" customHeight="1">
      <c r="BT277" s="12">
        <v>5600082</v>
      </c>
      <c r="BU277" s="3">
        <f>[1]monsters!$N277</f>
        <v>215.04</v>
      </c>
      <c r="BV277" s="3">
        <f>[1]monsters!$O277</f>
        <v>21.5</v>
      </c>
      <c r="BW277" s="3">
        <f>[1]monsters!$P277</f>
        <v>1920</v>
      </c>
      <c r="BX277" s="3">
        <f>[1]monsters!$Q277</f>
        <v>192</v>
      </c>
      <c r="BY277" s="3">
        <f>[1]monsters!$R277</f>
        <v>30.72</v>
      </c>
      <c r="BZ277" s="3">
        <f>[1]monsters!$S277</f>
        <v>3.07</v>
      </c>
      <c r="CA277" s="3">
        <f>[1]monsters!$K277</f>
        <v>1.4000000000000001</v>
      </c>
      <c r="CB277" s="12">
        <f>[1]monsters!$D277</f>
        <v>4</v>
      </c>
      <c r="CC277" s="12">
        <f t="shared" ca="1" si="40"/>
        <v>0.1</v>
      </c>
      <c r="CD277" s="12">
        <f t="shared" ca="1" si="41"/>
        <v>107.452848484848</v>
      </c>
      <c r="CE277" s="12">
        <f t="shared" ca="1" si="42"/>
        <v>10.7452848484848</v>
      </c>
      <c r="CS277" s="32"/>
      <c r="CT277" s="32"/>
      <c r="CU277" s="33"/>
      <c r="CV277" s="32"/>
      <c r="CW277" s="32"/>
      <c r="CX277" s="32"/>
      <c r="CY277" s="34"/>
      <c r="CZ277" s="34"/>
      <c r="DA277" s="34"/>
      <c r="DB277" s="33"/>
      <c r="DC277" s="33"/>
      <c r="DD277" s="33"/>
      <c r="DE277" s="33"/>
      <c r="DF277" s="33"/>
      <c r="DG277" s="33"/>
      <c r="DH277" s="34"/>
      <c r="DI277" s="34"/>
      <c r="DJ277" s="34"/>
      <c r="DK277" s="34"/>
      <c r="DL277" s="34"/>
      <c r="DM277" s="34"/>
      <c r="DN277" s="12">
        <v>5600082</v>
      </c>
      <c r="DS277" s="21"/>
      <c r="DT277" s="21"/>
      <c r="DU277" s="21"/>
    </row>
    <row r="278" spans="72:125" ht="13.5" customHeight="1">
      <c r="BT278" s="12">
        <v>5602082</v>
      </c>
      <c r="BU278" s="3">
        <f>[1]monsters!$N278</f>
        <v>286.72000000000003</v>
      </c>
      <c r="BV278" s="3">
        <f>[1]monsters!$O278</f>
        <v>28.67</v>
      </c>
      <c r="BW278" s="3">
        <f>[1]monsters!$P278</f>
        <v>1645.71</v>
      </c>
      <c r="BX278" s="3">
        <f>[1]monsters!$Q278</f>
        <v>164.57</v>
      </c>
      <c r="BY278" s="3">
        <f>[1]monsters!$R278</f>
        <v>35.840000000000003</v>
      </c>
      <c r="BZ278" s="3">
        <f>[1]monsters!$S278</f>
        <v>3.58</v>
      </c>
      <c r="CA278" s="3">
        <f>[1]monsters!$K278</f>
        <v>1.6</v>
      </c>
      <c r="CB278" s="12">
        <f>[1]monsters!$D278</f>
        <v>5</v>
      </c>
      <c r="CC278" s="12">
        <f t="shared" ca="1" si="40"/>
        <v>0.1</v>
      </c>
      <c r="CD278" s="12">
        <f t="shared" ca="1" si="41"/>
        <v>139.20484848484799</v>
      </c>
      <c r="CE278" s="12">
        <f t="shared" ca="1" si="42"/>
        <v>13.9204848484849</v>
      </c>
      <c r="CS278" s="32"/>
      <c r="CT278" s="32"/>
      <c r="CU278" s="33"/>
      <c r="CV278" s="32"/>
      <c r="CW278" s="32"/>
      <c r="CX278" s="32"/>
      <c r="CY278" s="34"/>
      <c r="CZ278" s="34"/>
      <c r="DA278" s="34"/>
      <c r="DB278" s="33"/>
      <c r="DC278" s="33"/>
      <c r="DD278" s="33"/>
      <c r="DE278" s="33"/>
      <c r="DF278" s="33"/>
      <c r="DG278" s="33"/>
      <c r="DH278" s="34"/>
      <c r="DI278" s="34"/>
      <c r="DJ278" s="34"/>
      <c r="DK278" s="34"/>
      <c r="DL278" s="34"/>
      <c r="DM278" s="34"/>
      <c r="DN278" s="12">
        <v>5602082</v>
      </c>
      <c r="DS278" s="21"/>
      <c r="DT278" s="21"/>
      <c r="DU278" s="21"/>
    </row>
    <row r="279" spans="72:125" ht="13.5" customHeight="1">
      <c r="BT279" s="12">
        <v>5200083</v>
      </c>
      <c r="BU279" s="3">
        <f>[1]monsters!$N279</f>
        <v>208</v>
      </c>
      <c r="BV279" s="3">
        <f>[1]monsters!$O279</f>
        <v>20.8</v>
      </c>
      <c r="BW279" s="3">
        <f>[1]monsters!$P279</f>
        <v>2496</v>
      </c>
      <c r="BX279" s="3">
        <f>[1]monsters!$Q279</f>
        <v>249.6</v>
      </c>
      <c r="BY279" s="3">
        <f>[1]monsters!$R279</f>
        <v>52</v>
      </c>
      <c r="BZ279" s="3">
        <f>[1]monsters!$S279</f>
        <v>5.2</v>
      </c>
      <c r="CA279" s="3">
        <f>[1]monsters!$K279</f>
        <v>1.5</v>
      </c>
      <c r="CB279" s="12">
        <f>[1]monsters!$D279</f>
        <v>2</v>
      </c>
      <c r="CC279" s="12">
        <f t="shared" ca="1" si="40"/>
        <v>0.1</v>
      </c>
      <c r="CD279" s="12">
        <f t="shared" ca="1" si="41"/>
        <v>115.03806060606099</v>
      </c>
      <c r="CE279" s="12">
        <f t="shared" ca="1" si="42"/>
        <v>11.503806060606101</v>
      </c>
      <c r="CS279" s="32"/>
      <c r="CT279" s="32"/>
      <c r="CU279" s="33"/>
      <c r="CV279" s="32"/>
      <c r="CW279" s="32"/>
      <c r="CX279" s="32"/>
      <c r="CY279" s="34"/>
      <c r="CZ279" s="34"/>
      <c r="DA279" s="34"/>
      <c r="DB279" s="33"/>
      <c r="DC279" s="33"/>
      <c r="DD279" s="33"/>
      <c r="DE279" s="33"/>
      <c r="DF279" s="33"/>
      <c r="DG279" s="33"/>
      <c r="DH279" s="34"/>
      <c r="DI279" s="34"/>
      <c r="DJ279" s="34"/>
      <c r="DK279" s="34"/>
      <c r="DL279" s="34"/>
      <c r="DM279" s="34"/>
      <c r="DN279" s="12">
        <v>5200083</v>
      </c>
      <c r="DS279" s="21"/>
      <c r="DT279" s="21"/>
      <c r="DU279" s="21"/>
    </row>
    <row r="280" spans="72:125" ht="13.5" customHeight="1">
      <c r="BT280" s="12">
        <v>5202083</v>
      </c>
      <c r="BU280" s="3">
        <f>[1]monsters!$N280</f>
        <v>199.68</v>
      </c>
      <c r="BV280" s="3">
        <f>[1]monsters!$O280</f>
        <v>19.97</v>
      </c>
      <c r="BW280" s="3">
        <f>[1]monsters!$P280</f>
        <v>3120</v>
      </c>
      <c r="BX280" s="3">
        <f>[1]monsters!$Q280</f>
        <v>312</v>
      </c>
      <c r="BY280" s="3">
        <f>[1]monsters!$R280</f>
        <v>66.56</v>
      </c>
      <c r="BZ280" s="3">
        <f>[1]monsters!$S280</f>
        <v>6.66</v>
      </c>
      <c r="CA280" s="3">
        <f>[1]monsters!$K280</f>
        <v>1.8</v>
      </c>
      <c r="CB280" s="12">
        <f>[1]monsters!$D280</f>
        <v>2</v>
      </c>
      <c r="CC280" s="12">
        <f t="shared" ca="1" si="40"/>
        <v>0.1</v>
      </c>
      <c r="CD280" s="12">
        <f t="shared" ca="1" si="41"/>
        <v>133.18206060606099</v>
      </c>
      <c r="CE280" s="12">
        <f t="shared" ca="1" si="42"/>
        <v>13.3182060606061</v>
      </c>
      <c r="CS280" s="32"/>
      <c r="CT280" s="32"/>
      <c r="CU280" s="33"/>
      <c r="CV280" s="32"/>
      <c r="CW280" s="32"/>
      <c r="CX280" s="32"/>
      <c r="CY280" s="34"/>
      <c r="CZ280" s="34"/>
      <c r="DA280" s="34"/>
      <c r="DB280" s="33"/>
      <c r="DC280" s="33"/>
      <c r="DD280" s="33"/>
      <c r="DE280" s="33"/>
      <c r="DF280" s="33"/>
      <c r="DG280" s="33"/>
      <c r="DH280" s="34"/>
      <c r="DI280" s="34"/>
      <c r="DJ280" s="34"/>
      <c r="DK280" s="34"/>
      <c r="DL280" s="34"/>
      <c r="DM280" s="34"/>
      <c r="DN280" s="12">
        <v>5202083</v>
      </c>
      <c r="DS280" s="21"/>
      <c r="DT280" s="21"/>
      <c r="DU280" s="21"/>
    </row>
    <row r="281" spans="72:125" ht="13.5" customHeight="1">
      <c r="BT281" s="12">
        <v>5302083</v>
      </c>
      <c r="BU281" s="3">
        <f>[1]monsters!$N281</f>
        <v>224.64</v>
      </c>
      <c r="BV281" s="3">
        <f>[1]monsters!$O281</f>
        <v>22.46</v>
      </c>
      <c r="BW281" s="3">
        <f>[1]monsters!$P281</f>
        <v>2773.33</v>
      </c>
      <c r="BX281" s="3">
        <f>[1]monsters!$Q281</f>
        <v>277.33</v>
      </c>
      <c r="BY281" s="3">
        <f>[1]monsters!$R281</f>
        <v>44.93</v>
      </c>
      <c r="BZ281" s="3">
        <f>[1]monsters!$S281</f>
        <v>4.49</v>
      </c>
      <c r="CA281" s="3">
        <f>[1]monsters!$K281</f>
        <v>1.8</v>
      </c>
      <c r="CB281" s="12">
        <f>[1]monsters!$D281</f>
        <v>2</v>
      </c>
      <c r="CC281" s="12">
        <f t="shared" ca="1" si="40"/>
        <v>0.1</v>
      </c>
      <c r="CD281" s="12">
        <f t="shared" ca="1" si="41"/>
        <v>102.86085387205399</v>
      </c>
      <c r="CE281" s="12">
        <f t="shared" ca="1" si="42"/>
        <v>10.2860853872054</v>
      </c>
      <c r="CS281" s="32"/>
      <c r="CT281" s="32"/>
      <c r="CU281" s="33"/>
      <c r="CV281" s="32"/>
      <c r="CW281" s="32"/>
      <c r="CX281" s="32"/>
      <c r="CY281" s="34"/>
      <c r="CZ281" s="34"/>
      <c r="DA281" s="34"/>
      <c r="DB281" s="33"/>
      <c r="DC281" s="33"/>
      <c r="DD281" s="33"/>
      <c r="DE281" s="33"/>
      <c r="DF281" s="33"/>
      <c r="DG281" s="33"/>
      <c r="DH281" s="34"/>
      <c r="DI281" s="34"/>
      <c r="DJ281" s="34"/>
      <c r="DK281" s="34"/>
      <c r="DL281" s="34"/>
      <c r="DM281" s="34"/>
      <c r="DN281" s="12">
        <v>5302083</v>
      </c>
      <c r="DS281" s="21"/>
      <c r="DT281" s="21"/>
      <c r="DU281" s="21"/>
    </row>
    <row r="282" spans="72:125" ht="13.5" customHeight="1">
      <c r="BT282" s="12">
        <v>5301083</v>
      </c>
      <c r="BU282" s="3">
        <f>[1]monsters!$N282</f>
        <v>149.76</v>
      </c>
      <c r="BV282" s="3">
        <f>[1]monsters!$O282</f>
        <v>14.98</v>
      </c>
      <c r="BW282" s="3">
        <f>[1]monsters!$P282</f>
        <v>2773.33</v>
      </c>
      <c r="BX282" s="3">
        <f>[1]monsters!$Q282</f>
        <v>277.33</v>
      </c>
      <c r="BY282" s="3">
        <f>[1]monsters!$R282</f>
        <v>29.95</v>
      </c>
      <c r="BZ282" s="3">
        <f>[1]monsters!$S282</f>
        <v>3</v>
      </c>
      <c r="CA282" s="3">
        <f>[1]monsters!$K282</f>
        <v>1.2</v>
      </c>
      <c r="CB282" s="12">
        <f>[1]monsters!$D282</f>
        <v>3</v>
      </c>
      <c r="CC282" s="12">
        <f t="shared" ca="1" si="40"/>
        <v>0.1</v>
      </c>
      <c r="CD282" s="12">
        <f t="shared" ca="1" si="41"/>
        <v>106.943253872054</v>
      </c>
      <c r="CE282" s="12">
        <f t="shared" ca="1" si="42"/>
        <v>10.694325387205399</v>
      </c>
      <c r="CS282" s="32"/>
      <c r="CT282" s="32"/>
      <c r="CU282" s="33"/>
      <c r="CV282" s="32"/>
      <c r="CW282" s="32"/>
      <c r="CX282" s="32"/>
      <c r="CY282" s="34"/>
      <c r="CZ282" s="34"/>
      <c r="DA282" s="34"/>
      <c r="DB282" s="33"/>
      <c r="DC282" s="33"/>
      <c r="DD282" s="33"/>
      <c r="DE282" s="33"/>
      <c r="DF282" s="33"/>
      <c r="DG282" s="33"/>
      <c r="DH282" s="34"/>
      <c r="DI282" s="34"/>
      <c r="DJ282" s="34"/>
      <c r="DK282" s="34"/>
      <c r="DL282" s="34"/>
      <c r="DM282" s="34"/>
      <c r="DN282" s="12">
        <v>5301083</v>
      </c>
      <c r="DS282" s="21"/>
      <c r="DT282" s="21"/>
      <c r="DU282" s="21"/>
    </row>
    <row r="283" spans="72:125" ht="13.5" customHeight="1">
      <c r="BT283" s="12">
        <v>5400083</v>
      </c>
      <c r="BU283" s="3">
        <f>[1]monsters!$N283</f>
        <v>266.24</v>
      </c>
      <c r="BV283" s="3">
        <f>[1]monsters!$O283</f>
        <v>26.62</v>
      </c>
      <c r="BW283" s="3">
        <f>[1]monsters!$P283</f>
        <v>2080</v>
      </c>
      <c r="BX283" s="3">
        <f>[1]monsters!$Q283</f>
        <v>208</v>
      </c>
      <c r="BY283" s="3">
        <f>[1]monsters!$R283</f>
        <v>38.03</v>
      </c>
      <c r="BZ283" s="3">
        <f>[1]monsters!$S283</f>
        <v>3.8</v>
      </c>
      <c r="CA283" s="3">
        <f>[1]monsters!$K283</f>
        <v>1.6</v>
      </c>
      <c r="CB283" s="12">
        <f>[1]monsters!$D283</f>
        <v>4</v>
      </c>
      <c r="CC283" s="12">
        <f t="shared" ca="1" si="40"/>
        <v>0.1</v>
      </c>
      <c r="CD283" s="12">
        <f t="shared" ca="1" si="41"/>
        <v>103.95233498622601</v>
      </c>
      <c r="CE283" s="12">
        <f t="shared" ca="1" si="42"/>
        <v>10.3952334986226</v>
      </c>
      <c r="CS283" s="32"/>
      <c r="CT283" s="32"/>
      <c r="CU283" s="33"/>
      <c r="CV283" s="32"/>
      <c r="CW283" s="32"/>
      <c r="CX283" s="32"/>
      <c r="CY283" s="34"/>
      <c r="CZ283" s="34"/>
      <c r="DA283" s="34"/>
      <c r="DB283" s="33"/>
      <c r="DC283" s="33"/>
      <c r="DD283" s="33"/>
      <c r="DE283" s="33"/>
      <c r="DF283" s="33"/>
      <c r="DG283" s="33"/>
      <c r="DH283" s="34"/>
      <c r="DI283" s="34"/>
      <c r="DJ283" s="34"/>
      <c r="DK283" s="34"/>
      <c r="DL283" s="34"/>
      <c r="DM283" s="34"/>
      <c r="DN283" s="12">
        <v>5400083</v>
      </c>
      <c r="DS283" s="21"/>
      <c r="DT283" s="21"/>
      <c r="DU283" s="21"/>
    </row>
    <row r="284" spans="72:125" ht="13.5" customHeight="1">
      <c r="BT284" s="12">
        <v>5401083</v>
      </c>
      <c r="BU284" s="3">
        <f>[1]monsters!$N284</f>
        <v>249.6</v>
      </c>
      <c r="BV284" s="3">
        <f>[1]monsters!$O284</f>
        <v>24.96</v>
      </c>
      <c r="BW284" s="3">
        <f>[1]monsters!$P284</f>
        <v>2080</v>
      </c>
      <c r="BX284" s="3">
        <f>[1]monsters!$Q284</f>
        <v>208</v>
      </c>
      <c r="BY284" s="3">
        <f>[1]monsters!$R284</f>
        <v>35.659999999999997</v>
      </c>
      <c r="BZ284" s="3">
        <f>[1]monsters!$S284</f>
        <v>3.57</v>
      </c>
      <c r="CA284" s="3">
        <f>[1]monsters!$K284</f>
        <v>1.5</v>
      </c>
      <c r="CB284" s="12">
        <f>[1]monsters!$D284</f>
        <v>4</v>
      </c>
      <c r="CC284" s="12">
        <f t="shared" ca="1" si="40"/>
        <v>0.1</v>
      </c>
      <c r="CD284" s="12">
        <f t="shared" ca="1" si="41"/>
        <v>118.92113498622599</v>
      </c>
      <c r="CE284" s="12">
        <f t="shared" ca="1" si="42"/>
        <v>11.892113498622599</v>
      </c>
      <c r="CS284" s="32"/>
      <c r="CT284" s="32"/>
      <c r="CU284" s="33"/>
      <c r="CV284" s="32"/>
      <c r="CW284" s="32"/>
      <c r="CX284" s="32"/>
      <c r="CY284" s="34"/>
      <c r="CZ284" s="34"/>
      <c r="DA284" s="34"/>
      <c r="DB284" s="33"/>
      <c r="DC284" s="33"/>
      <c r="DD284" s="33"/>
      <c r="DE284" s="33"/>
      <c r="DF284" s="33"/>
      <c r="DG284" s="33"/>
      <c r="DH284" s="34"/>
      <c r="DI284" s="34"/>
      <c r="DJ284" s="34"/>
      <c r="DK284" s="34"/>
      <c r="DL284" s="34"/>
      <c r="DM284" s="34"/>
      <c r="DN284" s="12">
        <v>5401083</v>
      </c>
      <c r="DS284" s="21"/>
      <c r="DT284" s="21"/>
      <c r="DU284" s="21"/>
    </row>
    <row r="285" spans="72:125" ht="13.5" customHeight="1">
      <c r="BT285" s="12">
        <v>5501083</v>
      </c>
      <c r="BU285" s="3">
        <f>[1]monsters!$N285</f>
        <v>291.2</v>
      </c>
      <c r="BV285" s="3">
        <f>[1]monsters!$O285</f>
        <v>29.12</v>
      </c>
      <c r="BW285" s="3">
        <f>[1]monsters!$P285</f>
        <v>1782.86</v>
      </c>
      <c r="BX285" s="3">
        <f>[1]monsters!$Q285</f>
        <v>178.29</v>
      </c>
      <c r="BY285" s="3">
        <f>[1]monsters!$R285</f>
        <v>36.4</v>
      </c>
      <c r="BZ285" s="3">
        <f>[1]monsters!$S285</f>
        <v>3.64</v>
      </c>
      <c r="CA285" s="3">
        <f>[1]monsters!$K285</f>
        <v>1.5</v>
      </c>
      <c r="CB285" s="12">
        <f>[1]monsters!$D285</f>
        <v>5</v>
      </c>
      <c r="CC285" s="12">
        <f t="shared" ca="1" si="40"/>
        <v>0.1</v>
      </c>
      <c r="CD285" s="12">
        <f t="shared" ca="1" si="41"/>
        <v>127.49524040404</v>
      </c>
      <c r="CE285" s="12">
        <f t="shared" ca="1" si="42"/>
        <v>12.749524040403999</v>
      </c>
      <c r="CS285" s="32"/>
      <c r="CT285" s="32"/>
      <c r="CU285" s="33"/>
      <c r="CV285" s="32"/>
      <c r="CW285" s="32"/>
      <c r="CX285" s="32"/>
      <c r="CY285" s="34"/>
      <c r="CZ285" s="34"/>
      <c r="DA285" s="34"/>
      <c r="DB285" s="33"/>
      <c r="DC285" s="33"/>
      <c r="DD285" s="33"/>
      <c r="DE285" s="33"/>
      <c r="DF285" s="33"/>
      <c r="DG285" s="33"/>
      <c r="DH285" s="34"/>
      <c r="DI285" s="34"/>
      <c r="DJ285" s="34"/>
      <c r="DK285" s="34"/>
      <c r="DL285" s="34"/>
      <c r="DM285" s="34"/>
      <c r="DN285" s="12">
        <v>5501083</v>
      </c>
      <c r="DS285" s="21"/>
      <c r="DT285" s="21"/>
      <c r="DU285" s="21"/>
    </row>
    <row r="286" spans="72:125" ht="13.5" customHeight="1">
      <c r="BT286" s="12">
        <v>5502083</v>
      </c>
      <c r="BU286" s="3">
        <f>[1]monsters!$N286</f>
        <v>271.79000000000002</v>
      </c>
      <c r="BV286" s="3">
        <f>[1]monsters!$O286</f>
        <v>27.18</v>
      </c>
      <c r="BW286" s="3">
        <f>[1]monsters!$P286</f>
        <v>1782.86</v>
      </c>
      <c r="BX286" s="3">
        <f>[1]monsters!$Q286</f>
        <v>178.29</v>
      </c>
      <c r="BY286" s="3">
        <f>[1]monsters!$R286</f>
        <v>33.97</v>
      </c>
      <c r="BZ286" s="3">
        <f>[1]monsters!$S286</f>
        <v>3.4</v>
      </c>
      <c r="CA286" s="3">
        <f>[1]monsters!$K286</f>
        <v>1.4000000000000001</v>
      </c>
      <c r="CB286" s="12">
        <f>[1]monsters!$D286</f>
        <v>5</v>
      </c>
      <c r="CC286" s="12">
        <f t="shared" ca="1" si="40"/>
        <v>0.1</v>
      </c>
      <c r="CD286" s="12">
        <f t="shared" ca="1" si="41"/>
        <v>111.16564040404</v>
      </c>
      <c r="CE286" s="12">
        <f t="shared" ca="1" si="42"/>
        <v>11.116564040404</v>
      </c>
      <c r="CS286" s="32"/>
      <c r="CT286" s="32"/>
      <c r="CU286" s="33"/>
      <c r="CV286" s="32"/>
      <c r="CW286" s="32"/>
      <c r="CX286" s="32"/>
      <c r="CY286" s="34"/>
      <c r="CZ286" s="34"/>
      <c r="DA286" s="34"/>
      <c r="DB286" s="33"/>
      <c r="DC286" s="33"/>
      <c r="DD286" s="33"/>
      <c r="DE286" s="33"/>
      <c r="DF286" s="33"/>
      <c r="DG286" s="33"/>
      <c r="DH286" s="34"/>
      <c r="DI286" s="34"/>
      <c r="DJ286" s="34"/>
      <c r="DK286" s="34"/>
      <c r="DL286" s="34"/>
      <c r="DM286" s="34"/>
      <c r="DN286" s="12">
        <v>5502083</v>
      </c>
      <c r="DS286" s="21"/>
      <c r="DT286" s="21"/>
      <c r="DU286" s="21"/>
    </row>
    <row r="287" spans="72:125" ht="13.5" customHeight="1">
      <c r="BT287" s="12">
        <v>5600083</v>
      </c>
      <c r="BU287" s="3">
        <f>[1]monsters!$N287</f>
        <v>322.39999999999998</v>
      </c>
      <c r="BV287" s="3">
        <f>[1]monsters!$O287</f>
        <v>32.24</v>
      </c>
      <c r="BW287" s="3">
        <f>[1]monsters!$P287</f>
        <v>1610.32</v>
      </c>
      <c r="BX287" s="3">
        <f>[1]monsters!$Q287</f>
        <v>161.03</v>
      </c>
      <c r="BY287" s="3">
        <f>[1]monsters!$R287</f>
        <v>32.24</v>
      </c>
      <c r="BZ287" s="3">
        <f>[1]monsters!$S287</f>
        <v>3.22</v>
      </c>
      <c r="CA287" s="3">
        <f>[1]monsters!$K287</f>
        <v>1.5</v>
      </c>
      <c r="CB287" s="12">
        <f>[1]monsters!$D287</f>
        <v>6</v>
      </c>
      <c r="CC287" s="12">
        <f t="shared" ca="1" si="40"/>
        <v>0.1</v>
      </c>
      <c r="CD287" s="12">
        <f t="shared" ca="1" si="41"/>
        <v>107.452848484848</v>
      </c>
      <c r="CE287" s="12">
        <f t="shared" ca="1" si="42"/>
        <v>10.7452848484848</v>
      </c>
      <c r="CS287" s="32"/>
      <c r="CT287" s="32"/>
      <c r="CU287" s="33"/>
      <c r="CV287" s="32"/>
      <c r="CW287" s="32"/>
      <c r="CX287" s="32"/>
      <c r="CY287" s="34"/>
      <c r="CZ287" s="34"/>
      <c r="DA287" s="34"/>
      <c r="DB287" s="33"/>
      <c r="DC287" s="33"/>
      <c r="DD287" s="33"/>
      <c r="DE287" s="33"/>
      <c r="DF287" s="33"/>
      <c r="DG287" s="33"/>
      <c r="DH287" s="34"/>
      <c r="DI287" s="34"/>
      <c r="DJ287" s="34"/>
      <c r="DK287" s="34"/>
      <c r="DL287" s="34"/>
      <c r="DM287" s="34"/>
      <c r="DN287" s="12">
        <v>5600083</v>
      </c>
      <c r="DS287" s="21"/>
      <c r="DT287" s="21"/>
      <c r="DU287" s="21"/>
    </row>
    <row r="288" spans="72:125" ht="13.5" customHeight="1">
      <c r="BT288" s="12">
        <v>5601083</v>
      </c>
      <c r="BU288" s="3">
        <f>[1]monsters!$N288</f>
        <v>208</v>
      </c>
      <c r="BV288" s="3">
        <f>[1]monsters!$O288</f>
        <v>20.8</v>
      </c>
      <c r="BW288" s="3">
        <f>[1]monsters!$P288</f>
        <v>2496</v>
      </c>
      <c r="BX288" s="3">
        <f>[1]monsters!$Q288</f>
        <v>249.6</v>
      </c>
      <c r="BY288" s="3">
        <f>[1]monsters!$R288</f>
        <v>52</v>
      </c>
      <c r="BZ288" s="3">
        <f>[1]monsters!$S288</f>
        <v>5.2</v>
      </c>
      <c r="CA288" s="3">
        <f>[1]monsters!$K288</f>
        <v>1.5</v>
      </c>
      <c r="CB288" s="12">
        <f>[1]monsters!$D288</f>
        <v>2</v>
      </c>
      <c r="CC288" s="12">
        <f t="shared" ca="1" si="40"/>
        <v>0.1</v>
      </c>
      <c r="CD288" s="12">
        <f t="shared" ca="1" si="41"/>
        <v>116.52484848484799</v>
      </c>
      <c r="CE288" s="12">
        <f t="shared" ca="1" si="42"/>
        <v>11.6524848484848</v>
      </c>
      <c r="CS288" s="32"/>
      <c r="CT288" s="32"/>
      <c r="CU288" s="33"/>
      <c r="CV288" s="32"/>
      <c r="CW288" s="32"/>
      <c r="CX288" s="32"/>
      <c r="CY288" s="34"/>
      <c r="CZ288" s="34"/>
      <c r="DA288" s="34"/>
      <c r="DB288" s="33"/>
      <c r="DC288" s="33"/>
      <c r="DD288" s="33"/>
      <c r="DE288" s="33"/>
      <c r="DF288" s="33"/>
      <c r="DG288" s="33"/>
      <c r="DH288" s="34"/>
      <c r="DI288" s="34"/>
      <c r="DJ288" s="34"/>
      <c r="DK288" s="34"/>
      <c r="DL288" s="34"/>
      <c r="DM288" s="34"/>
      <c r="DN288" s="12">
        <v>5601083</v>
      </c>
      <c r="DS288" s="21"/>
      <c r="DT288" s="21"/>
      <c r="DU288" s="21"/>
    </row>
    <row r="289" spans="72:125" ht="13.5" customHeight="1">
      <c r="BT289" s="12">
        <v>5200084</v>
      </c>
      <c r="BU289" s="3">
        <f>[1]monsters!$N289</f>
        <v>199.68</v>
      </c>
      <c r="BV289" s="3">
        <f>[1]monsters!$O289</f>
        <v>19.97</v>
      </c>
      <c r="BW289" s="3">
        <f>[1]monsters!$P289</f>
        <v>3120</v>
      </c>
      <c r="BX289" s="3">
        <f>[1]monsters!$Q289</f>
        <v>312</v>
      </c>
      <c r="BY289" s="3">
        <f>[1]monsters!$R289</f>
        <v>66.56</v>
      </c>
      <c r="BZ289" s="3">
        <f>[1]monsters!$S289</f>
        <v>6.66</v>
      </c>
      <c r="CA289" s="3">
        <f>[1]monsters!$K289</f>
        <v>1.8</v>
      </c>
      <c r="CB289" s="12">
        <f>[1]monsters!$D289</f>
        <v>2</v>
      </c>
      <c r="CC289" s="12">
        <f t="shared" ca="1" si="40"/>
        <v>0.1</v>
      </c>
      <c r="CD289" s="12">
        <f t="shared" ca="1" si="41"/>
        <v>115.03806060606099</v>
      </c>
      <c r="CE289" s="12">
        <f t="shared" ca="1" si="42"/>
        <v>11.503806060606101</v>
      </c>
      <c r="CS289" s="32"/>
      <c r="CT289" s="32"/>
      <c r="CU289" s="33"/>
      <c r="CV289" s="32"/>
      <c r="CW289" s="32"/>
      <c r="CX289" s="32"/>
      <c r="CY289" s="34"/>
      <c r="CZ289" s="34"/>
      <c r="DA289" s="34"/>
      <c r="DB289" s="33"/>
      <c r="DC289" s="33"/>
      <c r="DD289" s="33"/>
      <c r="DE289" s="33"/>
      <c r="DF289" s="33"/>
      <c r="DG289" s="33"/>
      <c r="DH289" s="34"/>
      <c r="DI289" s="34"/>
      <c r="DJ289" s="34"/>
      <c r="DK289" s="34"/>
      <c r="DL289" s="34"/>
      <c r="DM289" s="34"/>
      <c r="DN289" s="12">
        <v>5200084</v>
      </c>
      <c r="DS289" s="21"/>
      <c r="DT289" s="21"/>
      <c r="DU289" s="21"/>
    </row>
    <row r="290" spans="72:125" ht="13.5" customHeight="1">
      <c r="BT290" s="12">
        <v>5201084</v>
      </c>
      <c r="BU290" s="3">
        <f>[1]monsters!$N290</f>
        <v>224.64</v>
      </c>
      <c r="BV290" s="3">
        <f>[1]monsters!$O290</f>
        <v>22.46</v>
      </c>
      <c r="BW290" s="3">
        <f>[1]monsters!$P290</f>
        <v>2773.33</v>
      </c>
      <c r="BX290" s="3">
        <f>[1]monsters!$Q290</f>
        <v>277.33</v>
      </c>
      <c r="BY290" s="3">
        <f>[1]monsters!$R290</f>
        <v>44.93</v>
      </c>
      <c r="BZ290" s="3">
        <f>[1]monsters!$S290</f>
        <v>4.49</v>
      </c>
      <c r="CA290" s="3">
        <f>[1]monsters!$K290</f>
        <v>1.8</v>
      </c>
      <c r="CB290" s="12">
        <f>[1]monsters!$D290</f>
        <v>2</v>
      </c>
      <c r="CC290" s="12">
        <f t="shared" ca="1" si="40"/>
        <v>0.1</v>
      </c>
      <c r="CD290" s="12">
        <f t="shared" ca="1" si="41"/>
        <v>133.18206060606099</v>
      </c>
      <c r="CE290" s="12">
        <f t="shared" ca="1" si="42"/>
        <v>13.3182060606061</v>
      </c>
      <c r="CS290" s="32"/>
      <c r="CT290" s="32"/>
      <c r="CU290" s="33"/>
      <c r="CV290" s="32"/>
      <c r="CW290" s="32"/>
      <c r="CX290" s="32"/>
      <c r="CY290" s="34"/>
      <c r="CZ290" s="34"/>
      <c r="DA290" s="34"/>
      <c r="DB290" s="33"/>
      <c r="DC290" s="33"/>
      <c r="DD290" s="33"/>
      <c r="DE290" s="33"/>
      <c r="DF290" s="33"/>
      <c r="DG290" s="33"/>
      <c r="DH290" s="34"/>
      <c r="DI290" s="34"/>
      <c r="DJ290" s="34"/>
      <c r="DK290" s="34"/>
      <c r="DL290" s="34"/>
      <c r="DM290" s="34"/>
      <c r="DN290" s="12">
        <v>5201084</v>
      </c>
      <c r="DS290" s="21"/>
      <c r="DT290" s="21"/>
      <c r="DU290" s="21"/>
    </row>
    <row r="291" spans="72:125" ht="13.5" customHeight="1">
      <c r="BT291" s="12">
        <v>5300084</v>
      </c>
      <c r="BU291" s="3">
        <f>[1]monsters!$N291</f>
        <v>149.76</v>
      </c>
      <c r="BV291" s="3">
        <f>[1]monsters!$O291</f>
        <v>14.98</v>
      </c>
      <c r="BW291" s="3">
        <f>[1]monsters!$P291</f>
        <v>2773.33</v>
      </c>
      <c r="BX291" s="3">
        <f>[1]monsters!$Q291</f>
        <v>277.33</v>
      </c>
      <c r="BY291" s="3">
        <f>[1]monsters!$R291</f>
        <v>29.95</v>
      </c>
      <c r="BZ291" s="3">
        <f>[1]monsters!$S291</f>
        <v>3</v>
      </c>
      <c r="CA291" s="3">
        <f>[1]monsters!$K291</f>
        <v>1.2</v>
      </c>
      <c r="CB291" s="12">
        <f>[1]monsters!$D291</f>
        <v>3</v>
      </c>
      <c r="CC291" s="12">
        <f t="shared" ca="1" si="40"/>
        <v>0.1</v>
      </c>
      <c r="CD291" s="12">
        <f t="shared" ca="1" si="41"/>
        <v>106.943253872054</v>
      </c>
      <c r="CE291" s="12">
        <f t="shared" ca="1" si="42"/>
        <v>10.694325387205399</v>
      </c>
      <c r="CS291" s="32"/>
      <c r="CT291" s="32"/>
      <c r="CU291" s="33"/>
      <c r="CV291" s="32"/>
      <c r="CW291" s="32"/>
      <c r="CX291" s="32"/>
      <c r="CY291" s="34"/>
      <c r="CZ291" s="34"/>
      <c r="DA291" s="34"/>
      <c r="DB291" s="33"/>
      <c r="DC291" s="33"/>
      <c r="DD291" s="33"/>
      <c r="DE291" s="33"/>
      <c r="DF291" s="33"/>
      <c r="DG291" s="33"/>
      <c r="DH291" s="34"/>
      <c r="DI291" s="34"/>
      <c r="DJ291" s="34"/>
      <c r="DK291" s="34"/>
      <c r="DL291" s="34"/>
      <c r="DM291" s="34"/>
      <c r="DN291" s="12">
        <v>5300084</v>
      </c>
      <c r="DS291" s="21"/>
      <c r="DT291" s="21"/>
      <c r="DU291" s="21"/>
    </row>
    <row r="292" spans="72:125" ht="13.5" customHeight="1">
      <c r="BT292" s="12">
        <v>5301084</v>
      </c>
      <c r="BU292" s="3">
        <f>[1]monsters!$N292</f>
        <v>266.24</v>
      </c>
      <c r="BV292" s="3">
        <f>[1]monsters!$O292</f>
        <v>26.62</v>
      </c>
      <c r="BW292" s="3">
        <f>[1]monsters!$P292</f>
        <v>2080</v>
      </c>
      <c r="BX292" s="3">
        <f>[1]monsters!$Q292</f>
        <v>208</v>
      </c>
      <c r="BY292" s="3">
        <f>[1]monsters!$R292</f>
        <v>38.03</v>
      </c>
      <c r="BZ292" s="3">
        <f>[1]monsters!$S292</f>
        <v>3.8</v>
      </c>
      <c r="CA292" s="3">
        <f>[1]monsters!$K292</f>
        <v>1.6</v>
      </c>
      <c r="CB292" s="12">
        <f>[1]monsters!$D292</f>
        <v>4</v>
      </c>
      <c r="CC292" s="12">
        <f t="shared" ca="1" si="40"/>
        <v>0.1</v>
      </c>
      <c r="CD292" s="12">
        <f t="shared" ca="1" si="41"/>
        <v>106.943253872054</v>
      </c>
      <c r="CE292" s="12">
        <f t="shared" ca="1" si="42"/>
        <v>10.694325387205399</v>
      </c>
      <c r="CS292" s="32"/>
      <c r="CT292" s="32"/>
      <c r="CU292" s="33"/>
      <c r="CV292" s="32"/>
      <c r="CW292" s="32"/>
      <c r="CX292" s="32"/>
      <c r="CY292" s="34"/>
      <c r="CZ292" s="34"/>
      <c r="DA292" s="34"/>
      <c r="DB292" s="33"/>
      <c r="DC292" s="33"/>
      <c r="DD292" s="33"/>
      <c r="DE292" s="33"/>
      <c r="DF292" s="33"/>
      <c r="DG292" s="33"/>
      <c r="DH292" s="34"/>
      <c r="DI292" s="34"/>
      <c r="DJ292" s="34"/>
      <c r="DK292" s="34"/>
      <c r="DL292" s="34"/>
      <c r="DM292" s="34"/>
      <c r="DN292" s="12">
        <v>5301084</v>
      </c>
      <c r="DS292" s="21"/>
      <c r="DT292" s="21"/>
      <c r="DU292" s="21"/>
    </row>
    <row r="293" spans="72:125" ht="13.5" customHeight="1">
      <c r="BT293" s="12">
        <v>5401084</v>
      </c>
      <c r="BU293" s="3">
        <f>[1]monsters!$N293</f>
        <v>249.6</v>
      </c>
      <c r="BV293" s="3">
        <f>[1]monsters!$O293</f>
        <v>24.96</v>
      </c>
      <c r="BW293" s="3">
        <f>[1]monsters!$P293</f>
        <v>2080</v>
      </c>
      <c r="BX293" s="3">
        <f>[1]monsters!$Q293</f>
        <v>208</v>
      </c>
      <c r="BY293" s="3">
        <f>[1]monsters!$R293</f>
        <v>35.659999999999997</v>
      </c>
      <c r="BZ293" s="3">
        <f>[1]monsters!$S293</f>
        <v>3.57</v>
      </c>
      <c r="CA293" s="3">
        <f>[1]monsters!$K293</f>
        <v>1.5</v>
      </c>
      <c r="CB293" s="12">
        <f>[1]monsters!$D293</f>
        <v>4</v>
      </c>
      <c r="CC293" s="12">
        <f t="shared" ca="1" si="40"/>
        <v>0.1</v>
      </c>
      <c r="CD293" s="12">
        <f t="shared" ca="1" si="41"/>
        <v>118.92113498622599</v>
      </c>
      <c r="CE293" s="12">
        <f t="shared" ca="1" si="42"/>
        <v>11.892113498622599</v>
      </c>
      <c r="CS293" s="32"/>
      <c r="CT293" s="32"/>
      <c r="CU293" s="33"/>
      <c r="CV293" s="32"/>
      <c r="CW293" s="32"/>
      <c r="CX293" s="32"/>
      <c r="CY293" s="34"/>
      <c r="CZ293" s="34"/>
      <c r="DA293" s="34"/>
      <c r="DB293" s="33"/>
      <c r="DC293" s="33"/>
      <c r="DD293" s="33"/>
      <c r="DE293" s="33"/>
      <c r="DF293" s="33"/>
      <c r="DG293" s="33"/>
      <c r="DH293" s="34"/>
      <c r="DI293" s="34"/>
      <c r="DJ293" s="34"/>
      <c r="DK293" s="34"/>
      <c r="DL293" s="34"/>
      <c r="DM293" s="34"/>
      <c r="DN293" s="12">
        <v>5401084</v>
      </c>
      <c r="DS293" s="21"/>
      <c r="DT293" s="21"/>
      <c r="DU293" s="21"/>
    </row>
    <row r="294" spans="72:125" ht="13.5" customHeight="1">
      <c r="BT294" s="12">
        <v>5402084</v>
      </c>
      <c r="BU294" s="3">
        <f>[1]monsters!$N294</f>
        <v>291.2</v>
      </c>
      <c r="BV294" s="3">
        <f>[1]monsters!$O294</f>
        <v>29.12</v>
      </c>
      <c r="BW294" s="3">
        <f>[1]monsters!$P294</f>
        <v>1782.86</v>
      </c>
      <c r="BX294" s="3">
        <f>[1]monsters!$Q294</f>
        <v>178.29</v>
      </c>
      <c r="BY294" s="3">
        <f>[1]monsters!$R294</f>
        <v>36.4</v>
      </c>
      <c r="BZ294" s="3">
        <f>[1]monsters!$S294</f>
        <v>3.64</v>
      </c>
      <c r="CA294" s="3">
        <f>[1]monsters!$K294</f>
        <v>1.5</v>
      </c>
      <c r="CB294" s="12">
        <f>[1]monsters!$D294</f>
        <v>5</v>
      </c>
      <c r="CC294" s="12">
        <f t="shared" ca="1" si="40"/>
        <v>0.1</v>
      </c>
      <c r="CD294" s="12">
        <f t="shared" ca="1" si="41"/>
        <v>118.92113498622599</v>
      </c>
      <c r="CE294" s="12">
        <f t="shared" ca="1" si="42"/>
        <v>11.892113498622599</v>
      </c>
      <c r="CS294" s="32"/>
      <c r="CT294" s="32"/>
      <c r="CU294" s="33"/>
      <c r="CV294" s="32"/>
      <c r="CW294" s="32"/>
      <c r="CX294" s="32"/>
      <c r="CY294" s="34"/>
      <c r="CZ294" s="34"/>
      <c r="DA294" s="34"/>
      <c r="DB294" s="33"/>
      <c r="DC294" s="33"/>
      <c r="DD294" s="33"/>
      <c r="DE294" s="33"/>
      <c r="DF294" s="33"/>
      <c r="DG294" s="33"/>
      <c r="DH294" s="34"/>
      <c r="DI294" s="34"/>
      <c r="DJ294" s="34"/>
      <c r="DK294" s="34"/>
      <c r="DL294" s="34"/>
      <c r="DM294" s="34"/>
      <c r="DN294" s="12">
        <v>5402084</v>
      </c>
      <c r="DS294" s="21"/>
      <c r="DT294" s="21"/>
      <c r="DU294" s="21"/>
    </row>
    <row r="295" spans="72:125" ht="13.5" customHeight="1">
      <c r="BT295" s="12">
        <v>5501084</v>
      </c>
      <c r="BU295" s="3">
        <f>[1]monsters!$N295</f>
        <v>271.79000000000002</v>
      </c>
      <c r="BV295" s="3">
        <f>[1]monsters!$O295</f>
        <v>27.18</v>
      </c>
      <c r="BW295" s="3">
        <f>[1]monsters!$P295</f>
        <v>1782.86</v>
      </c>
      <c r="BX295" s="3">
        <f>[1]monsters!$Q295</f>
        <v>178.29</v>
      </c>
      <c r="BY295" s="3">
        <f>[1]monsters!$R295</f>
        <v>33.97</v>
      </c>
      <c r="BZ295" s="3">
        <f>[1]monsters!$S295</f>
        <v>3.4</v>
      </c>
      <c r="CA295" s="3">
        <f>[1]monsters!$K295</f>
        <v>1.4000000000000001</v>
      </c>
      <c r="CB295" s="12">
        <f>[1]monsters!$D295</f>
        <v>5</v>
      </c>
      <c r="CC295" s="12">
        <f t="shared" ca="1" si="40"/>
        <v>0.1</v>
      </c>
      <c r="CD295" s="12">
        <f t="shared" ca="1" si="41"/>
        <v>127.49524040404</v>
      </c>
      <c r="CE295" s="12">
        <f t="shared" ca="1" si="42"/>
        <v>12.749524040403999</v>
      </c>
      <c r="CS295" s="32"/>
      <c r="CT295" s="32"/>
      <c r="CU295" s="33"/>
      <c r="CV295" s="32"/>
      <c r="CW295" s="32"/>
      <c r="CX295" s="32"/>
      <c r="CY295" s="34"/>
      <c r="CZ295" s="34"/>
      <c r="DA295" s="34"/>
      <c r="DB295" s="33"/>
      <c r="DC295" s="33"/>
      <c r="DD295" s="33"/>
      <c r="DE295" s="33"/>
      <c r="DF295" s="33"/>
      <c r="DG295" s="33"/>
      <c r="DH295" s="34"/>
      <c r="DI295" s="34"/>
      <c r="DJ295" s="34"/>
      <c r="DK295" s="34"/>
      <c r="DL295" s="34"/>
      <c r="DM295" s="34"/>
      <c r="DN295" s="12">
        <v>5501084</v>
      </c>
      <c r="DS295" s="21"/>
      <c r="DT295" s="21"/>
      <c r="DU295" s="21"/>
    </row>
    <row r="296" spans="72:125" ht="13.5" customHeight="1">
      <c r="BT296" s="12">
        <v>5502084</v>
      </c>
      <c r="BU296" s="3">
        <f>[1]monsters!$N296</f>
        <v>322.39999999999998</v>
      </c>
      <c r="BV296" s="3">
        <f>[1]monsters!$O296</f>
        <v>32.24</v>
      </c>
      <c r="BW296" s="3">
        <f>[1]monsters!$P296</f>
        <v>1610.32</v>
      </c>
      <c r="BX296" s="3">
        <f>[1]monsters!$Q296</f>
        <v>161.03</v>
      </c>
      <c r="BY296" s="3">
        <f>[1]monsters!$R296</f>
        <v>32.24</v>
      </c>
      <c r="BZ296" s="3">
        <f>[1]monsters!$S296</f>
        <v>3.22</v>
      </c>
      <c r="CA296" s="3">
        <f>[1]monsters!$K296</f>
        <v>1.5</v>
      </c>
      <c r="CB296" s="12">
        <f>[1]monsters!$D296</f>
        <v>6</v>
      </c>
      <c r="CC296" s="12">
        <f t="shared" ca="1" si="40"/>
        <v>0.1</v>
      </c>
      <c r="CD296" s="12">
        <f t="shared" ca="1" si="41"/>
        <v>111.16564040404</v>
      </c>
      <c r="CE296" s="12">
        <f t="shared" ca="1" si="42"/>
        <v>11.116564040404</v>
      </c>
      <c r="CS296" s="32"/>
      <c r="CT296" s="32"/>
      <c r="CU296" s="33"/>
      <c r="CV296" s="32"/>
      <c r="CW296" s="32"/>
      <c r="CX296" s="32"/>
      <c r="CY296" s="34"/>
      <c r="CZ296" s="34"/>
      <c r="DA296" s="34"/>
      <c r="DB296" s="33"/>
      <c r="DC296" s="33"/>
      <c r="DD296" s="33"/>
      <c r="DE296" s="33"/>
      <c r="DF296" s="33"/>
      <c r="DG296" s="33"/>
      <c r="DH296" s="34"/>
      <c r="DI296" s="34"/>
      <c r="DJ296" s="34"/>
      <c r="DK296" s="34"/>
      <c r="DL296" s="34"/>
      <c r="DM296" s="34"/>
      <c r="DN296" s="12">
        <v>5502084</v>
      </c>
      <c r="DS296" s="21"/>
      <c r="DT296" s="21"/>
      <c r="DU296" s="21"/>
    </row>
    <row r="297" spans="72:125" ht="13.5" customHeight="1">
      <c r="BT297" s="12">
        <v>5600084</v>
      </c>
      <c r="BU297" s="3">
        <f>[1]monsters!$N297</f>
        <v>208</v>
      </c>
      <c r="BV297" s="3">
        <f>[1]monsters!$O297</f>
        <v>20.8</v>
      </c>
      <c r="BW297" s="3">
        <f>[1]monsters!$P297</f>
        <v>2496</v>
      </c>
      <c r="BX297" s="3">
        <f>[1]monsters!$Q297</f>
        <v>249.6</v>
      </c>
      <c r="BY297" s="3">
        <f>[1]monsters!$R297</f>
        <v>52</v>
      </c>
      <c r="BZ297" s="3">
        <f>[1]monsters!$S297</f>
        <v>5.2</v>
      </c>
      <c r="CA297" s="3">
        <f>[1]monsters!$K297</f>
        <v>1.5</v>
      </c>
      <c r="CB297" s="12">
        <f>[1]monsters!$D297</f>
        <v>2</v>
      </c>
      <c r="CC297" s="12">
        <f t="shared" ca="1" si="40"/>
        <v>0.1</v>
      </c>
      <c r="CD297" s="12">
        <f t="shared" ca="1" si="41"/>
        <v>107.452848484848</v>
      </c>
      <c r="CE297" s="12">
        <f t="shared" ca="1" si="42"/>
        <v>10.7452848484848</v>
      </c>
      <c r="CS297" s="32"/>
      <c r="CT297" s="32"/>
      <c r="CU297" s="33"/>
      <c r="CV297" s="32"/>
      <c r="CW297" s="32"/>
      <c r="CX297" s="32"/>
      <c r="CY297" s="34"/>
      <c r="CZ297" s="34"/>
      <c r="DA297" s="34"/>
      <c r="DB297" s="33"/>
      <c r="DC297" s="33"/>
      <c r="DD297" s="33"/>
      <c r="DE297" s="33"/>
      <c r="DF297" s="33"/>
      <c r="DG297" s="33"/>
      <c r="DH297" s="34"/>
      <c r="DI297" s="34"/>
      <c r="DJ297" s="34"/>
      <c r="DK297" s="34"/>
      <c r="DL297" s="34"/>
      <c r="DM297" s="34"/>
      <c r="DN297" s="12">
        <v>5600084</v>
      </c>
      <c r="DS297" s="21"/>
      <c r="DT297" s="21"/>
      <c r="DU297" s="21"/>
    </row>
    <row r="298" spans="72:125" ht="13.5" customHeight="1">
      <c r="BT298" s="12">
        <v>5601084</v>
      </c>
      <c r="BU298" s="3">
        <f>[1]monsters!$N298</f>
        <v>199.68</v>
      </c>
      <c r="BV298" s="3">
        <f>[1]monsters!$O298</f>
        <v>19.97</v>
      </c>
      <c r="BW298" s="3">
        <f>[1]monsters!$P298</f>
        <v>3120</v>
      </c>
      <c r="BX298" s="3">
        <f>[1]monsters!$Q298</f>
        <v>312</v>
      </c>
      <c r="BY298" s="3">
        <f>[1]monsters!$R298</f>
        <v>66.56</v>
      </c>
      <c r="BZ298" s="3">
        <f>[1]monsters!$S298</f>
        <v>6.66</v>
      </c>
      <c r="CA298" s="3">
        <f>[1]monsters!$K298</f>
        <v>1.8</v>
      </c>
      <c r="CB298" s="12">
        <f>[1]monsters!$D298</f>
        <v>2</v>
      </c>
      <c r="CC298" s="12">
        <f t="shared" ca="1" si="40"/>
        <v>0.1</v>
      </c>
      <c r="CD298" s="12">
        <f t="shared" ca="1" si="41"/>
        <v>116.52484848484799</v>
      </c>
      <c r="CE298" s="12">
        <f t="shared" ca="1" si="42"/>
        <v>11.6524848484848</v>
      </c>
      <c r="CS298" s="32"/>
      <c r="CT298" s="32"/>
      <c r="CU298" s="33"/>
      <c r="CV298" s="32"/>
      <c r="CW298" s="32"/>
      <c r="CX298" s="32"/>
      <c r="CY298" s="34"/>
      <c r="CZ298" s="34"/>
      <c r="DA298" s="34"/>
      <c r="DB298" s="33"/>
      <c r="DC298" s="33"/>
      <c r="DD298" s="33"/>
      <c r="DE298" s="33"/>
      <c r="DF298" s="33"/>
      <c r="DG298" s="33"/>
      <c r="DH298" s="34"/>
      <c r="DI298" s="34"/>
      <c r="DJ298" s="34"/>
      <c r="DK298" s="34"/>
      <c r="DL298" s="34"/>
      <c r="DM298" s="34"/>
      <c r="DN298" s="12">
        <v>5601084</v>
      </c>
      <c r="DS298" s="21"/>
      <c r="DT298" s="21"/>
      <c r="DU298" s="21"/>
    </row>
    <row r="299" spans="72:125" ht="13.5" customHeight="1">
      <c r="BT299" s="12">
        <v>5201085</v>
      </c>
      <c r="BU299" s="3">
        <f>[1]monsters!$N299</f>
        <v>224.64</v>
      </c>
      <c r="BV299" s="3">
        <f>[1]monsters!$O299</f>
        <v>22.46</v>
      </c>
      <c r="BW299" s="3">
        <f>[1]monsters!$P299</f>
        <v>2773.33</v>
      </c>
      <c r="BX299" s="3">
        <f>[1]monsters!$Q299</f>
        <v>277.33</v>
      </c>
      <c r="BY299" s="3">
        <f>[1]monsters!$R299</f>
        <v>44.93</v>
      </c>
      <c r="BZ299" s="3">
        <f>[1]monsters!$S299</f>
        <v>4.49</v>
      </c>
      <c r="CA299" s="3">
        <f>[1]monsters!$K299</f>
        <v>1.8</v>
      </c>
      <c r="CB299" s="12">
        <f>[1]monsters!$D299</f>
        <v>2</v>
      </c>
      <c r="CC299" s="12">
        <f t="shared" ca="1" si="40"/>
        <v>0.1</v>
      </c>
      <c r="CD299" s="12">
        <f t="shared" ca="1" si="41"/>
        <v>133.18206060606099</v>
      </c>
      <c r="CE299" s="12">
        <f t="shared" ca="1" si="42"/>
        <v>13.3182060606061</v>
      </c>
      <c r="CS299" s="32"/>
      <c r="CT299" s="32"/>
      <c r="CU299" s="33"/>
      <c r="CV299" s="32"/>
      <c r="CW299" s="32"/>
      <c r="CX299" s="32"/>
      <c r="CY299" s="34"/>
      <c r="CZ299" s="34"/>
      <c r="DA299" s="34"/>
      <c r="DB299" s="33"/>
      <c r="DC299" s="33"/>
      <c r="DD299" s="33"/>
      <c r="DE299" s="33"/>
      <c r="DF299" s="33"/>
      <c r="DG299" s="33"/>
      <c r="DH299" s="34"/>
      <c r="DI299" s="34"/>
      <c r="DJ299" s="34"/>
      <c r="DK299" s="34"/>
      <c r="DL299" s="34"/>
      <c r="DM299" s="34"/>
      <c r="DN299" s="12">
        <v>5201085</v>
      </c>
      <c r="DS299" s="21"/>
      <c r="DT299" s="21"/>
      <c r="DU299" s="21"/>
    </row>
    <row r="300" spans="72:125" ht="13.5" customHeight="1">
      <c r="BT300" s="12">
        <v>5202085</v>
      </c>
      <c r="BU300" s="3">
        <f>[1]monsters!$N300</f>
        <v>149.76</v>
      </c>
      <c r="BV300" s="3">
        <f>[1]monsters!$O300</f>
        <v>14.98</v>
      </c>
      <c r="BW300" s="3">
        <f>[1]monsters!$P300</f>
        <v>2773.33</v>
      </c>
      <c r="BX300" s="3">
        <f>[1]monsters!$Q300</f>
        <v>277.33</v>
      </c>
      <c r="BY300" s="3">
        <f>[1]monsters!$R300</f>
        <v>29.95</v>
      </c>
      <c r="BZ300" s="3">
        <f>[1]monsters!$S300</f>
        <v>3</v>
      </c>
      <c r="CA300" s="3">
        <f>[1]monsters!$K300</f>
        <v>1.2</v>
      </c>
      <c r="CB300" s="12">
        <f>[1]monsters!$D300</f>
        <v>3</v>
      </c>
      <c r="CC300" s="12">
        <f t="shared" ca="1" si="40"/>
        <v>0.1</v>
      </c>
      <c r="CD300" s="12">
        <f t="shared" ca="1" si="41"/>
        <v>133.18206060606099</v>
      </c>
      <c r="CE300" s="12">
        <f t="shared" ca="1" si="42"/>
        <v>13.3182060606061</v>
      </c>
      <c r="CS300" s="32"/>
      <c r="CT300" s="32"/>
      <c r="CU300" s="33"/>
      <c r="CV300" s="32"/>
      <c r="CW300" s="32"/>
      <c r="CX300" s="32"/>
      <c r="CY300" s="34"/>
      <c r="CZ300" s="34"/>
      <c r="DA300" s="34"/>
      <c r="DB300" s="33"/>
      <c r="DC300" s="33"/>
      <c r="DD300" s="33"/>
      <c r="DE300" s="33"/>
      <c r="DF300" s="33"/>
      <c r="DG300" s="33"/>
      <c r="DH300" s="34"/>
      <c r="DI300" s="34"/>
      <c r="DJ300" s="34"/>
      <c r="DK300" s="34"/>
      <c r="DL300" s="34"/>
      <c r="DM300" s="34"/>
      <c r="DN300" s="12">
        <v>5202085</v>
      </c>
      <c r="DS300" s="21"/>
      <c r="DT300" s="21"/>
      <c r="DU300" s="21"/>
    </row>
    <row r="301" spans="72:125" ht="13.5" customHeight="1">
      <c r="BT301" s="12">
        <v>5302085</v>
      </c>
      <c r="BU301" s="3">
        <f>[1]monsters!$N301</f>
        <v>266.24</v>
      </c>
      <c r="BV301" s="3">
        <f>[1]monsters!$O301</f>
        <v>26.62</v>
      </c>
      <c r="BW301" s="3">
        <f>[1]monsters!$P301</f>
        <v>2080</v>
      </c>
      <c r="BX301" s="3">
        <f>[1]monsters!$Q301</f>
        <v>208</v>
      </c>
      <c r="BY301" s="3">
        <f>[1]monsters!$R301</f>
        <v>38.03</v>
      </c>
      <c r="BZ301" s="3">
        <f>[1]monsters!$S301</f>
        <v>3.8</v>
      </c>
      <c r="CA301" s="3">
        <f>[1]monsters!$K301</f>
        <v>1.6</v>
      </c>
      <c r="CB301" s="12">
        <f>[1]monsters!$D301</f>
        <v>4</v>
      </c>
      <c r="CC301" s="12">
        <f t="shared" ca="1" si="40"/>
        <v>0.1</v>
      </c>
      <c r="CD301" s="12">
        <f t="shared" ca="1" si="41"/>
        <v>102.86085387205399</v>
      </c>
      <c r="CE301" s="12">
        <f t="shared" ca="1" si="42"/>
        <v>10.2860853872054</v>
      </c>
      <c r="CS301" s="32"/>
      <c r="CT301" s="32"/>
      <c r="CU301" s="33"/>
      <c r="CV301" s="32"/>
      <c r="CW301" s="32"/>
      <c r="CX301" s="32"/>
      <c r="CY301" s="34"/>
      <c r="CZ301" s="34"/>
      <c r="DA301" s="34"/>
      <c r="DB301" s="33"/>
      <c r="DC301" s="33"/>
      <c r="DD301" s="33"/>
      <c r="DE301" s="33"/>
      <c r="DF301" s="33"/>
      <c r="DG301" s="33"/>
      <c r="DH301" s="34"/>
      <c r="DI301" s="34"/>
      <c r="DJ301" s="34"/>
      <c r="DK301" s="34"/>
      <c r="DL301" s="34"/>
      <c r="DM301" s="34"/>
      <c r="DN301" s="12">
        <v>5302085</v>
      </c>
      <c r="DS301" s="21"/>
      <c r="DT301" s="21"/>
      <c r="DU301" s="21"/>
    </row>
    <row r="302" spans="72:125" ht="13.5" customHeight="1">
      <c r="BT302" s="12">
        <v>5301085</v>
      </c>
      <c r="BU302" s="3">
        <f>[1]monsters!$N302</f>
        <v>249.6</v>
      </c>
      <c r="BV302" s="3">
        <f>[1]monsters!$O302</f>
        <v>24.96</v>
      </c>
      <c r="BW302" s="3">
        <f>[1]monsters!$P302</f>
        <v>2080</v>
      </c>
      <c r="BX302" s="3">
        <f>[1]monsters!$Q302</f>
        <v>208</v>
      </c>
      <c r="BY302" s="3">
        <f>[1]monsters!$R302</f>
        <v>35.659999999999997</v>
      </c>
      <c r="BZ302" s="3">
        <f>[1]monsters!$S302</f>
        <v>3.57</v>
      </c>
      <c r="CA302" s="3">
        <f>[1]monsters!$K302</f>
        <v>1.5</v>
      </c>
      <c r="CB302" s="12">
        <f>[1]monsters!$D302</f>
        <v>4</v>
      </c>
      <c r="CC302" s="12">
        <f t="shared" ca="1" si="40"/>
        <v>0.1</v>
      </c>
      <c r="CD302" s="12">
        <f t="shared" ca="1" si="41"/>
        <v>106.943253872054</v>
      </c>
      <c r="CE302" s="12">
        <f t="shared" ca="1" si="42"/>
        <v>10.694325387205399</v>
      </c>
      <c r="CS302" s="32"/>
      <c r="CT302" s="32"/>
      <c r="CU302" s="33"/>
      <c r="CV302" s="32"/>
      <c r="CW302" s="32"/>
      <c r="CX302" s="32"/>
      <c r="CY302" s="34"/>
      <c r="CZ302" s="34"/>
      <c r="DA302" s="34"/>
      <c r="DB302" s="33"/>
      <c r="DC302" s="33"/>
      <c r="DD302" s="33"/>
      <c r="DE302" s="33"/>
      <c r="DF302" s="33"/>
      <c r="DG302" s="33"/>
      <c r="DH302" s="34"/>
      <c r="DI302" s="34"/>
      <c r="DJ302" s="34"/>
      <c r="DK302" s="34"/>
      <c r="DL302" s="34"/>
      <c r="DM302" s="34"/>
      <c r="DN302" s="12">
        <v>5301085</v>
      </c>
      <c r="DS302" s="21"/>
      <c r="DT302" s="21"/>
      <c r="DU302" s="21"/>
    </row>
    <row r="303" spans="72:125" ht="13.5" customHeight="1">
      <c r="BT303" s="12">
        <v>5400085</v>
      </c>
      <c r="BU303" s="3">
        <f>[1]monsters!$N303</f>
        <v>291.2</v>
      </c>
      <c r="BV303" s="3">
        <f>[1]monsters!$O303</f>
        <v>29.12</v>
      </c>
      <c r="BW303" s="3">
        <f>[1]monsters!$P303</f>
        <v>1782.86</v>
      </c>
      <c r="BX303" s="3">
        <f>[1]monsters!$Q303</f>
        <v>178.29</v>
      </c>
      <c r="BY303" s="3">
        <f>[1]monsters!$R303</f>
        <v>36.4</v>
      </c>
      <c r="BZ303" s="3">
        <f>[1]monsters!$S303</f>
        <v>3.64</v>
      </c>
      <c r="CA303" s="3">
        <f>[1]monsters!$K303</f>
        <v>1.5</v>
      </c>
      <c r="CB303" s="12">
        <f>[1]monsters!$D303</f>
        <v>5</v>
      </c>
      <c r="CC303" s="12">
        <f t="shared" ca="1" si="40"/>
        <v>0.1</v>
      </c>
      <c r="CD303" s="12">
        <f t="shared" ca="1" si="41"/>
        <v>103.95233498622601</v>
      </c>
      <c r="CE303" s="12">
        <f t="shared" ca="1" si="42"/>
        <v>10.3952334986226</v>
      </c>
      <c r="CS303" s="32"/>
      <c r="CT303" s="32"/>
      <c r="CU303" s="33"/>
      <c r="CV303" s="32"/>
      <c r="CW303" s="32"/>
      <c r="CX303" s="32"/>
      <c r="CY303" s="34"/>
      <c r="CZ303" s="34"/>
      <c r="DA303" s="34"/>
      <c r="DB303" s="33"/>
      <c r="DC303" s="33"/>
      <c r="DD303" s="33"/>
      <c r="DE303" s="33"/>
      <c r="DF303" s="33"/>
      <c r="DG303" s="33"/>
      <c r="DH303" s="34"/>
      <c r="DI303" s="34"/>
      <c r="DJ303" s="34"/>
      <c r="DK303" s="34"/>
      <c r="DL303" s="34"/>
      <c r="DM303" s="34"/>
      <c r="DN303" s="12">
        <v>5400085</v>
      </c>
      <c r="DS303" s="21"/>
      <c r="DT303" s="21"/>
      <c r="DU303" s="21"/>
    </row>
    <row r="304" spans="72:125" ht="13.5" customHeight="1">
      <c r="BT304" s="12">
        <v>5402085</v>
      </c>
      <c r="BU304" s="3">
        <f>[1]monsters!$N304</f>
        <v>271.79000000000002</v>
      </c>
      <c r="BV304" s="3">
        <f>[1]monsters!$O304</f>
        <v>27.18</v>
      </c>
      <c r="BW304" s="3">
        <f>[1]monsters!$P304</f>
        <v>1782.86</v>
      </c>
      <c r="BX304" s="3">
        <f>[1]monsters!$Q304</f>
        <v>178.29</v>
      </c>
      <c r="BY304" s="3">
        <f>[1]monsters!$R304</f>
        <v>33.97</v>
      </c>
      <c r="BZ304" s="3">
        <f>[1]monsters!$S304</f>
        <v>3.4</v>
      </c>
      <c r="CA304" s="3">
        <f>[1]monsters!$K304</f>
        <v>1.4000000000000001</v>
      </c>
      <c r="CB304" s="12">
        <f>[1]monsters!$D304</f>
        <v>5</v>
      </c>
      <c r="CC304" s="12">
        <f t="shared" ca="1" si="40"/>
        <v>0.1</v>
      </c>
      <c r="CD304" s="12">
        <f t="shared" ca="1" si="41"/>
        <v>118.92113498622599</v>
      </c>
      <c r="CE304" s="12">
        <f t="shared" ca="1" si="42"/>
        <v>11.892113498622599</v>
      </c>
      <c r="CS304" s="33"/>
      <c r="CT304" s="33"/>
      <c r="CU304" s="33"/>
      <c r="CV304" s="32"/>
      <c r="CW304" s="32"/>
      <c r="CX304" s="32"/>
      <c r="CY304" s="34"/>
      <c r="CZ304" s="34"/>
      <c r="DA304" s="34"/>
      <c r="DB304" s="33"/>
      <c r="DC304" s="33"/>
      <c r="DD304" s="33"/>
      <c r="DE304" s="33"/>
      <c r="DF304" s="33"/>
      <c r="DG304" s="33"/>
      <c r="DH304" s="34"/>
      <c r="DI304" s="34"/>
      <c r="DJ304" s="34"/>
      <c r="DK304" s="34"/>
      <c r="DL304" s="34"/>
      <c r="DM304" s="34"/>
      <c r="DN304" s="12">
        <v>5402085</v>
      </c>
      <c r="DS304" s="21"/>
      <c r="DT304" s="21"/>
      <c r="DU304" s="21"/>
    </row>
    <row r="305" spans="72:125" ht="13.5" customHeight="1">
      <c r="BT305" s="12">
        <v>5500085</v>
      </c>
      <c r="BU305" s="3">
        <f>[1]monsters!$N305</f>
        <v>322.39999999999998</v>
      </c>
      <c r="BV305" s="3">
        <f>[1]monsters!$O305</f>
        <v>32.24</v>
      </c>
      <c r="BW305" s="3">
        <f>[1]monsters!$P305</f>
        <v>1610.32</v>
      </c>
      <c r="BX305" s="3">
        <f>[1]monsters!$Q305</f>
        <v>161.03</v>
      </c>
      <c r="BY305" s="3">
        <f>[1]monsters!$R305</f>
        <v>32.24</v>
      </c>
      <c r="BZ305" s="3">
        <f>[1]monsters!$S305</f>
        <v>3.22</v>
      </c>
      <c r="CA305" s="3">
        <f>[1]monsters!$K305</f>
        <v>1.5</v>
      </c>
      <c r="CB305" s="12">
        <f>[1]monsters!$D305</f>
        <v>6</v>
      </c>
      <c r="CC305" s="12">
        <f t="shared" ca="1" si="40"/>
        <v>0.1</v>
      </c>
      <c r="CD305" s="12">
        <f t="shared" ca="1" si="41"/>
        <v>111.16564040404</v>
      </c>
      <c r="CE305" s="12">
        <f t="shared" ca="1" si="42"/>
        <v>11.116564040404</v>
      </c>
      <c r="CS305" s="33"/>
      <c r="CT305" s="33"/>
      <c r="CU305" s="33"/>
      <c r="CV305" s="32"/>
      <c r="CW305" s="32"/>
      <c r="CX305" s="32"/>
      <c r="CY305" s="34"/>
      <c r="CZ305" s="34"/>
      <c r="DA305" s="34"/>
      <c r="DB305" s="33"/>
      <c r="DC305" s="33"/>
      <c r="DD305" s="33"/>
      <c r="DE305" s="33"/>
      <c r="DF305" s="33"/>
      <c r="DG305" s="33"/>
      <c r="DH305" s="34"/>
      <c r="DI305" s="34"/>
      <c r="DJ305" s="34"/>
      <c r="DK305" s="34"/>
      <c r="DL305" s="34"/>
      <c r="DM305" s="34"/>
      <c r="DN305" s="12">
        <v>5500085</v>
      </c>
      <c r="DS305" s="21"/>
      <c r="DT305" s="21"/>
      <c r="DU305" s="21"/>
    </row>
    <row r="306" spans="72:125" ht="13.5" customHeight="1">
      <c r="BT306" s="12">
        <v>5502085</v>
      </c>
      <c r="BU306" s="3">
        <f>[1]monsters!$N306</f>
        <v>199.68</v>
      </c>
      <c r="BV306" s="3">
        <f>[1]monsters!$O306</f>
        <v>19.97</v>
      </c>
      <c r="BW306" s="3">
        <f>[1]monsters!$P306</f>
        <v>3120</v>
      </c>
      <c r="BX306" s="3">
        <f>[1]monsters!$Q306</f>
        <v>312</v>
      </c>
      <c r="BY306" s="3">
        <f>[1]monsters!$R306</f>
        <v>66.56</v>
      </c>
      <c r="BZ306" s="3">
        <f>[1]monsters!$S306</f>
        <v>6.66</v>
      </c>
      <c r="CA306" s="3">
        <f>[1]monsters!$K306</f>
        <v>1.8</v>
      </c>
      <c r="CB306" s="12">
        <f>[1]monsters!$D306</f>
        <v>2</v>
      </c>
      <c r="CC306" s="12">
        <f t="shared" ca="1" si="40"/>
        <v>0.1</v>
      </c>
      <c r="CD306" s="12">
        <f t="shared" ca="1" si="41"/>
        <v>111.16564040404</v>
      </c>
      <c r="CE306" s="12">
        <f t="shared" ca="1" si="42"/>
        <v>11.116564040404</v>
      </c>
      <c r="CS306" s="33"/>
      <c r="CT306" s="33"/>
      <c r="CU306" s="33"/>
      <c r="CV306" s="32"/>
      <c r="CW306" s="32"/>
      <c r="CX306" s="32"/>
      <c r="CY306" s="34"/>
      <c r="CZ306" s="34"/>
      <c r="DA306" s="34"/>
      <c r="DB306" s="33"/>
      <c r="DC306" s="33"/>
      <c r="DD306" s="33"/>
      <c r="DE306" s="33"/>
      <c r="DF306" s="33"/>
      <c r="DG306" s="33"/>
      <c r="DH306" s="34"/>
      <c r="DI306" s="34"/>
      <c r="DJ306" s="34"/>
      <c r="DK306" s="34"/>
      <c r="DL306" s="34"/>
      <c r="DM306" s="34"/>
      <c r="DN306" s="12">
        <v>5502085</v>
      </c>
      <c r="DS306" s="21"/>
      <c r="DT306" s="21"/>
      <c r="DU306" s="21"/>
    </row>
    <row r="307" spans="72:125" ht="13.5" customHeight="1">
      <c r="BT307" s="12">
        <v>5600085</v>
      </c>
      <c r="BU307" s="3">
        <f>[1]monsters!$N307</f>
        <v>174.72</v>
      </c>
      <c r="BV307" s="3">
        <f>[1]monsters!$O307</f>
        <v>17.47</v>
      </c>
      <c r="BW307" s="3">
        <f>[1]monsters!$P307</f>
        <v>2773.33</v>
      </c>
      <c r="BX307" s="3">
        <f>[1]monsters!$Q307</f>
        <v>277.33</v>
      </c>
      <c r="BY307" s="3">
        <f>[1]monsters!$R307</f>
        <v>34.94</v>
      </c>
      <c r="BZ307" s="3">
        <f>[1]monsters!$S307</f>
        <v>3.49</v>
      </c>
      <c r="CA307" s="3">
        <f>[1]monsters!$K307</f>
        <v>1.4000000000000001</v>
      </c>
      <c r="CB307" s="12">
        <f>[1]monsters!$D307</f>
        <v>3</v>
      </c>
      <c r="CC307" s="12">
        <f t="shared" ca="1" si="40"/>
        <v>0.1</v>
      </c>
      <c r="CD307" s="12">
        <f t="shared" ca="1" si="41"/>
        <v>107.452848484848</v>
      </c>
      <c r="CE307" s="12">
        <f t="shared" ca="1" si="42"/>
        <v>10.7452848484848</v>
      </c>
      <c r="CS307" s="33"/>
      <c r="CT307" s="33"/>
      <c r="CU307" s="33"/>
      <c r="CV307" s="32"/>
      <c r="CW307" s="32"/>
      <c r="CX307" s="32"/>
      <c r="CY307" s="34"/>
      <c r="CZ307" s="34"/>
      <c r="DA307" s="34"/>
      <c r="DB307" s="33"/>
      <c r="DC307" s="33"/>
      <c r="DD307" s="33"/>
      <c r="DE307" s="33"/>
      <c r="DF307" s="33"/>
      <c r="DG307" s="33"/>
      <c r="DH307" s="34"/>
      <c r="DI307" s="34"/>
      <c r="DJ307" s="34"/>
      <c r="DK307" s="34"/>
      <c r="DL307" s="34"/>
      <c r="DM307" s="34"/>
      <c r="DN307" s="12">
        <v>5600085</v>
      </c>
      <c r="DS307" s="21"/>
      <c r="DT307" s="21"/>
      <c r="DU307" s="21"/>
    </row>
    <row r="308" spans="72:125" ht="13.5" customHeight="1">
      <c r="BT308" s="12">
        <v>5602085</v>
      </c>
      <c r="BU308" s="3">
        <f>[1]monsters!$N308</f>
        <v>310.61</v>
      </c>
      <c r="BV308" s="3">
        <f>[1]monsters!$O308</f>
        <v>31.06</v>
      </c>
      <c r="BW308" s="3">
        <f>[1]monsters!$P308</f>
        <v>1782.86</v>
      </c>
      <c r="BX308" s="3">
        <f>[1]monsters!$Q308</f>
        <v>178.29</v>
      </c>
      <c r="BY308" s="3">
        <f>[1]monsters!$R308</f>
        <v>38.83</v>
      </c>
      <c r="BZ308" s="3">
        <f>[1]monsters!$S308</f>
        <v>3.88</v>
      </c>
      <c r="CA308" s="3">
        <f>[1]monsters!$K308</f>
        <v>1.6</v>
      </c>
      <c r="CB308" s="12">
        <f>[1]monsters!$D308</f>
        <v>5</v>
      </c>
      <c r="CC308" s="12">
        <f t="shared" ca="1" si="40"/>
        <v>0.1</v>
      </c>
      <c r="CD308" s="12">
        <f t="shared" ca="1" si="41"/>
        <v>139.20484848484799</v>
      </c>
      <c r="CE308" s="12">
        <f t="shared" ca="1" si="42"/>
        <v>13.9204848484849</v>
      </c>
      <c r="CS308" s="33"/>
      <c r="CT308" s="33"/>
      <c r="CU308" s="33"/>
      <c r="CV308" s="32"/>
      <c r="CW308" s="32"/>
      <c r="CX308" s="32"/>
      <c r="CY308" s="34"/>
      <c r="CZ308" s="34"/>
      <c r="DA308" s="34"/>
      <c r="DB308" s="33"/>
      <c r="DC308" s="33"/>
      <c r="DD308" s="33"/>
      <c r="DE308" s="33"/>
      <c r="DF308" s="33"/>
      <c r="DG308" s="33"/>
      <c r="DH308" s="34"/>
      <c r="DI308" s="34"/>
      <c r="DJ308" s="34"/>
      <c r="DK308" s="34"/>
      <c r="DL308" s="34"/>
      <c r="DM308" s="34"/>
      <c r="DN308" s="12">
        <v>5602085</v>
      </c>
      <c r="DS308" s="21"/>
      <c r="DT308" s="21"/>
      <c r="DU308" s="21"/>
    </row>
    <row r="309" spans="72:125" ht="13.5" customHeight="1">
      <c r="BT309" s="12">
        <v>5200091</v>
      </c>
      <c r="BU309" s="3">
        <f>[1]monsters!$N309</f>
        <v>300.91000000000003</v>
      </c>
      <c r="BV309" s="3">
        <f>[1]monsters!$O309</f>
        <v>30.09</v>
      </c>
      <c r="BW309" s="3">
        <f>[1]monsters!$P309</f>
        <v>1610.32</v>
      </c>
      <c r="BX309" s="3">
        <f>[1]monsters!$Q309</f>
        <v>161.03</v>
      </c>
      <c r="BY309" s="3">
        <f>[1]monsters!$R309</f>
        <v>30.09</v>
      </c>
      <c r="BZ309" s="3">
        <f>[1]monsters!$S309</f>
        <v>3.01</v>
      </c>
      <c r="CA309" s="3">
        <f>[1]monsters!$K309</f>
        <v>1.4000000000000001</v>
      </c>
      <c r="CB309" s="12">
        <f>[1]monsters!$D309</f>
        <v>6</v>
      </c>
      <c r="CC309" s="12">
        <f t="shared" ca="1" si="40"/>
        <v>0.1</v>
      </c>
      <c r="CD309" s="12">
        <f t="shared" ca="1" si="41"/>
        <v>124.62456565656601</v>
      </c>
      <c r="CE309" s="12">
        <f t="shared" ca="1" si="42"/>
        <v>12.4624565656566</v>
      </c>
      <c r="CS309" s="33"/>
      <c r="CT309" s="33"/>
      <c r="CU309" s="33"/>
      <c r="CV309" s="32"/>
      <c r="CW309" s="32"/>
      <c r="CX309" s="32"/>
      <c r="CY309" s="34"/>
      <c r="CZ309" s="34"/>
      <c r="DA309" s="34"/>
      <c r="DB309" s="33"/>
      <c r="DC309" s="33"/>
      <c r="DD309" s="33"/>
      <c r="DE309" s="33"/>
      <c r="DF309" s="33"/>
      <c r="DG309" s="33"/>
      <c r="DH309" s="34"/>
      <c r="DI309" s="34"/>
      <c r="DJ309" s="34"/>
      <c r="DK309" s="34"/>
      <c r="DL309" s="34"/>
      <c r="DM309" s="34"/>
      <c r="DN309" s="12">
        <v>5200091</v>
      </c>
      <c r="DS309" s="21"/>
      <c r="DT309" s="21"/>
      <c r="DU309" s="21"/>
    </row>
    <row r="310" spans="72:125" ht="13.5" customHeight="1">
      <c r="BT310" s="12">
        <v>5201091</v>
      </c>
      <c r="BU310" s="3">
        <f>[1]monsters!$N310</f>
        <v>386.88</v>
      </c>
      <c r="BV310" s="3">
        <f>[1]monsters!$O310</f>
        <v>38.69</v>
      </c>
      <c r="BW310" s="3">
        <f>[1]monsters!$P310</f>
        <v>1610.32</v>
      </c>
      <c r="BX310" s="3">
        <f>[1]monsters!$Q310</f>
        <v>161.03</v>
      </c>
      <c r="BY310" s="3">
        <f>[1]monsters!$R310</f>
        <v>38.69</v>
      </c>
      <c r="BZ310" s="3">
        <f>[1]monsters!$S310</f>
        <v>3.87</v>
      </c>
      <c r="CA310" s="3">
        <f>[1]monsters!$K310</f>
        <v>1.8</v>
      </c>
      <c r="CB310" s="12">
        <f>[1]monsters!$D310</f>
        <v>6</v>
      </c>
      <c r="CC310" s="12">
        <f t="shared" ca="1" si="40"/>
        <v>0.1</v>
      </c>
      <c r="CD310" s="12">
        <f t="shared" ca="1" si="41"/>
        <v>144.28056565656601</v>
      </c>
      <c r="CE310" s="12">
        <f t="shared" ca="1" si="42"/>
        <v>14.4280565656566</v>
      </c>
      <c r="CS310" s="33"/>
      <c r="CT310" s="33"/>
      <c r="CU310" s="33"/>
      <c r="CV310" s="32"/>
      <c r="CW310" s="32"/>
      <c r="CX310" s="32"/>
      <c r="CY310" s="34"/>
      <c r="CZ310" s="34"/>
      <c r="DA310" s="34"/>
      <c r="DB310" s="33"/>
      <c r="DC310" s="33"/>
      <c r="DD310" s="33"/>
      <c r="DE310" s="33"/>
      <c r="DF310" s="33"/>
      <c r="DG310" s="33"/>
      <c r="DH310" s="34"/>
      <c r="DI310" s="34"/>
      <c r="DJ310" s="34"/>
      <c r="DK310" s="34"/>
      <c r="DL310" s="34"/>
      <c r="DM310" s="34"/>
      <c r="DN310" s="12">
        <v>5201091</v>
      </c>
      <c r="DS310" s="21"/>
      <c r="DT310" s="21"/>
      <c r="DU310" s="21"/>
    </row>
    <row r="311" spans="72:125" ht="13.5" customHeight="1">
      <c r="BT311" s="12">
        <v>5300091</v>
      </c>
      <c r="BU311" s="3">
        <f>[1]monsters!$N311</f>
        <v>224.64</v>
      </c>
      <c r="BV311" s="3">
        <f>[1]monsters!$O311</f>
        <v>22.46</v>
      </c>
      <c r="BW311" s="3">
        <f>[1]monsters!$P311</f>
        <v>2773.33</v>
      </c>
      <c r="BX311" s="3">
        <f>[1]monsters!$Q311</f>
        <v>277.33</v>
      </c>
      <c r="BY311" s="3">
        <f>[1]monsters!$R311</f>
        <v>44.93</v>
      </c>
      <c r="BZ311" s="3">
        <f>[1]monsters!$S311</f>
        <v>4.49</v>
      </c>
      <c r="CA311" s="3">
        <f>[1]monsters!$K311</f>
        <v>1.8</v>
      </c>
      <c r="CB311" s="12">
        <f>[1]monsters!$D311</f>
        <v>2</v>
      </c>
      <c r="CC311" s="12">
        <f t="shared" ca="1" si="40"/>
        <v>0.1</v>
      </c>
      <c r="CD311" s="12">
        <f t="shared" ca="1" si="41"/>
        <v>115.85519169472499</v>
      </c>
      <c r="CE311" s="12">
        <f t="shared" ca="1" si="42"/>
        <v>11.5855191694725</v>
      </c>
      <c r="CS311" s="33"/>
      <c r="CT311" s="33"/>
      <c r="CU311" s="33"/>
      <c r="CV311" s="32"/>
      <c r="CW311" s="32"/>
      <c r="CX311" s="32"/>
      <c r="CY311" s="34"/>
      <c r="CZ311" s="34"/>
      <c r="DA311" s="34"/>
      <c r="DB311" s="33"/>
      <c r="DC311" s="33"/>
      <c r="DD311" s="33"/>
      <c r="DE311" s="33"/>
      <c r="DF311" s="33"/>
      <c r="DG311" s="33"/>
      <c r="DH311" s="34"/>
      <c r="DI311" s="34"/>
      <c r="DJ311" s="34"/>
      <c r="DK311" s="34"/>
      <c r="DL311" s="34"/>
      <c r="DM311" s="34"/>
      <c r="DN311" s="12">
        <v>5300091</v>
      </c>
      <c r="DS311" s="21"/>
      <c r="DT311" s="21"/>
      <c r="DU311" s="21"/>
    </row>
    <row r="312" spans="72:125" ht="13.5" customHeight="1">
      <c r="BT312" s="12">
        <v>5301091</v>
      </c>
      <c r="BU312" s="3">
        <f>[1]monsters!$N312</f>
        <v>162.24</v>
      </c>
      <c r="BV312" s="3">
        <f>[1]monsters!$O312</f>
        <v>16.22</v>
      </c>
      <c r="BW312" s="3">
        <f>[1]monsters!$P312</f>
        <v>2773.33</v>
      </c>
      <c r="BX312" s="3">
        <f>[1]monsters!$Q312</f>
        <v>277.33</v>
      </c>
      <c r="BY312" s="3">
        <f>[1]monsters!$R312</f>
        <v>32.450000000000003</v>
      </c>
      <c r="BZ312" s="3">
        <f>[1]monsters!$S312</f>
        <v>3.24</v>
      </c>
      <c r="CA312" s="3">
        <f>[1]monsters!$K312</f>
        <v>1.3</v>
      </c>
      <c r="CB312" s="12">
        <f>[1]monsters!$D312</f>
        <v>3</v>
      </c>
      <c r="CC312" s="12">
        <f t="shared" ca="1" si="40"/>
        <v>0.1</v>
      </c>
      <c r="CD312" s="12">
        <f t="shared" ca="1" si="41"/>
        <v>115.85519169472499</v>
      </c>
      <c r="CE312" s="12">
        <f t="shared" ca="1" si="42"/>
        <v>11.5855191694725</v>
      </c>
      <c r="CS312" s="33"/>
      <c r="CT312" s="33"/>
      <c r="CU312" s="33"/>
      <c r="CV312" s="32"/>
      <c r="CW312" s="32"/>
      <c r="CX312" s="32"/>
      <c r="CY312" s="34"/>
      <c r="CZ312" s="34"/>
      <c r="DA312" s="34"/>
      <c r="DB312" s="33"/>
      <c r="DC312" s="33"/>
      <c r="DD312" s="33"/>
      <c r="DE312" s="33"/>
      <c r="DF312" s="33"/>
      <c r="DG312" s="33"/>
      <c r="DH312" s="34"/>
      <c r="DI312" s="34"/>
      <c r="DJ312" s="34"/>
      <c r="DK312" s="34"/>
      <c r="DL312" s="34"/>
      <c r="DM312" s="34"/>
      <c r="DN312" s="12">
        <v>5301091</v>
      </c>
      <c r="DS312" s="21"/>
      <c r="DT312" s="21"/>
      <c r="DU312" s="21"/>
    </row>
    <row r="313" spans="72:125" ht="13.5" customHeight="1">
      <c r="BT313" s="12">
        <v>5401091</v>
      </c>
      <c r="BU313" s="3">
        <f>[1]monsters!$N313</f>
        <v>174.72</v>
      </c>
      <c r="BV313" s="3">
        <f>[1]monsters!$O313</f>
        <v>17.47</v>
      </c>
      <c r="BW313" s="3">
        <f>[1]monsters!$P313</f>
        <v>2773.33</v>
      </c>
      <c r="BX313" s="3">
        <f>[1]monsters!$Q313</f>
        <v>277.33</v>
      </c>
      <c r="BY313" s="3">
        <f>[1]monsters!$R313</f>
        <v>34.94</v>
      </c>
      <c r="BZ313" s="3">
        <f>[1]monsters!$S313</f>
        <v>3.49</v>
      </c>
      <c r="CA313" s="3">
        <f>[1]monsters!$K313</f>
        <v>1.4000000000000001</v>
      </c>
      <c r="CB313" s="12">
        <f>[1]monsters!$D313</f>
        <v>3</v>
      </c>
      <c r="CC313" s="12">
        <f t="shared" ca="1" si="40"/>
        <v>0.1</v>
      </c>
      <c r="CD313" s="12">
        <f t="shared" ca="1" si="41"/>
        <v>128.831229568411</v>
      </c>
      <c r="CE313" s="12">
        <f t="shared" ca="1" si="42"/>
        <v>12.883122956841101</v>
      </c>
      <c r="CS313" s="33"/>
      <c r="CT313" s="33"/>
      <c r="CU313" s="33"/>
      <c r="CV313" s="32"/>
      <c r="CW313" s="32"/>
      <c r="CX313" s="32"/>
      <c r="CY313" s="34"/>
      <c r="CZ313" s="34"/>
      <c r="DA313" s="34"/>
      <c r="DB313" s="33"/>
      <c r="DC313" s="33"/>
      <c r="DD313" s="33"/>
      <c r="DE313" s="33"/>
      <c r="DF313" s="33"/>
      <c r="DG313" s="33"/>
      <c r="DH313" s="34"/>
      <c r="DI313" s="34"/>
      <c r="DJ313" s="34"/>
      <c r="DK313" s="34"/>
      <c r="DL313" s="34"/>
      <c r="DM313" s="34"/>
      <c r="DN313" s="12">
        <v>5401091</v>
      </c>
      <c r="DS313" s="21"/>
      <c r="DT313" s="21"/>
      <c r="DU313" s="21"/>
    </row>
    <row r="314" spans="72:125" ht="13.5" customHeight="1">
      <c r="BT314" s="12">
        <v>5402091</v>
      </c>
      <c r="BU314" s="3">
        <f>[1]monsters!$N314</f>
        <v>232.96</v>
      </c>
      <c r="BV314" s="3">
        <f>[1]monsters!$O314</f>
        <v>23.3</v>
      </c>
      <c r="BW314" s="3">
        <f>[1]monsters!$P314</f>
        <v>2080</v>
      </c>
      <c r="BX314" s="3">
        <f>[1]monsters!$Q314</f>
        <v>208</v>
      </c>
      <c r="BY314" s="3">
        <f>[1]monsters!$R314</f>
        <v>33.28</v>
      </c>
      <c r="BZ314" s="3">
        <f>[1]monsters!$S314</f>
        <v>3.33</v>
      </c>
      <c r="CA314" s="3">
        <f>[1]monsters!$K314</f>
        <v>1.4000000000000001</v>
      </c>
      <c r="CB314" s="12">
        <f>[1]monsters!$D314</f>
        <v>4</v>
      </c>
      <c r="CC314" s="12">
        <f t="shared" ca="1" si="40"/>
        <v>0.1</v>
      </c>
      <c r="CD314" s="12">
        <f t="shared" ca="1" si="41"/>
        <v>128.831229568411</v>
      </c>
      <c r="CE314" s="12">
        <f t="shared" ca="1" si="42"/>
        <v>12.883122956841101</v>
      </c>
      <c r="CS314" s="33"/>
      <c r="CT314" s="33"/>
      <c r="CU314" s="33"/>
      <c r="CV314" s="32"/>
      <c r="CW314" s="32"/>
      <c r="CX314" s="32"/>
      <c r="CY314" s="34"/>
      <c r="CZ314" s="34"/>
      <c r="DA314" s="34"/>
      <c r="DB314" s="33"/>
      <c r="DC314" s="33"/>
      <c r="DD314" s="33"/>
      <c r="DE314" s="33"/>
      <c r="DF314" s="33"/>
      <c r="DG314" s="33"/>
      <c r="DH314" s="34"/>
      <c r="DI314" s="34"/>
      <c r="DJ314" s="34"/>
      <c r="DK314" s="34"/>
      <c r="DL314" s="34"/>
      <c r="DM314" s="34"/>
      <c r="DN314" s="12">
        <v>5402091</v>
      </c>
      <c r="DS314" s="21"/>
      <c r="DT314" s="21"/>
      <c r="DU314" s="21"/>
    </row>
    <row r="315" spans="72:125" ht="13.5" customHeight="1">
      <c r="BT315" s="12">
        <v>5500091</v>
      </c>
      <c r="BU315" s="3">
        <f>[1]monsters!$N315</f>
        <v>310.61</v>
      </c>
      <c r="BV315" s="3">
        <f>[1]monsters!$O315</f>
        <v>31.06</v>
      </c>
      <c r="BW315" s="3">
        <f>[1]monsters!$P315</f>
        <v>1782.86</v>
      </c>
      <c r="BX315" s="3">
        <f>[1]monsters!$Q315</f>
        <v>178.29</v>
      </c>
      <c r="BY315" s="3">
        <f>[1]monsters!$R315</f>
        <v>38.83</v>
      </c>
      <c r="BZ315" s="3">
        <f>[1]monsters!$S315</f>
        <v>3.88</v>
      </c>
      <c r="CA315" s="3">
        <f>[1]monsters!$K315</f>
        <v>1.6</v>
      </c>
      <c r="CB315" s="12">
        <f>[1]monsters!$D315</f>
        <v>5</v>
      </c>
      <c r="CC315" s="12">
        <f t="shared" ca="1" si="40"/>
        <v>0.1</v>
      </c>
      <c r="CD315" s="12">
        <f t="shared" ca="1" si="41"/>
        <v>120.42944377104401</v>
      </c>
      <c r="CE315" s="12">
        <f t="shared" ca="1" si="42"/>
        <v>12.0429443771044</v>
      </c>
      <c r="CS315" s="33"/>
      <c r="CT315" s="33"/>
      <c r="CU315" s="33"/>
      <c r="CV315" s="32"/>
      <c r="CW315" s="32"/>
      <c r="CX315" s="32"/>
      <c r="CY315" s="34"/>
      <c r="CZ315" s="34"/>
      <c r="DA315" s="34"/>
      <c r="DB315" s="33"/>
      <c r="DC315" s="33"/>
      <c r="DD315" s="33"/>
      <c r="DE315" s="33"/>
      <c r="DF315" s="33"/>
      <c r="DG315" s="33"/>
      <c r="DH315" s="34"/>
      <c r="DI315" s="34"/>
      <c r="DJ315" s="34"/>
      <c r="DK315" s="34"/>
      <c r="DL315" s="34"/>
      <c r="DM315" s="34"/>
      <c r="DN315" s="12">
        <v>5500091</v>
      </c>
      <c r="DS315" s="21"/>
      <c r="DT315" s="21"/>
      <c r="DU315" s="21"/>
    </row>
    <row r="316" spans="72:125" ht="13.5" customHeight="1">
      <c r="BT316" s="12">
        <v>5501091</v>
      </c>
      <c r="BU316" s="3">
        <f>[1]monsters!$N316</f>
        <v>224</v>
      </c>
      <c r="BV316" s="3">
        <f>[1]monsters!$O316</f>
        <v>22.4</v>
      </c>
      <c r="BW316" s="3">
        <f>[1]monsters!$P316</f>
        <v>2688</v>
      </c>
      <c r="BX316" s="3">
        <f>[1]monsters!$Q316</f>
        <v>268.8</v>
      </c>
      <c r="BY316" s="3">
        <f>[1]monsters!$R316</f>
        <v>56</v>
      </c>
      <c r="BZ316" s="3">
        <f>[1]monsters!$S316</f>
        <v>5.6</v>
      </c>
      <c r="CA316" s="3">
        <f>[1]monsters!$K316</f>
        <v>1.5</v>
      </c>
      <c r="CB316" s="12">
        <f>[1]monsters!$D316</f>
        <v>2</v>
      </c>
      <c r="CC316" s="12">
        <f t="shared" ca="1" si="40"/>
        <v>0.1</v>
      </c>
      <c r="CD316" s="12">
        <f t="shared" ca="1" si="41"/>
        <v>138.119843771044</v>
      </c>
      <c r="CE316" s="12">
        <f t="shared" ca="1" si="42"/>
        <v>13.8119843771044</v>
      </c>
      <c r="CS316" s="33"/>
      <c r="CT316" s="33"/>
      <c r="CU316" s="33"/>
      <c r="CV316" s="32"/>
      <c r="CW316" s="32"/>
      <c r="CX316" s="32"/>
      <c r="CY316" s="34"/>
      <c r="CZ316" s="34"/>
      <c r="DA316" s="34"/>
      <c r="DB316" s="33"/>
      <c r="DC316" s="33"/>
      <c r="DD316" s="33"/>
      <c r="DE316" s="33"/>
      <c r="DF316" s="33"/>
      <c r="DG316" s="33"/>
      <c r="DH316" s="34"/>
      <c r="DI316" s="34"/>
      <c r="DJ316" s="34"/>
      <c r="DK316" s="34"/>
      <c r="DL316" s="34"/>
      <c r="DM316" s="34"/>
      <c r="DN316" s="12">
        <v>5501091</v>
      </c>
      <c r="DS316" s="21"/>
      <c r="DT316" s="21"/>
      <c r="DU316" s="21"/>
    </row>
    <row r="317" spans="72:125" ht="13.5" customHeight="1">
      <c r="BT317" s="12">
        <v>5600091</v>
      </c>
      <c r="BU317" s="3">
        <f>[1]monsters!$N317</f>
        <v>215.04</v>
      </c>
      <c r="BV317" s="3">
        <f>[1]monsters!$O317</f>
        <v>21.5</v>
      </c>
      <c r="BW317" s="3">
        <f>[1]monsters!$P317</f>
        <v>3360</v>
      </c>
      <c r="BX317" s="3">
        <f>[1]monsters!$Q317</f>
        <v>336</v>
      </c>
      <c r="BY317" s="3">
        <f>[1]monsters!$R317</f>
        <v>71.680000000000007</v>
      </c>
      <c r="BZ317" s="3">
        <f>[1]monsters!$S317</f>
        <v>7.17</v>
      </c>
      <c r="CA317" s="3">
        <f>[1]monsters!$K317</f>
        <v>1.8</v>
      </c>
      <c r="CB317" s="12">
        <f>[1]monsters!$D317</f>
        <v>2</v>
      </c>
      <c r="CC317" s="12">
        <f t="shared" ca="1" si="40"/>
        <v>0.1</v>
      </c>
      <c r="CD317" s="12">
        <f t="shared" ca="1" si="41"/>
        <v>116.407252525253</v>
      </c>
      <c r="CE317" s="12">
        <f t="shared" ca="1" si="42"/>
        <v>11.6407252525253</v>
      </c>
      <c r="CS317" s="33"/>
      <c r="CT317" s="33"/>
      <c r="CU317" s="33"/>
      <c r="CV317" s="32"/>
      <c r="CW317" s="32"/>
      <c r="CX317" s="32"/>
      <c r="CY317" s="34"/>
      <c r="CZ317" s="34"/>
      <c r="DA317" s="34"/>
      <c r="DB317" s="33"/>
      <c r="DC317" s="33"/>
      <c r="DD317" s="33"/>
      <c r="DE317" s="33"/>
      <c r="DF317" s="33"/>
      <c r="DG317" s="33"/>
      <c r="DH317" s="34"/>
      <c r="DI317" s="34"/>
      <c r="DJ317" s="34"/>
      <c r="DK317" s="34"/>
      <c r="DL317" s="34"/>
      <c r="DM317" s="34"/>
      <c r="DN317" s="12">
        <v>5600091</v>
      </c>
      <c r="DS317" s="21"/>
      <c r="DT317" s="21"/>
      <c r="DU317" s="21"/>
    </row>
    <row r="318" spans="72:125" ht="13.5" customHeight="1">
      <c r="BT318" s="12">
        <v>5601091</v>
      </c>
      <c r="BU318" s="3">
        <f>[1]monsters!$N318</f>
        <v>241.92</v>
      </c>
      <c r="BV318" s="3">
        <f>[1]monsters!$O318</f>
        <v>24.19</v>
      </c>
      <c r="BW318" s="3">
        <f>[1]monsters!$P318</f>
        <v>2986.67</v>
      </c>
      <c r="BX318" s="3">
        <f>[1]monsters!$Q318</f>
        <v>298.67</v>
      </c>
      <c r="BY318" s="3">
        <f>[1]monsters!$R318</f>
        <v>48.38</v>
      </c>
      <c r="BZ318" s="3">
        <f>[1]monsters!$S318</f>
        <v>4.84</v>
      </c>
      <c r="CA318" s="3">
        <f>[1]monsters!$K318</f>
        <v>1.8</v>
      </c>
      <c r="CB318" s="12">
        <f>[1]monsters!$D318</f>
        <v>2</v>
      </c>
      <c r="CC318" s="12">
        <f t="shared" ca="1" si="40"/>
        <v>0.1</v>
      </c>
      <c r="CD318" s="12">
        <f t="shared" ca="1" si="41"/>
        <v>126.235252525253</v>
      </c>
      <c r="CE318" s="12">
        <f t="shared" ca="1" si="42"/>
        <v>12.623525252525299</v>
      </c>
      <c r="CS318" s="33"/>
      <c r="CT318" s="33"/>
      <c r="CU318" s="33"/>
      <c r="CV318" s="32"/>
      <c r="CW318" s="32"/>
      <c r="CX318" s="32"/>
      <c r="CY318" s="34"/>
      <c r="CZ318" s="34"/>
      <c r="DA318" s="34"/>
      <c r="DB318" s="33"/>
      <c r="DC318" s="33"/>
      <c r="DD318" s="33"/>
      <c r="DE318" s="33"/>
      <c r="DF318" s="33"/>
      <c r="DG318" s="33"/>
      <c r="DH318" s="34"/>
      <c r="DI318" s="34"/>
      <c r="DJ318" s="34"/>
      <c r="DK318" s="34"/>
      <c r="DL318" s="34"/>
      <c r="DM318" s="34"/>
      <c r="DN318" s="12">
        <v>5601091</v>
      </c>
      <c r="DS318" s="21"/>
      <c r="DT318" s="21"/>
      <c r="DU318" s="21"/>
    </row>
    <row r="319" spans="72:125" ht="13.5" customHeight="1">
      <c r="BT319" s="12">
        <v>5200092</v>
      </c>
      <c r="BU319" s="3">
        <f>[1]monsters!$N319</f>
        <v>161.28</v>
      </c>
      <c r="BV319" s="3">
        <f>[1]monsters!$O319</f>
        <v>16.13</v>
      </c>
      <c r="BW319" s="3">
        <f>[1]monsters!$P319</f>
        <v>2986.67</v>
      </c>
      <c r="BX319" s="3">
        <f>[1]monsters!$Q319</f>
        <v>298.67</v>
      </c>
      <c r="BY319" s="3">
        <f>[1]monsters!$R319</f>
        <v>32.26</v>
      </c>
      <c r="BZ319" s="3">
        <f>[1]monsters!$S319</f>
        <v>3.23</v>
      </c>
      <c r="CA319" s="3">
        <f>[1]monsters!$K319</f>
        <v>1.2</v>
      </c>
      <c r="CB319" s="12">
        <f>[1]monsters!$D319</f>
        <v>3</v>
      </c>
      <c r="CC319" s="12">
        <f t="shared" ca="1" si="40"/>
        <v>0.1</v>
      </c>
      <c r="CD319" s="12">
        <f t="shared" ca="1" si="41"/>
        <v>124.62456565656601</v>
      </c>
      <c r="CE319" s="12">
        <f t="shared" ca="1" si="42"/>
        <v>12.4624565656566</v>
      </c>
      <c r="CS319" s="33"/>
      <c r="CT319" s="33"/>
      <c r="CU319" s="33"/>
      <c r="CV319" s="32"/>
      <c r="CW319" s="32"/>
      <c r="CX319" s="32"/>
      <c r="CY319" s="34"/>
      <c r="CZ319" s="34"/>
      <c r="DA319" s="34"/>
      <c r="DB319" s="33"/>
      <c r="DC319" s="33"/>
      <c r="DD319" s="33"/>
      <c r="DE319" s="33"/>
      <c r="DF319" s="33"/>
      <c r="DG319" s="33"/>
      <c r="DH319" s="34"/>
      <c r="DI319" s="34"/>
      <c r="DJ319" s="34"/>
      <c r="DK319" s="34"/>
      <c r="DL319" s="34"/>
      <c r="DM319" s="34"/>
      <c r="DN319" s="12">
        <v>5200092</v>
      </c>
      <c r="DS319" s="21"/>
      <c r="DT319" s="21"/>
      <c r="DU319" s="21"/>
    </row>
    <row r="320" spans="72:125" ht="13.5" customHeight="1">
      <c r="BT320" s="12">
        <v>5202092</v>
      </c>
      <c r="BU320" s="3">
        <f>[1]monsters!$N320</f>
        <v>286.72000000000003</v>
      </c>
      <c r="BV320" s="3">
        <f>[1]monsters!$O320</f>
        <v>28.67</v>
      </c>
      <c r="BW320" s="3">
        <f>[1]monsters!$P320</f>
        <v>2240</v>
      </c>
      <c r="BX320" s="3">
        <f>[1]monsters!$Q320</f>
        <v>224</v>
      </c>
      <c r="BY320" s="3">
        <f>[1]monsters!$R320</f>
        <v>40.96</v>
      </c>
      <c r="BZ320" s="3">
        <f>[1]monsters!$S320</f>
        <v>4.0999999999999996</v>
      </c>
      <c r="CA320" s="3">
        <f>[1]monsters!$K320</f>
        <v>1.6</v>
      </c>
      <c r="CB320" s="12">
        <f>[1]monsters!$D320</f>
        <v>4</v>
      </c>
      <c r="CC320" s="12">
        <f t="shared" ca="1" si="40"/>
        <v>0.1</v>
      </c>
      <c r="CD320" s="12">
        <f t="shared" ca="1" si="41"/>
        <v>144.28056565656601</v>
      </c>
      <c r="CE320" s="12">
        <f t="shared" ca="1" si="42"/>
        <v>14.4280565656566</v>
      </c>
      <c r="CS320" s="33"/>
      <c r="CT320" s="33"/>
      <c r="CU320" s="33"/>
      <c r="CV320" s="32"/>
      <c r="CW320" s="32"/>
      <c r="CX320" s="32"/>
      <c r="CY320" s="34"/>
      <c r="CZ320" s="34"/>
      <c r="DA320" s="34"/>
      <c r="DB320" s="33"/>
      <c r="DC320" s="33"/>
      <c r="DD320" s="33"/>
      <c r="DE320" s="33"/>
      <c r="DF320" s="33"/>
      <c r="DG320" s="33"/>
      <c r="DH320" s="34"/>
      <c r="DI320" s="34"/>
      <c r="DJ320" s="34"/>
      <c r="DK320" s="34"/>
      <c r="DL320" s="34"/>
      <c r="DM320" s="34"/>
      <c r="DN320" s="12">
        <v>5202092</v>
      </c>
      <c r="DS320" s="21"/>
      <c r="DT320" s="21"/>
      <c r="DU320" s="21"/>
    </row>
    <row r="321" spans="72:125" ht="13.5" customHeight="1">
      <c r="BT321" s="12">
        <v>5302092</v>
      </c>
      <c r="BU321" s="3">
        <f>[1]monsters!$N321</f>
        <v>268.8</v>
      </c>
      <c r="BV321" s="3">
        <f>[1]monsters!$O321</f>
        <v>26.88</v>
      </c>
      <c r="BW321" s="3">
        <f>[1]monsters!$P321</f>
        <v>2240</v>
      </c>
      <c r="BX321" s="3">
        <f>[1]monsters!$Q321</f>
        <v>224</v>
      </c>
      <c r="BY321" s="3">
        <f>[1]monsters!$R321</f>
        <v>38.4</v>
      </c>
      <c r="BZ321" s="3">
        <f>[1]monsters!$S321</f>
        <v>3.84</v>
      </c>
      <c r="CA321" s="3">
        <f>[1]monsters!$K321</f>
        <v>1.5</v>
      </c>
      <c r="CB321" s="12">
        <f>[1]monsters!$D321</f>
        <v>4</v>
      </c>
      <c r="CC321" s="12">
        <f t="shared" ca="1" si="40"/>
        <v>0.1</v>
      </c>
      <c r="CD321" s="12">
        <f t="shared" ca="1" si="41"/>
        <v>111.43259169472501</v>
      </c>
      <c r="CE321" s="12">
        <f t="shared" ca="1" si="42"/>
        <v>11.143259169472501</v>
      </c>
      <c r="CS321" s="33"/>
      <c r="CT321" s="33"/>
      <c r="CU321" s="33"/>
      <c r="CV321" s="32"/>
      <c r="CW321" s="32"/>
      <c r="CX321" s="32"/>
      <c r="CY321" s="34"/>
      <c r="CZ321" s="34"/>
      <c r="DA321" s="34"/>
      <c r="DB321" s="33"/>
      <c r="DC321" s="33"/>
      <c r="DD321" s="33"/>
      <c r="DE321" s="33"/>
      <c r="DF321" s="33"/>
      <c r="DG321" s="33"/>
      <c r="DH321" s="34"/>
      <c r="DI321" s="34"/>
      <c r="DJ321" s="34"/>
      <c r="DK321" s="34"/>
      <c r="DL321" s="34"/>
      <c r="DM321" s="34"/>
      <c r="DN321" s="12">
        <v>5302092</v>
      </c>
      <c r="DS321" s="21"/>
      <c r="DT321" s="21"/>
      <c r="DU321" s="21"/>
    </row>
    <row r="322" spans="72:125" ht="13.5" customHeight="1">
      <c r="BT322" s="12">
        <v>5300092</v>
      </c>
      <c r="BU322" s="3">
        <f>[1]monsters!$N322</f>
        <v>313.60000000000002</v>
      </c>
      <c r="BV322" s="3">
        <f>[1]monsters!$O322</f>
        <v>31.36</v>
      </c>
      <c r="BW322" s="3">
        <f>[1]monsters!$P322</f>
        <v>1920</v>
      </c>
      <c r="BX322" s="3">
        <f>[1]monsters!$Q322</f>
        <v>192</v>
      </c>
      <c r="BY322" s="3">
        <f>[1]monsters!$R322</f>
        <v>39.200000000000003</v>
      </c>
      <c r="BZ322" s="3">
        <f>[1]monsters!$S322</f>
        <v>3.92</v>
      </c>
      <c r="CA322" s="3">
        <f>[1]monsters!$K322</f>
        <v>1.5</v>
      </c>
      <c r="CB322" s="12">
        <f>[1]monsters!$D322</f>
        <v>5</v>
      </c>
      <c r="CC322" s="12">
        <f t="shared" ca="1" si="40"/>
        <v>0.1</v>
      </c>
      <c r="CD322" s="12">
        <f t="shared" ca="1" si="41"/>
        <v>115.85519169472499</v>
      </c>
      <c r="CE322" s="12">
        <f t="shared" ca="1" si="42"/>
        <v>11.5855191694725</v>
      </c>
      <c r="CS322" s="33"/>
      <c r="CT322" s="33"/>
      <c r="CU322" s="33"/>
      <c r="CV322" s="32"/>
      <c r="CW322" s="32"/>
      <c r="CX322" s="32"/>
      <c r="CY322" s="34"/>
      <c r="CZ322" s="34"/>
      <c r="DA322" s="34"/>
      <c r="DB322" s="33"/>
      <c r="DC322" s="33"/>
      <c r="DD322" s="33"/>
      <c r="DE322" s="33"/>
      <c r="DF322" s="33"/>
      <c r="DG322" s="33"/>
      <c r="DH322" s="34"/>
      <c r="DI322" s="34"/>
      <c r="DJ322" s="34"/>
      <c r="DK322" s="34"/>
      <c r="DL322" s="34"/>
      <c r="DM322" s="34"/>
      <c r="DN322" s="12">
        <v>5300092</v>
      </c>
      <c r="DS322" s="21"/>
      <c r="DT322" s="21"/>
      <c r="DU322" s="21"/>
    </row>
    <row r="323" spans="72:125" ht="13.5" customHeight="1">
      <c r="BT323" s="12">
        <v>5400092</v>
      </c>
      <c r="BU323" s="3">
        <f>[1]monsters!$N323</f>
        <v>292.69</v>
      </c>
      <c r="BV323" s="3">
        <f>[1]monsters!$O323</f>
        <v>29.27</v>
      </c>
      <c r="BW323" s="3">
        <f>[1]monsters!$P323</f>
        <v>1920</v>
      </c>
      <c r="BX323" s="3">
        <f>[1]monsters!$Q323</f>
        <v>192</v>
      </c>
      <c r="BY323" s="3">
        <f>[1]monsters!$R323</f>
        <v>36.590000000000003</v>
      </c>
      <c r="BZ323" s="3">
        <f>[1]monsters!$S323</f>
        <v>3.66</v>
      </c>
      <c r="CA323" s="3">
        <f>[1]monsters!$K323</f>
        <v>1.4000000000000001</v>
      </c>
      <c r="CB323" s="12">
        <f>[1]monsters!$D323</f>
        <v>5</v>
      </c>
      <c r="CC323" s="12">
        <f t="shared" ca="1" si="40"/>
        <v>0.1</v>
      </c>
      <c r="CD323" s="12">
        <f t="shared" ca="1" si="41"/>
        <v>112.615029568411</v>
      </c>
      <c r="CE323" s="12">
        <f t="shared" ca="1" si="42"/>
        <v>11.261502956841101</v>
      </c>
      <c r="CS323" s="33"/>
      <c r="CT323" s="33"/>
      <c r="CU323" s="33"/>
      <c r="CV323" s="32"/>
      <c r="CW323" s="32"/>
      <c r="CX323" s="32"/>
      <c r="CY323" s="34"/>
      <c r="CZ323" s="34"/>
      <c r="DA323" s="34"/>
      <c r="DB323" s="33"/>
      <c r="DC323" s="33"/>
      <c r="DD323" s="33"/>
      <c r="DE323" s="33"/>
      <c r="DF323" s="33"/>
      <c r="DG323" s="33"/>
      <c r="DH323" s="34"/>
      <c r="DI323" s="34"/>
      <c r="DJ323" s="34"/>
      <c r="DK323" s="34"/>
      <c r="DL323" s="34"/>
      <c r="DM323" s="34"/>
      <c r="DN323" s="12">
        <v>5400092</v>
      </c>
      <c r="DS323" s="21"/>
      <c r="DT323" s="21"/>
      <c r="DU323" s="21"/>
    </row>
    <row r="324" spans="72:125" ht="13.5" customHeight="1">
      <c r="BT324" s="12">
        <v>5402092</v>
      </c>
      <c r="BU324" s="3">
        <f>[1]monsters!$N324</f>
        <v>347.2</v>
      </c>
      <c r="BV324" s="3">
        <f>[1]monsters!$O324</f>
        <v>34.72</v>
      </c>
      <c r="BW324" s="3">
        <f>[1]monsters!$P324</f>
        <v>1734.19</v>
      </c>
      <c r="BX324" s="3">
        <f>[1]monsters!$Q324</f>
        <v>173.42</v>
      </c>
      <c r="BY324" s="3">
        <f>[1]monsters!$R324</f>
        <v>34.72</v>
      </c>
      <c r="BZ324" s="3">
        <f>[1]monsters!$S324</f>
        <v>3.47</v>
      </c>
      <c r="CA324" s="3">
        <f>[1]monsters!$K324</f>
        <v>1.5</v>
      </c>
      <c r="CB324" s="12">
        <f>[1]monsters!$D324</f>
        <v>6</v>
      </c>
      <c r="CC324" s="12">
        <f t="shared" ref="CC324:CC387" ca="1" si="43">INDEX($CK$5:$CK$10,MATCH($CC324,$CJ$5:$CJ$10))</f>
        <v>0.1</v>
      </c>
      <c r="CD324" s="12">
        <f t="shared" ca="1" si="41"/>
        <v>128.831229568411</v>
      </c>
      <c r="CE324" s="12">
        <f t="shared" ca="1" si="42"/>
        <v>12.883122956841101</v>
      </c>
      <c r="CS324" s="33"/>
      <c r="CT324" s="33"/>
      <c r="CU324" s="33"/>
      <c r="CV324" s="32"/>
      <c r="CW324" s="32"/>
      <c r="CX324" s="32"/>
      <c r="CY324" s="34"/>
      <c r="CZ324" s="34"/>
      <c r="DA324" s="34"/>
      <c r="DB324" s="33"/>
      <c r="DC324" s="33"/>
      <c r="DD324" s="33"/>
      <c r="DE324" s="33"/>
      <c r="DF324" s="33"/>
      <c r="DG324" s="33"/>
      <c r="DH324" s="34"/>
      <c r="DI324" s="34"/>
      <c r="DJ324" s="34"/>
      <c r="DK324" s="34"/>
      <c r="DL324" s="34"/>
      <c r="DM324" s="34"/>
      <c r="DN324" s="12">
        <v>5402092</v>
      </c>
      <c r="DS324" s="21"/>
      <c r="DT324" s="21"/>
      <c r="DU324" s="21"/>
    </row>
    <row r="325" spans="72:125" ht="13.5" customHeight="1">
      <c r="BT325" s="12">
        <v>5500092</v>
      </c>
      <c r="BU325" s="3">
        <f>[1]monsters!$N325</f>
        <v>224</v>
      </c>
      <c r="BV325" s="3">
        <f>[1]monsters!$O325</f>
        <v>22.4</v>
      </c>
      <c r="BW325" s="3">
        <f>[1]monsters!$P325</f>
        <v>2688</v>
      </c>
      <c r="BX325" s="3">
        <f>[1]monsters!$Q325</f>
        <v>268.8</v>
      </c>
      <c r="BY325" s="3">
        <f>[1]monsters!$R325</f>
        <v>56</v>
      </c>
      <c r="BZ325" s="3">
        <f>[1]monsters!$S325</f>
        <v>5.6</v>
      </c>
      <c r="CA325" s="3">
        <f>[1]monsters!$K325</f>
        <v>1.5</v>
      </c>
      <c r="CB325" s="12">
        <f>[1]monsters!$D325</f>
        <v>2</v>
      </c>
      <c r="CC325" s="12">
        <f t="shared" ca="1" si="43"/>
        <v>0.1</v>
      </c>
      <c r="CD325" s="12">
        <f t="shared" ref="CD325:CD388" ca="1" si="44">(BW325/33/(1-CC325)/(1-0)+BU325*(1+0.5*0.1)*0.9)</f>
        <v>120.42944377104401</v>
      </c>
      <c r="CE325" s="12">
        <f t="shared" ref="CE325:CE388" ca="1" si="45">(BW325/33/(1-CC325)/(1-0)+BU325*(1+0.5*0.1)*0.9)*0.1</f>
        <v>12.0429443771044</v>
      </c>
      <c r="CS325" s="33"/>
      <c r="CT325" s="33"/>
      <c r="CU325" s="33"/>
      <c r="CV325" s="32"/>
      <c r="CW325" s="32"/>
      <c r="CX325" s="32"/>
      <c r="CY325" s="34"/>
      <c r="CZ325" s="34"/>
      <c r="DA325" s="34"/>
      <c r="DB325" s="33"/>
      <c r="DC325" s="33"/>
      <c r="DD325" s="33"/>
      <c r="DE325" s="33"/>
      <c r="DF325" s="33"/>
      <c r="DG325" s="33"/>
      <c r="DH325" s="34"/>
      <c r="DI325" s="34"/>
      <c r="DJ325" s="34"/>
      <c r="DK325" s="34"/>
      <c r="DL325" s="34"/>
      <c r="DM325" s="34"/>
      <c r="DN325" s="12">
        <v>5500092</v>
      </c>
      <c r="DS325" s="21"/>
      <c r="DT325" s="21"/>
      <c r="DU325" s="21"/>
    </row>
    <row r="326" spans="72:125" ht="13.5" customHeight="1">
      <c r="BT326" s="12">
        <v>5502092</v>
      </c>
      <c r="BU326" s="3">
        <f>[1]monsters!$N326</f>
        <v>215.04</v>
      </c>
      <c r="BV326" s="3">
        <f>[1]monsters!$O326</f>
        <v>21.5</v>
      </c>
      <c r="BW326" s="3">
        <f>[1]monsters!$P326</f>
        <v>3360</v>
      </c>
      <c r="BX326" s="3">
        <f>[1]monsters!$Q326</f>
        <v>336</v>
      </c>
      <c r="BY326" s="3">
        <f>[1]monsters!$R326</f>
        <v>71.680000000000007</v>
      </c>
      <c r="BZ326" s="3">
        <f>[1]monsters!$S326</f>
        <v>7.17</v>
      </c>
      <c r="CA326" s="3">
        <f>[1]monsters!$K326</f>
        <v>1.8</v>
      </c>
      <c r="CB326" s="12">
        <f>[1]monsters!$D326</f>
        <v>2</v>
      </c>
      <c r="CC326" s="12">
        <f t="shared" ca="1" si="43"/>
        <v>0.1</v>
      </c>
      <c r="CD326" s="12">
        <f t="shared" ca="1" si="44"/>
        <v>120.42944377104401</v>
      </c>
      <c r="CE326" s="12">
        <f t="shared" ca="1" si="45"/>
        <v>12.0429443771044</v>
      </c>
      <c r="CS326" s="33"/>
      <c r="CT326" s="33"/>
      <c r="CU326" s="33"/>
      <c r="CV326" s="32"/>
      <c r="CW326" s="32"/>
      <c r="CX326" s="32"/>
      <c r="CY326" s="34"/>
      <c r="CZ326" s="34"/>
      <c r="DA326" s="34"/>
      <c r="DB326" s="33"/>
      <c r="DC326" s="33"/>
      <c r="DD326" s="33"/>
      <c r="DE326" s="33"/>
      <c r="DF326" s="33"/>
      <c r="DG326" s="33"/>
      <c r="DH326" s="34"/>
      <c r="DI326" s="34"/>
      <c r="DJ326" s="34"/>
      <c r="DK326" s="34"/>
      <c r="DL326" s="34"/>
      <c r="DM326" s="34"/>
      <c r="DN326" s="12">
        <v>5502092</v>
      </c>
      <c r="DS326" s="21"/>
      <c r="DT326" s="21"/>
      <c r="DU326" s="21"/>
    </row>
    <row r="327" spans="72:125" ht="13.5" customHeight="1">
      <c r="BT327" s="12">
        <v>5600092</v>
      </c>
      <c r="BU327" s="3">
        <f>[1]monsters!$N327</f>
        <v>241.92</v>
      </c>
      <c r="BV327" s="3">
        <f>[1]monsters!$O327</f>
        <v>24.19</v>
      </c>
      <c r="BW327" s="3">
        <f>[1]monsters!$P327</f>
        <v>2986.67</v>
      </c>
      <c r="BX327" s="3">
        <f>[1]monsters!$Q327</f>
        <v>298.67</v>
      </c>
      <c r="BY327" s="3">
        <f>[1]monsters!$R327</f>
        <v>48.38</v>
      </c>
      <c r="BZ327" s="3">
        <f>[1]monsters!$S327</f>
        <v>4.84</v>
      </c>
      <c r="CA327" s="3">
        <f>[1]monsters!$K327</f>
        <v>1.8</v>
      </c>
      <c r="CB327" s="12">
        <f>[1]monsters!$D327</f>
        <v>2</v>
      </c>
      <c r="CC327" s="12">
        <f t="shared" ca="1" si="43"/>
        <v>0.1</v>
      </c>
      <c r="CD327" s="12">
        <f t="shared" ca="1" si="44"/>
        <v>116.407252525253</v>
      </c>
      <c r="CE327" s="12">
        <f t="shared" ca="1" si="45"/>
        <v>11.6407252525253</v>
      </c>
      <c r="CS327" s="33"/>
      <c r="CT327" s="33"/>
      <c r="CU327" s="33"/>
      <c r="CV327" s="32"/>
      <c r="CW327" s="32"/>
      <c r="CX327" s="32"/>
      <c r="CY327" s="34"/>
      <c r="CZ327" s="34"/>
      <c r="DA327" s="34"/>
      <c r="DB327" s="33"/>
      <c r="DC327" s="33"/>
      <c r="DD327" s="33"/>
      <c r="DE327" s="33"/>
      <c r="DF327" s="33"/>
      <c r="DG327" s="33"/>
      <c r="DH327" s="34"/>
      <c r="DI327" s="34"/>
      <c r="DJ327" s="34"/>
      <c r="DK327" s="34"/>
      <c r="DL327" s="34"/>
      <c r="DM327" s="34"/>
      <c r="DN327" s="12">
        <v>5600092</v>
      </c>
      <c r="DS327" s="21"/>
      <c r="DT327" s="21"/>
      <c r="DU327" s="21"/>
    </row>
    <row r="328" spans="72:125" ht="13.5" customHeight="1">
      <c r="BT328" s="12">
        <v>5602092</v>
      </c>
      <c r="BU328" s="3">
        <f>[1]monsters!$N328</f>
        <v>161.28</v>
      </c>
      <c r="BV328" s="3">
        <f>[1]monsters!$O328</f>
        <v>16.13</v>
      </c>
      <c r="BW328" s="3">
        <f>[1]monsters!$P328</f>
        <v>2986.67</v>
      </c>
      <c r="BX328" s="3">
        <f>[1]monsters!$Q328</f>
        <v>298.67</v>
      </c>
      <c r="BY328" s="3">
        <f>[1]monsters!$R328</f>
        <v>32.26</v>
      </c>
      <c r="BZ328" s="3">
        <f>[1]monsters!$S328</f>
        <v>3.23</v>
      </c>
      <c r="CA328" s="3">
        <f>[1]monsters!$K328</f>
        <v>1.2</v>
      </c>
      <c r="CB328" s="12">
        <f>[1]monsters!$D328</f>
        <v>3</v>
      </c>
      <c r="CC328" s="12">
        <f t="shared" ca="1" si="43"/>
        <v>0.1</v>
      </c>
      <c r="CD328" s="12">
        <f t="shared" ca="1" si="44"/>
        <v>150.805252525253</v>
      </c>
      <c r="CE328" s="12">
        <f t="shared" ca="1" si="45"/>
        <v>15.0805252525253</v>
      </c>
      <c r="CS328" s="33"/>
      <c r="CT328" s="33"/>
      <c r="CU328" s="33"/>
      <c r="CV328" s="32"/>
      <c r="CW328" s="32"/>
      <c r="CX328" s="32"/>
      <c r="CY328" s="34"/>
      <c r="CZ328" s="34"/>
      <c r="DA328" s="34"/>
      <c r="DB328" s="33"/>
      <c r="DC328" s="33"/>
      <c r="DD328" s="33"/>
      <c r="DE328" s="33"/>
      <c r="DF328" s="33"/>
      <c r="DG328" s="33"/>
      <c r="DH328" s="34"/>
      <c r="DI328" s="34"/>
      <c r="DJ328" s="34"/>
      <c r="DK328" s="34"/>
      <c r="DL328" s="34"/>
      <c r="DM328" s="34"/>
      <c r="DN328" s="12">
        <v>5602092</v>
      </c>
      <c r="DS328" s="21"/>
      <c r="DT328" s="21"/>
      <c r="DU328" s="21"/>
    </row>
    <row r="329" spans="72:125" ht="13.5" customHeight="1">
      <c r="BT329" s="12">
        <v>5200093</v>
      </c>
      <c r="BU329" s="3">
        <f>[1]monsters!$N329</f>
        <v>286.72000000000003</v>
      </c>
      <c r="BV329" s="3">
        <f>[1]monsters!$O329</f>
        <v>28.67</v>
      </c>
      <c r="BW329" s="3">
        <f>[1]monsters!$P329</f>
        <v>2240</v>
      </c>
      <c r="BX329" s="3">
        <f>[1]monsters!$Q329</f>
        <v>224</v>
      </c>
      <c r="BY329" s="3">
        <f>[1]monsters!$R329</f>
        <v>40.96</v>
      </c>
      <c r="BZ329" s="3">
        <f>[1]monsters!$S329</f>
        <v>4.0999999999999996</v>
      </c>
      <c r="CA329" s="3">
        <f>[1]monsters!$K329</f>
        <v>1.6</v>
      </c>
      <c r="CB329" s="12">
        <f>[1]monsters!$D329</f>
        <v>4</v>
      </c>
      <c r="CC329" s="12">
        <f t="shared" ca="1" si="43"/>
        <v>0.1</v>
      </c>
      <c r="CD329" s="12">
        <f t="shared" ca="1" si="44"/>
        <v>124.62456565656601</v>
      </c>
      <c r="CE329" s="12">
        <f t="shared" ca="1" si="45"/>
        <v>12.4624565656566</v>
      </c>
      <c r="CS329" s="33"/>
      <c r="CT329" s="33"/>
      <c r="CU329" s="33"/>
      <c r="CV329" s="32"/>
      <c r="CW329" s="32"/>
      <c r="CX329" s="32"/>
      <c r="CY329" s="34"/>
      <c r="CZ329" s="34"/>
      <c r="DA329" s="34"/>
      <c r="DB329" s="33"/>
      <c r="DC329" s="33"/>
      <c r="DD329" s="33"/>
      <c r="DE329" s="33"/>
      <c r="DF329" s="33"/>
      <c r="DG329" s="33"/>
      <c r="DH329" s="34"/>
      <c r="DI329" s="34"/>
      <c r="DJ329" s="34"/>
      <c r="DK329" s="33"/>
      <c r="DL329" s="33"/>
      <c r="DM329" s="33"/>
      <c r="DN329" s="12">
        <v>5200093</v>
      </c>
      <c r="DS329" s="21"/>
      <c r="DT329" s="21"/>
      <c r="DU329" s="21"/>
    </row>
    <row r="330" spans="72:125" ht="13.5" customHeight="1">
      <c r="BT330" s="12">
        <v>5202093</v>
      </c>
      <c r="BU330" s="3">
        <f>[1]monsters!$N330</f>
        <v>268.8</v>
      </c>
      <c r="BV330" s="3">
        <f>[1]monsters!$O330</f>
        <v>26.88</v>
      </c>
      <c r="BW330" s="3">
        <f>[1]monsters!$P330</f>
        <v>2240</v>
      </c>
      <c r="BX330" s="3">
        <f>[1]monsters!$Q330</f>
        <v>224</v>
      </c>
      <c r="BY330" s="3">
        <f>[1]monsters!$R330</f>
        <v>38.4</v>
      </c>
      <c r="BZ330" s="3">
        <f>[1]monsters!$S330</f>
        <v>3.84</v>
      </c>
      <c r="CA330" s="3">
        <f>[1]monsters!$K330</f>
        <v>1.5</v>
      </c>
      <c r="CB330" s="12">
        <f>[1]monsters!$D330</f>
        <v>4</v>
      </c>
      <c r="CC330" s="12">
        <f t="shared" ca="1" si="43"/>
        <v>0.1</v>
      </c>
      <c r="CD330" s="12">
        <f t="shared" ca="1" si="44"/>
        <v>144.28056565656601</v>
      </c>
      <c r="CE330" s="12">
        <f t="shared" ca="1" si="45"/>
        <v>14.4280565656566</v>
      </c>
      <c r="CS330" s="33"/>
      <c r="CT330" s="33"/>
      <c r="CU330" s="33"/>
      <c r="CV330" s="32"/>
      <c r="CW330" s="32"/>
      <c r="CX330" s="32"/>
      <c r="CY330" s="34"/>
      <c r="CZ330" s="34"/>
      <c r="DA330" s="34"/>
      <c r="DB330" s="33"/>
      <c r="DC330" s="33"/>
      <c r="DD330" s="33"/>
      <c r="DE330" s="33"/>
      <c r="DF330" s="33"/>
      <c r="DG330" s="33"/>
      <c r="DH330" s="34"/>
      <c r="DI330" s="34"/>
      <c r="DJ330" s="34"/>
      <c r="DK330" s="33"/>
      <c r="DL330" s="33"/>
      <c r="DM330" s="33"/>
      <c r="DN330" s="12">
        <v>5202093</v>
      </c>
      <c r="DS330" s="21"/>
      <c r="DT330" s="21"/>
      <c r="DU330" s="21"/>
    </row>
    <row r="331" spans="72:125" ht="13.5" customHeight="1">
      <c r="BT331" s="12">
        <v>5302093</v>
      </c>
      <c r="BU331" s="3">
        <f>[1]monsters!$N331</f>
        <v>313.60000000000002</v>
      </c>
      <c r="BV331" s="3">
        <f>[1]monsters!$O331</f>
        <v>31.36</v>
      </c>
      <c r="BW331" s="3">
        <f>[1]monsters!$P331</f>
        <v>1920</v>
      </c>
      <c r="BX331" s="3">
        <f>[1]monsters!$Q331</f>
        <v>192</v>
      </c>
      <c r="BY331" s="3">
        <f>[1]monsters!$R331</f>
        <v>39.200000000000003</v>
      </c>
      <c r="BZ331" s="3">
        <f>[1]monsters!$S331</f>
        <v>3.92</v>
      </c>
      <c r="CA331" s="3">
        <f>[1]monsters!$K331</f>
        <v>1.5</v>
      </c>
      <c r="CB331" s="12">
        <f>[1]monsters!$D331</f>
        <v>5</v>
      </c>
      <c r="CC331" s="12">
        <f t="shared" ca="1" si="43"/>
        <v>0.1</v>
      </c>
      <c r="CD331" s="12">
        <f t="shared" ca="1" si="44"/>
        <v>111.43259169472501</v>
      </c>
      <c r="CE331" s="12">
        <f t="shared" ca="1" si="45"/>
        <v>11.143259169472501</v>
      </c>
      <c r="CS331" s="33"/>
      <c r="CT331" s="33"/>
      <c r="CU331" s="33"/>
      <c r="CV331" s="32"/>
      <c r="CW331" s="32"/>
      <c r="CX331" s="32"/>
      <c r="CY331" s="34"/>
      <c r="CZ331" s="34"/>
      <c r="DA331" s="34"/>
      <c r="DB331" s="33"/>
      <c r="DC331" s="33"/>
      <c r="DD331" s="33"/>
      <c r="DE331" s="33"/>
      <c r="DF331" s="33"/>
      <c r="DG331" s="33"/>
      <c r="DH331" s="34"/>
      <c r="DI331" s="34"/>
      <c r="DJ331" s="34"/>
      <c r="DK331" s="33"/>
      <c r="DL331" s="33"/>
      <c r="DM331" s="33"/>
      <c r="DN331" s="12">
        <v>5302093</v>
      </c>
      <c r="DS331" s="21"/>
      <c r="DT331" s="21"/>
      <c r="DU331" s="21"/>
    </row>
    <row r="332" spans="72:125" ht="13.5" customHeight="1">
      <c r="BT332" s="12">
        <v>5301093</v>
      </c>
      <c r="BU332" s="3">
        <f>[1]monsters!$N332</f>
        <v>292.69</v>
      </c>
      <c r="BV332" s="3">
        <f>[1]monsters!$O332</f>
        <v>29.27</v>
      </c>
      <c r="BW332" s="3">
        <f>[1]monsters!$P332</f>
        <v>1920</v>
      </c>
      <c r="BX332" s="3">
        <f>[1]monsters!$Q332</f>
        <v>192</v>
      </c>
      <c r="BY332" s="3">
        <f>[1]monsters!$R332</f>
        <v>36.590000000000003</v>
      </c>
      <c r="BZ332" s="3">
        <f>[1]monsters!$S332</f>
        <v>3.66</v>
      </c>
      <c r="CA332" s="3">
        <f>[1]monsters!$K332</f>
        <v>1.4000000000000001</v>
      </c>
      <c r="CB332" s="12">
        <f>[1]monsters!$D332</f>
        <v>5</v>
      </c>
      <c r="CC332" s="12">
        <f t="shared" ca="1" si="43"/>
        <v>0.1</v>
      </c>
      <c r="CD332" s="12">
        <f t="shared" ca="1" si="44"/>
        <v>115.85519169472499</v>
      </c>
      <c r="CE332" s="12">
        <f t="shared" ca="1" si="45"/>
        <v>11.5855191694725</v>
      </c>
      <c r="CS332" s="33"/>
      <c r="CT332" s="33"/>
      <c r="CU332" s="33"/>
      <c r="CV332" s="32"/>
      <c r="CW332" s="32"/>
      <c r="CX332" s="32"/>
      <c r="CY332" s="34"/>
      <c r="CZ332" s="34"/>
      <c r="DA332" s="34"/>
      <c r="DB332" s="33"/>
      <c r="DC332" s="33"/>
      <c r="DD332" s="33"/>
      <c r="DE332" s="33"/>
      <c r="DF332" s="33"/>
      <c r="DG332" s="33"/>
      <c r="DH332" s="34"/>
      <c r="DI332" s="34"/>
      <c r="DJ332" s="34"/>
      <c r="DK332" s="33"/>
      <c r="DL332" s="33"/>
      <c r="DM332" s="33"/>
      <c r="DN332" s="12">
        <v>5301093</v>
      </c>
      <c r="DS332" s="21"/>
      <c r="DT332" s="21"/>
      <c r="DU332" s="21"/>
    </row>
    <row r="333" spans="72:125" ht="13.5" customHeight="1">
      <c r="BT333" s="12">
        <v>5400093</v>
      </c>
      <c r="BU333" s="3">
        <f>[1]monsters!$N333</f>
        <v>347.2</v>
      </c>
      <c r="BV333" s="3">
        <f>[1]monsters!$O333</f>
        <v>34.72</v>
      </c>
      <c r="BW333" s="3">
        <f>[1]monsters!$P333</f>
        <v>1734.19</v>
      </c>
      <c r="BX333" s="3">
        <f>[1]monsters!$Q333</f>
        <v>173.42</v>
      </c>
      <c r="BY333" s="3">
        <f>[1]monsters!$R333</f>
        <v>34.72</v>
      </c>
      <c r="BZ333" s="3">
        <f>[1]monsters!$S333</f>
        <v>3.47</v>
      </c>
      <c r="CA333" s="3">
        <f>[1]monsters!$K333</f>
        <v>1.5</v>
      </c>
      <c r="CB333" s="12">
        <f>[1]monsters!$D333</f>
        <v>6</v>
      </c>
      <c r="CC333" s="12">
        <f t="shared" ca="1" si="43"/>
        <v>0.1</v>
      </c>
      <c r="CD333" s="12">
        <f t="shared" ca="1" si="44"/>
        <v>112.615029568411</v>
      </c>
      <c r="CE333" s="12">
        <f t="shared" ca="1" si="45"/>
        <v>11.261502956841101</v>
      </c>
      <c r="CS333" s="33"/>
      <c r="CT333" s="33"/>
      <c r="CU333" s="33"/>
      <c r="CV333" s="32"/>
      <c r="CW333" s="32"/>
      <c r="CX333" s="32"/>
      <c r="CY333" s="34"/>
      <c r="CZ333" s="34"/>
      <c r="DA333" s="34"/>
      <c r="DB333" s="33"/>
      <c r="DC333" s="33"/>
      <c r="DD333" s="33"/>
      <c r="DE333" s="33"/>
      <c r="DF333" s="33"/>
      <c r="DG333" s="33"/>
      <c r="DH333" s="34"/>
      <c r="DI333" s="34"/>
      <c r="DJ333" s="34"/>
      <c r="DK333" s="33"/>
      <c r="DL333" s="33"/>
      <c r="DM333" s="33"/>
      <c r="DN333" s="12">
        <v>5400093</v>
      </c>
      <c r="DS333" s="21"/>
      <c r="DT333" s="21"/>
      <c r="DU333" s="21"/>
    </row>
    <row r="334" spans="72:125" ht="13.5" customHeight="1">
      <c r="BT334" s="12">
        <v>5401093</v>
      </c>
      <c r="BU334" s="3">
        <f>[1]monsters!$N334</f>
        <v>224</v>
      </c>
      <c r="BV334" s="3">
        <f>[1]monsters!$O334</f>
        <v>22.4</v>
      </c>
      <c r="BW334" s="3">
        <f>[1]monsters!$P334</f>
        <v>2688</v>
      </c>
      <c r="BX334" s="3">
        <f>[1]monsters!$Q334</f>
        <v>268.8</v>
      </c>
      <c r="BY334" s="3">
        <f>[1]monsters!$R334</f>
        <v>56</v>
      </c>
      <c r="BZ334" s="3">
        <f>[1]monsters!$S334</f>
        <v>5.6</v>
      </c>
      <c r="CA334" s="3">
        <f>[1]monsters!$K334</f>
        <v>1.5</v>
      </c>
      <c r="CB334" s="12">
        <f>[1]monsters!$D334</f>
        <v>2</v>
      </c>
      <c r="CC334" s="12">
        <f t="shared" ca="1" si="43"/>
        <v>0.1</v>
      </c>
      <c r="CD334" s="12">
        <f t="shared" ca="1" si="44"/>
        <v>128.831229568411</v>
      </c>
      <c r="CE334" s="12">
        <f t="shared" ca="1" si="45"/>
        <v>12.883122956841101</v>
      </c>
      <c r="CS334" s="33"/>
      <c r="CT334" s="33"/>
      <c r="CU334" s="33"/>
      <c r="CV334" s="32"/>
      <c r="CW334" s="32"/>
      <c r="CX334" s="32"/>
      <c r="CY334" s="34"/>
      <c r="CZ334" s="34"/>
      <c r="DA334" s="34"/>
      <c r="DB334" s="33"/>
      <c r="DC334" s="33"/>
      <c r="DD334" s="33"/>
      <c r="DE334" s="33"/>
      <c r="DF334" s="33"/>
      <c r="DG334" s="33"/>
      <c r="DH334" s="34"/>
      <c r="DI334" s="34"/>
      <c r="DJ334" s="34"/>
      <c r="DK334" s="33"/>
      <c r="DL334" s="33"/>
      <c r="DM334" s="33"/>
      <c r="DN334" s="12">
        <v>5401093</v>
      </c>
      <c r="DS334" s="21"/>
      <c r="DT334" s="21"/>
      <c r="DU334" s="21"/>
    </row>
    <row r="335" spans="72:125" ht="13.5" customHeight="1">
      <c r="BT335" s="12">
        <v>5501093</v>
      </c>
      <c r="BU335" s="3">
        <f>[1]monsters!$N335</f>
        <v>215.04</v>
      </c>
      <c r="BV335" s="3">
        <f>[1]monsters!$O335</f>
        <v>21.5</v>
      </c>
      <c r="BW335" s="3">
        <f>[1]monsters!$P335</f>
        <v>3360</v>
      </c>
      <c r="BX335" s="3">
        <f>[1]monsters!$Q335</f>
        <v>336</v>
      </c>
      <c r="BY335" s="3">
        <f>[1]monsters!$R335</f>
        <v>71.680000000000007</v>
      </c>
      <c r="BZ335" s="3">
        <f>[1]monsters!$S335</f>
        <v>7.17</v>
      </c>
      <c r="CA335" s="3">
        <f>[1]monsters!$K335</f>
        <v>1.8</v>
      </c>
      <c r="CB335" s="12">
        <f>[1]monsters!$D335</f>
        <v>2</v>
      </c>
      <c r="CC335" s="12">
        <f t="shared" ca="1" si="43"/>
        <v>0.1</v>
      </c>
      <c r="CD335" s="12">
        <f t="shared" ca="1" si="44"/>
        <v>138.119843771044</v>
      </c>
      <c r="CE335" s="12">
        <f t="shared" ca="1" si="45"/>
        <v>13.8119843771044</v>
      </c>
      <c r="CS335" s="33"/>
      <c r="CT335" s="33"/>
      <c r="CU335" s="33"/>
      <c r="CV335" s="32"/>
      <c r="CW335" s="32"/>
      <c r="CX335" s="32"/>
      <c r="CY335" s="34"/>
      <c r="CZ335" s="34"/>
      <c r="DA335" s="34"/>
      <c r="DB335" s="33"/>
      <c r="DC335" s="33"/>
      <c r="DD335" s="33"/>
      <c r="DE335" s="33"/>
      <c r="DF335" s="33"/>
      <c r="DG335" s="33"/>
      <c r="DH335" s="34"/>
      <c r="DI335" s="34"/>
      <c r="DJ335" s="34"/>
      <c r="DK335" s="33"/>
      <c r="DL335" s="33"/>
      <c r="DM335" s="33"/>
      <c r="DN335" s="12">
        <v>5501093</v>
      </c>
      <c r="DS335" s="21"/>
      <c r="DT335" s="21"/>
      <c r="DU335" s="21"/>
    </row>
    <row r="336" spans="72:125" ht="13.5" customHeight="1">
      <c r="BT336" s="12">
        <v>5502093</v>
      </c>
      <c r="BU336" s="3">
        <f>[1]monsters!$N336</f>
        <v>241.92</v>
      </c>
      <c r="BV336" s="3">
        <f>[1]monsters!$O336</f>
        <v>24.19</v>
      </c>
      <c r="BW336" s="3">
        <f>[1]monsters!$P336</f>
        <v>2986.67</v>
      </c>
      <c r="BX336" s="3">
        <f>[1]monsters!$Q336</f>
        <v>298.67</v>
      </c>
      <c r="BY336" s="3">
        <f>[1]monsters!$R336</f>
        <v>48.38</v>
      </c>
      <c r="BZ336" s="3">
        <f>[1]monsters!$S336</f>
        <v>4.84</v>
      </c>
      <c r="CA336" s="3">
        <f>[1]monsters!$K336</f>
        <v>1.8</v>
      </c>
      <c r="CB336" s="12">
        <f>[1]monsters!$D336</f>
        <v>2</v>
      </c>
      <c r="CC336" s="12">
        <f t="shared" ca="1" si="43"/>
        <v>0.1</v>
      </c>
      <c r="CD336" s="12">
        <f t="shared" ca="1" si="44"/>
        <v>120.42944377104401</v>
      </c>
      <c r="CE336" s="12">
        <f t="shared" ca="1" si="45"/>
        <v>12.0429443771044</v>
      </c>
      <c r="CS336" s="33"/>
      <c r="CT336" s="33"/>
      <c r="CU336" s="33"/>
      <c r="CV336" s="32"/>
      <c r="CW336" s="32"/>
      <c r="CX336" s="32"/>
      <c r="CY336" s="34"/>
      <c r="CZ336" s="34"/>
      <c r="DA336" s="34"/>
      <c r="DB336" s="33"/>
      <c r="DC336" s="33"/>
      <c r="DD336" s="33"/>
      <c r="DE336" s="33"/>
      <c r="DF336" s="33"/>
      <c r="DG336" s="33"/>
      <c r="DH336" s="34"/>
      <c r="DI336" s="34"/>
      <c r="DJ336" s="34"/>
      <c r="DK336" s="33"/>
      <c r="DL336" s="33"/>
      <c r="DM336" s="33"/>
      <c r="DN336" s="12">
        <v>5502093</v>
      </c>
      <c r="DS336" s="21"/>
      <c r="DT336" s="21"/>
      <c r="DU336" s="21"/>
    </row>
    <row r="337" spans="72:125" ht="13.5" customHeight="1">
      <c r="BT337" s="12">
        <v>5600093</v>
      </c>
      <c r="BU337" s="3">
        <f>[1]monsters!$N337</f>
        <v>161.28</v>
      </c>
      <c r="BV337" s="3">
        <f>[1]monsters!$O337</f>
        <v>16.13</v>
      </c>
      <c r="BW337" s="3">
        <f>[1]monsters!$P337</f>
        <v>2986.67</v>
      </c>
      <c r="BX337" s="3">
        <f>[1]monsters!$Q337</f>
        <v>298.67</v>
      </c>
      <c r="BY337" s="3">
        <f>[1]monsters!$R337</f>
        <v>32.26</v>
      </c>
      <c r="BZ337" s="3">
        <f>[1]monsters!$S337</f>
        <v>3.23</v>
      </c>
      <c r="CA337" s="3">
        <f>[1]monsters!$K337</f>
        <v>1.2</v>
      </c>
      <c r="CB337" s="12">
        <f>[1]monsters!$D337</f>
        <v>3</v>
      </c>
      <c r="CC337" s="12">
        <f t="shared" ca="1" si="43"/>
        <v>0.1</v>
      </c>
      <c r="CD337" s="12">
        <f t="shared" ca="1" si="44"/>
        <v>116.407252525253</v>
      </c>
      <c r="CE337" s="12">
        <f t="shared" ca="1" si="45"/>
        <v>11.6407252525253</v>
      </c>
      <c r="CS337" s="33"/>
      <c r="CT337" s="33"/>
      <c r="CU337" s="33"/>
      <c r="CV337" s="32"/>
      <c r="CW337" s="32"/>
      <c r="CX337" s="32"/>
      <c r="CY337" s="34"/>
      <c r="CZ337" s="34"/>
      <c r="DA337" s="34"/>
      <c r="DB337" s="33"/>
      <c r="DC337" s="33"/>
      <c r="DD337" s="33"/>
      <c r="DE337" s="33"/>
      <c r="DF337" s="33"/>
      <c r="DG337" s="33"/>
      <c r="DH337" s="34"/>
      <c r="DI337" s="34"/>
      <c r="DJ337" s="34"/>
      <c r="DK337" s="33"/>
      <c r="DL337" s="33"/>
      <c r="DM337" s="33"/>
      <c r="DN337" s="12">
        <v>5600093</v>
      </c>
      <c r="DS337" s="21"/>
      <c r="DT337" s="21"/>
      <c r="DU337" s="21"/>
    </row>
    <row r="338" spans="72:125" ht="13.5" customHeight="1">
      <c r="BT338" s="12">
        <v>5601093</v>
      </c>
      <c r="BU338" s="3">
        <f>[1]monsters!$N338</f>
        <v>286.72000000000003</v>
      </c>
      <c r="BV338" s="3">
        <f>[1]monsters!$O338</f>
        <v>28.67</v>
      </c>
      <c r="BW338" s="3">
        <f>[1]monsters!$P338</f>
        <v>2240</v>
      </c>
      <c r="BX338" s="3">
        <f>[1]monsters!$Q338</f>
        <v>224</v>
      </c>
      <c r="BY338" s="3">
        <f>[1]monsters!$R338</f>
        <v>40.96</v>
      </c>
      <c r="BZ338" s="3">
        <f>[1]monsters!$S338</f>
        <v>4.0999999999999996</v>
      </c>
      <c r="CA338" s="3">
        <f>[1]monsters!$K338</f>
        <v>1.6</v>
      </c>
      <c r="CB338" s="12">
        <f>[1]monsters!$D338</f>
        <v>4</v>
      </c>
      <c r="CC338" s="12">
        <f t="shared" ca="1" si="43"/>
        <v>0.1</v>
      </c>
      <c r="CD338" s="12">
        <f t="shared" ca="1" si="44"/>
        <v>126.235252525253</v>
      </c>
      <c r="CE338" s="12">
        <f t="shared" ca="1" si="45"/>
        <v>12.623525252525299</v>
      </c>
      <c r="CS338" s="33"/>
      <c r="CT338" s="33"/>
      <c r="CU338" s="33"/>
      <c r="CV338" s="32"/>
      <c r="CW338" s="32"/>
      <c r="CX338" s="32"/>
      <c r="CY338" s="34"/>
      <c r="CZ338" s="34"/>
      <c r="DA338" s="34"/>
      <c r="DB338" s="33"/>
      <c r="DC338" s="33"/>
      <c r="DD338" s="33"/>
      <c r="DE338" s="33"/>
      <c r="DF338" s="33"/>
      <c r="DG338" s="33"/>
      <c r="DH338" s="34"/>
      <c r="DI338" s="34"/>
      <c r="DJ338" s="34"/>
      <c r="DK338" s="33"/>
      <c r="DL338" s="33"/>
      <c r="DM338" s="33"/>
      <c r="DN338" s="12">
        <v>5601093</v>
      </c>
      <c r="DS338" s="21"/>
      <c r="DT338" s="21"/>
      <c r="DU338" s="21"/>
    </row>
    <row r="339" spans="72:125" ht="13.5" customHeight="1">
      <c r="BT339" s="12">
        <v>5200094</v>
      </c>
      <c r="BU339" s="3">
        <f>[1]monsters!$N339</f>
        <v>268.8</v>
      </c>
      <c r="BV339" s="3">
        <f>[1]monsters!$O339</f>
        <v>26.88</v>
      </c>
      <c r="BW339" s="3">
        <f>[1]monsters!$P339</f>
        <v>2240</v>
      </c>
      <c r="BX339" s="3">
        <f>[1]monsters!$Q339</f>
        <v>224</v>
      </c>
      <c r="BY339" s="3">
        <f>[1]monsters!$R339</f>
        <v>38.4</v>
      </c>
      <c r="BZ339" s="3">
        <f>[1]monsters!$S339</f>
        <v>3.84</v>
      </c>
      <c r="CA339" s="3">
        <f>[1]monsters!$K339</f>
        <v>1.5</v>
      </c>
      <c r="CB339" s="12">
        <f>[1]monsters!$D339</f>
        <v>4</v>
      </c>
      <c r="CC339" s="12">
        <f t="shared" ca="1" si="43"/>
        <v>0.1</v>
      </c>
      <c r="CD339" s="12">
        <f t="shared" ca="1" si="44"/>
        <v>124.62456565656601</v>
      </c>
      <c r="CE339" s="12">
        <f t="shared" ca="1" si="45"/>
        <v>12.4624565656566</v>
      </c>
      <c r="CS339" s="33"/>
      <c r="CT339" s="33"/>
      <c r="CU339" s="33"/>
      <c r="CV339" s="32"/>
      <c r="CW339" s="32"/>
      <c r="CX339" s="32"/>
      <c r="CY339" s="34"/>
      <c r="CZ339" s="34"/>
      <c r="DA339" s="34"/>
      <c r="DB339" s="33"/>
      <c r="DC339" s="33"/>
      <c r="DD339" s="33"/>
      <c r="DE339" s="33"/>
      <c r="DF339" s="33"/>
      <c r="DG339" s="33"/>
      <c r="DH339" s="34"/>
      <c r="DI339" s="34"/>
      <c r="DJ339" s="34"/>
      <c r="DK339" s="33"/>
      <c r="DL339" s="33"/>
      <c r="DM339" s="33"/>
      <c r="DN339" s="12">
        <v>5200094</v>
      </c>
      <c r="DS339" s="21"/>
      <c r="DT339" s="21"/>
      <c r="DU339" s="21"/>
    </row>
    <row r="340" spans="72:125" ht="13.5" customHeight="1">
      <c r="BT340" s="12">
        <v>5201094</v>
      </c>
      <c r="BU340" s="3">
        <f>[1]monsters!$N340</f>
        <v>313.60000000000002</v>
      </c>
      <c r="BV340" s="3">
        <f>[1]monsters!$O340</f>
        <v>31.36</v>
      </c>
      <c r="BW340" s="3">
        <f>[1]monsters!$P340</f>
        <v>1920</v>
      </c>
      <c r="BX340" s="3">
        <f>[1]monsters!$Q340</f>
        <v>192</v>
      </c>
      <c r="BY340" s="3">
        <f>[1]monsters!$R340</f>
        <v>39.200000000000003</v>
      </c>
      <c r="BZ340" s="3">
        <f>[1]monsters!$S340</f>
        <v>3.92</v>
      </c>
      <c r="CA340" s="3">
        <f>[1]monsters!$K340</f>
        <v>1.5</v>
      </c>
      <c r="CB340" s="12">
        <f>[1]monsters!$D340</f>
        <v>5</v>
      </c>
      <c r="CC340" s="12">
        <f t="shared" ca="1" si="43"/>
        <v>0.1</v>
      </c>
      <c r="CD340" s="12">
        <f t="shared" ca="1" si="44"/>
        <v>144.28056565656601</v>
      </c>
      <c r="CE340" s="12">
        <f t="shared" ca="1" si="45"/>
        <v>14.4280565656566</v>
      </c>
      <c r="CS340" s="33"/>
      <c r="CT340" s="33"/>
      <c r="CU340" s="33"/>
      <c r="CV340" s="32"/>
      <c r="CW340" s="32"/>
      <c r="CX340" s="32"/>
      <c r="CY340" s="34"/>
      <c r="CZ340" s="34"/>
      <c r="DA340" s="34"/>
      <c r="DB340" s="33"/>
      <c r="DC340" s="33"/>
      <c r="DD340" s="33"/>
      <c r="DE340" s="33"/>
      <c r="DF340" s="33"/>
      <c r="DG340" s="33"/>
      <c r="DH340" s="34"/>
      <c r="DI340" s="34"/>
      <c r="DJ340" s="34"/>
      <c r="DK340" s="33"/>
      <c r="DL340" s="33"/>
      <c r="DM340" s="33"/>
      <c r="DN340" s="12">
        <v>5201094</v>
      </c>
      <c r="DS340" s="21"/>
      <c r="DT340" s="21"/>
      <c r="DU340" s="21"/>
    </row>
    <row r="341" spans="72:125" ht="13.5" customHeight="1">
      <c r="BT341" s="12">
        <v>5300094</v>
      </c>
      <c r="BU341" s="3">
        <f>[1]monsters!$N341</f>
        <v>292.69</v>
      </c>
      <c r="BV341" s="3">
        <f>[1]monsters!$O341</f>
        <v>29.27</v>
      </c>
      <c r="BW341" s="3">
        <f>[1]monsters!$P341</f>
        <v>1920</v>
      </c>
      <c r="BX341" s="3">
        <f>[1]monsters!$Q341</f>
        <v>192</v>
      </c>
      <c r="BY341" s="3">
        <f>[1]monsters!$R341</f>
        <v>36.590000000000003</v>
      </c>
      <c r="BZ341" s="3">
        <f>[1]monsters!$S341</f>
        <v>3.66</v>
      </c>
      <c r="CA341" s="3">
        <f>[1]monsters!$K341</f>
        <v>1.4000000000000001</v>
      </c>
      <c r="CB341" s="12">
        <f>[1]monsters!$D341</f>
        <v>5</v>
      </c>
      <c r="CC341" s="12">
        <f t="shared" ca="1" si="43"/>
        <v>0.1</v>
      </c>
      <c r="CD341" s="12">
        <f t="shared" ca="1" si="44"/>
        <v>115.85519169472499</v>
      </c>
      <c r="CE341" s="12">
        <f t="shared" ca="1" si="45"/>
        <v>11.5855191694725</v>
      </c>
      <c r="CS341" s="33"/>
      <c r="CT341" s="33"/>
      <c r="CU341" s="33"/>
      <c r="CV341" s="32"/>
      <c r="CW341" s="32"/>
      <c r="CX341" s="32"/>
      <c r="CY341" s="34"/>
      <c r="CZ341" s="34"/>
      <c r="DA341" s="34"/>
      <c r="DB341" s="33"/>
      <c r="DC341" s="33"/>
      <c r="DD341" s="33"/>
      <c r="DE341" s="33"/>
      <c r="DF341" s="33"/>
      <c r="DG341" s="33"/>
      <c r="DH341" s="34"/>
      <c r="DI341" s="34"/>
      <c r="DJ341" s="34"/>
      <c r="DK341" s="33"/>
      <c r="DL341" s="33"/>
      <c r="DM341" s="33"/>
      <c r="DN341" s="12">
        <v>5300094</v>
      </c>
      <c r="DS341" s="21"/>
      <c r="DT341" s="21"/>
      <c r="DU341" s="21"/>
    </row>
    <row r="342" spans="72:125" ht="13.5" customHeight="1">
      <c r="BT342" s="12">
        <v>5301094</v>
      </c>
      <c r="BU342" s="3">
        <f>[1]monsters!$N342</f>
        <v>347.2</v>
      </c>
      <c r="BV342" s="3">
        <f>[1]monsters!$O342</f>
        <v>34.72</v>
      </c>
      <c r="BW342" s="3">
        <f>[1]monsters!$P342</f>
        <v>1734.19</v>
      </c>
      <c r="BX342" s="3">
        <f>[1]monsters!$Q342</f>
        <v>173.42</v>
      </c>
      <c r="BY342" s="3">
        <f>[1]monsters!$R342</f>
        <v>34.72</v>
      </c>
      <c r="BZ342" s="3">
        <f>[1]monsters!$S342</f>
        <v>3.47</v>
      </c>
      <c r="CA342" s="3">
        <f>[1]monsters!$K342</f>
        <v>1.5</v>
      </c>
      <c r="CB342" s="12">
        <f>[1]monsters!$D342</f>
        <v>6</v>
      </c>
      <c r="CC342" s="12">
        <f t="shared" ca="1" si="43"/>
        <v>0.1</v>
      </c>
      <c r="CD342" s="12">
        <f t="shared" ca="1" si="44"/>
        <v>115.85519169472499</v>
      </c>
      <c r="CE342" s="12">
        <f t="shared" ca="1" si="45"/>
        <v>11.5855191694725</v>
      </c>
      <c r="CS342" s="33"/>
      <c r="CT342" s="33"/>
      <c r="CU342" s="33"/>
      <c r="CV342" s="32"/>
      <c r="CW342" s="32"/>
      <c r="CX342" s="32"/>
      <c r="CY342" s="34"/>
      <c r="CZ342" s="34"/>
      <c r="DA342" s="34"/>
      <c r="DB342" s="33"/>
      <c r="DC342" s="33"/>
      <c r="DD342" s="33"/>
      <c r="DE342" s="33"/>
      <c r="DF342" s="33"/>
      <c r="DG342" s="33"/>
      <c r="DH342" s="34"/>
      <c r="DI342" s="34"/>
      <c r="DJ342" s="34"/>
      <c r="DK342" s="33"/>
      <c r="DL342" s="33"/>
      <c r="DM342" s="33"/>
      <c r="DN342" s="12">
        <v>5301094</v>
      </c>
      <c r="DS342" s="21"/>
      <c r="DT342" s="21"/>
      <c r="DU342" s="21"/>
    </row>
    <row r="343" spans="72:125" ht="13.5" customHeight="1">
      <c r="BT343" s="12">
        <v>5401094</v>
      </c>
      <c r="BU343" s="3">
        <f>[1]monsters!$N343</f>
        <v>215.04</v>
      </c>
      <c r="BV343" s="3">
        <f>[1]monsters!$O343</f>
        <v>21.5</v>
      </c>
      <c r="BW343" s="3">
        <f>[1]monsters!$P343</f>
        <v>3360</v>
      </c>
      <c r="BX343" s="3">
        <f>[1]monsters!$Q343</f>
        <v>336</v>
      </c>
      <c r="BY343" s="3">
        <f>[1]monsters!$R343</f>
        <v>71.680000000000007</v>
      </c>
      <c r="BZ343" s="3">
        <f>[1]monsters!$S343</f>
        <v>7.17</v>
      </c>
      <c r="CA343" s="3">
        <f>[1]monsters!$K343</f>
        <v>1.8</v>
      </c>
      <c r="CB343" s="12">
        <f>[1]monsters!$D343</f>
        <v>2</v>
      </c>
      <c r="CC343" s="12">
        <f t="shared" ca="1" si="43"/>
        <v>0.1</v>
      </c>
      <c r="CD343" s="12">
        <f t="shared" ca="1" si="44"/>
        <v>128.831229568411</v>
      </c>
      <c r="CE343" s="12">
        <f t="shared" ca="1" si="45"/>
        <v>12.883122956841101</v>
      </c>
      <c r="CS343" s="33"/>
      <c r="CT343" s="33"/>
      <c r="CU343" s="33"/>
      <c r="CV343" s="32"/>
      <c r="CW343" s="32"/>
      <c r="CX343" s="32"/>
      <c r="CY343" s="34"/>
      <c r="CZ343" s="34"/>
      <c r="DA343" s="34"/>
      <c r="DB343" s="33"/>
      <c r="DC343" s="33"/>
      <c r="DD343" s="33"/>
      <c r="DE343" s="33"/>
      <c r="DF343" s="33"/>
      <c r="DG343" s="33"/>
      <c r="DH343" s="34"/>
      <c r="DI343" s="34"/>
      <c r="DJ343" s="34"/>
      <c r="DK343" s="33"/>
      <c r="DL343" s="33"/>
      <c r="DM343" s="33"/>
      <c r="DN343" s="12">
        <v>5401094</v>
      </c>
      <c r="DS343" s="21"/>
      <c r="DT343" s="21"/>
      <c r="DU343" s="21"/>
    </row>
    <row r="344" spans="72:125" ht="13.5" customHeight="1">
      <c r="BT344" s="12">
        <v>5402094</v>
      </c>
      <c r="BU344" s="3">
        <f>[1]monsters!$N344</f>
        <v>188.16</v>
      </c>
      <c r="BV344" s="3">
        <f>[1]monsters!$O344</f>
        <v>18.82</v>
      </c>
      <c r="BW344" s="3">
        <f>[1]monsters!$P344</f>
        <v>2986.67</v>
      </c>
      <c r="BX344" s="3">
        <f>[1]monsters!$Q344</f>
        <v>298.67</v>
      </c>
      <c r="BY344" s="3">
        <f>[1]monsters!$R344</f>
        <v>37.630000000000003</v>
      </c>
      <c r="BZ344" s="3">
        <f>[1]monsters!$S344</f>
        <v>3.76</v>
      </c>
      <c r="CA344" s="3">
        <f>[1]monsters!$K344</f>
        <v>1.4000000000000001</v>
      </c>
      <c r="CB344" s="12">
        <f>[1]monsters!$D344</f>
        <v>3</v>
      </c>
      <c r="CC344" s="12">
        <f t="shared" ca="1" si="43"/>
        <v>0.1</v>
      </c>
      <c r="CD344" s="12">
        <f t="shared" ca="1" si="44"/>
        <v>128.831229568411</v>
      </c>
      <c r="CE344" s="12">
        <f t="shared" ca="1" si="45"/>
        <v>12.883122956841101</v>
      </c>
      <c r="CS344" s="33"/>
      <c r="CT344" s="33"/>
      <c r="CU344" s="33"/>
      <c r="CV344" s="32"/>
      <c r="CW344" s="32"/>
      <c r="CX344" s="32"/>
      <c r="CY344" s="34"/>
      <c r="CZ344" s="34"/>
      <c r="DA344" s="34"/>
      <c r="DB344" s="33"/>
      <c r="DC344" s="33"/>
      <c r="DD344" s="33"/>
      <c r="DE344" s="33"/>
      <c r="DF344" s="33"/>
      <c r="DG344" s="33"/>
      <c r="DH344" s="34"/>
      <c r="DI344" s="34"/>
      <c r="DJ344" s="34"/>
      <c r="DK344" s="33"/>
      <c r="DL344" s="33"/>
      <c r="DM344" s="33"/>
      <c r="DN344" s="12">
        <v>5402094</v>
      </c>
      <c r="DS344" s="21"/>
      <c r="DT344" s="21"/>
      <c r="DU344" s="21"/>
    </row>
    <row r="345" spans="72:125" ht="13.5" customHeight="1">
      <c r="BT345" s="12">
        <v>5501094</v>
      </c>
      <c r="BU345" s="3">
        <f>[1]monsters!$N345</f>
        <v>334.51</v>
      </c>
      <c r="BV345" s="3">
        <f>[1]monsters!$O345</f>
        <v>33.450000000000003</v>
      </c>
      <c r="BW345" s="3">
        <f>[1]monsters!$P345</f>
        <v>1920</v>
      </c>
      <c r="BX345" s="3">
        <f>[1]monsters!$Q345</f>
        <v>192</v>
      </c>
      <c r="BY345" s="3">
        <f>[1]monsters!$R345</f>
        <v>41.81</v>
      </c>
      <c r="BZ345" s="3">
        <f>[1]monsters!$S345</f>
        <v>4.18</v>
      </c>
      <c r="CA345" s="3">
        <f>[1]monsters!$K345</f>
        <v>1.6</v>
      </c>
      <c r="CB345" s="12">
        <f>[1]monsters!$D345</f>
        <v>5</v>
      </c>
      <c r="CC345" s="12">
        <f t="shared" ca="1" si="43"/>
        <v>0.1</v>
      </c>
      <c r="CD345" s="12">
        <f t="shared" ca="1" si="44"/>
        <v>138.119843771044</v>
      </c>
      <c r="CE345" s="12">
        <f t="shared" ca="1" si="45"/>
        <v>13.8119843771044</v>
      </c>
      <c r="CS345" s="33"/>
      <c r="CT345" s="33"/>
      <c r="CU345" s="33"/>
      <c r="CV345" s="32"/>
      <c r="CW345" s="32"/>
      <c r="CX345" s="32"/>
      <c r="CY345" s="34"/>
      <c r="CZ345" s="34"/>
      <c r="DA345" s="34"/>
      <c r="DB345" s="33"/>
      <c r="DC345" s="33"/>
      <c r="DD345" s="33"/>
      <c r="DE345" s="33"/>
      <c r="DF345" s="33"/>
      <c r="DG345" s="33"/>
      <c r="DH345" s="34"/>
      <c r="DI345" s="34"/>
      <c r="DJ345" s="34"/>
      <c r="DK345" s="33"/>
      <c r="DL345" s="33"/>
      <c r="DM345" s="33"/>
      <c r="DN345" s="12">
        <v>5501094</v>
      </c>
      <c r="DS345" s="21"/>
      <c r="DT345" s="21"/>
      <c r="DU345" s="21"/>
    </row>
    <row r="346" spans="72:125" ht="13.5" customHeight="1">
      <c r="BT346" s="12">
        <v>5502094</v>
      </c>
      <c r="BU346" s="3">
        <f>[1]monsters!$N346</f>
        <v>324.05</v>
      </c>
      <c r="BV346" s="3">
        <f>[1]monsters!$O346</f>
        <v>32.409999999999997</v>
      </c>
      <c r="BW346" s="3">
        <f>[1]monsters!$P346</f>
        <v>1734.19</v>
      </c>
      <c r="BX346" s="3">
        <f>[1]monsters!$Q346</f>
        <v>173.42</v>
      </c>
      <c r="BY346" s="3">
        <f>[1]monsters!$R346</f>
        <v>32.409999999999997</v>
      </c>
      <c r="BZ346" s="3">
        <f>[1]monsters!$S346</f>
        <v>3.24</v>
      </c>
      <c r="CA346" s="3">
        <f>[1]monsters!$K346</f>
        <v>1.4000000000000001</v>
      </c>
      <c r="CB346" s="12">
        <f>[1]monsters!$D346</f>
        <v>6</v>
      </c>
      <c r="CC346" s="12">
        <f t="shared" ca="1" si="43"/>
        <v>0.1</v>
      </c>
      <c r="CD346" s="12">
        <f t="shared" ca="1" si="44"/>
        <v>120.42944377104401</v>
      </c>
      <c r="CE346" s="12">
        <f t="shared" ca="1" si="45"/>
        <v>12.0429443771044</v>
      </c>
      <c r="CS346" s="33"/>
      <c r="CT346" s="33"/>
      <c r="CU346" s="33"/>
      <c r="CV346" s="32"/>
      <c r="CW346" s="32"/>
      <c r="CX346" s="32"/>
      <c r="CY346" s="34"/>
      <c r="CZ346" s="34"/>
      <c r="DA346" s="34"/>
      <c r="DB346" s="33"/>
      <c r="DC346" s="33"/>
      <c r="DD346" s="33"/>
      <c r="DE346" s="33"/>
      <c r="DF346" s="33"/>
      <c r="DG346" s="33"/>
      <c r="DH346" s="34"/>
      <c r="DI346" s="34"/>
      <c r="DJ346" s="34"/>
      <c r="DK346" s="33"/>
      <c r="DL346" s="33"/>
      <c r="DM346" s="33"/>
      <c r="DN346" s="12">
        <v>5502094</v>
      </c>
      <c r="DS346" s="21"/>
      <c r="DT346" s="21"/>
      <c r="DU346" s="21"/>
    </row>
    <row r="347" spans="72:125" ht="13.5" customHeight="1">
      <c r="BT347" s="12">
        <v>5600094</v>
      </c>
      <c r="BU347" s="3">
        <f>[1]monsters!$N347</f>
        <v>416.64</v>
      </c>
      <c r="BV347" s="3">
        <f>[1]monsters!$O347</f>
        <v>41.66</v>
      </c>
      <c r="BW347" s="3">
        <f>[1]monsters!$P347</f>
        <v>1734.19</v>
      </c>
      <c r="BX347" s="3">
        <f>[1]monsters!$Q347</f>
        <v>173.42</v>
      </c>
      <c r="BY347" s="3">
        <f>[1]monsters!$R347</f>
        <v>41.66</v>
      </c>
      <c r="BZ347" s="3">
        <f>[1]monsters!$S347</f>
        <v>4.17</v>
      </c>
      <c r="CA347" s="3">
        <f>[1]monsters!$K347</f>
        <v>1.8</v>
      </c>
      <c r="CB347" s="12">
        <f>[1]monsters!$D347</f>
        <v>6</v>
      </c>
      <c r="CC347" s="12">
        <f t="shared" ca="1" si="43"/>
        <v>0.1</v>
      </c>
      <c r="CD347" s="12">
        <f t="shared" ca="1" si="44"/>
        <v>116.407252525253</v>
      </c>
      <c r="CE347" s="12">
        <f t="shared" ca="1" si="45"/>
        <v>11.6407252525253</v>
      </c>
      <c r="CS347" s="33"/>
      <c r="CT347" s="33"/>
      <c r="CU347" s="33"/>
      <c r="CV347" s="32"/>
      <c r="CW347" s="32"/>
      <c r="CX347" s="32"/>
      <c r="CY347" s="34"/>
      <c r="CZ347" s="34"/>
      <c r="DA347" s="34"/>
      <c r="DB347" s="33"/>
      <c r="DC347" s="33"/>
      <c r="DD347" s="33"/>
      <c r="DE347" s="33"/>
      <c r="DF347" s="33"/>
      <c r="DG347" s="33"/>
      <c r="DH347" s="34"/>
      <c r="DI347" s="34"/>
      <c r="DJ347" s="34"/>
      <c r="DK347" s="33"/>
      <c r="DL347" s="33"/>
      <c r="DM347" s="33"/>
      <c r="DN347" s="12">
        <v>5600094</v>
      </c>
      <c r="DS347" s="21"/>
      <c r="DT347" s="21"/>
      <c r="DU347" s="21"/>
    </row>
    <row r="348" spans="72:125" ht="13.5" customHeight="1">
      <c r="BT348" s="12">
        <v>5601094</v>
      </c>
      <c r="BU348" s="3">
        <f>[1]monsters!$N348</f>
        <v>241.92</v>
      </c>
      <c r="BV348" s="3">
        <f>[1]monsters!$O348</f>
        <v>24.19</v>
      </c>
      <c r="BW348" s="3">
        <f>[1]monsters!$P348</f>
        <v>2986.67</v>
      </c>
      <c r="BX348" s="3">
        <f>[1]monsters!$Q348</f>
        <v>298.67</v>
      </c>
      <c r="BY348" s="3">
        <f>[1]monsters!$R348</f>
        <v>48.38</v>
      </c>
      <c r="BZ348" s="3">
        <f>[1]monsters!$S348</f>
        <v>4.84</v>
      </c>
      <c r="CA348" s="3">
        <f>[1]monsters!$K348</f>
        <v>1.8</v>
      </c>
      <c r="CB348" s="12">
        <f>[1]monsters!$D348</f>
        <v>2</v>
      </c>
      <c r="CC348" s="12">
        <f t="shared" ca="1" si="43"/>
        <v>0.1</v>
      </c>
      <c r="CD348" s="12">
        <f t="shared" ca="1" si="44"/>
        <v>126.235252525253</v>
      </c>
      <c r="CE348" s="12">
        <f t="shared" ca="1" si="45"/>
        <v>12.623525252525299</v>
      </c>
      <c r="CS348" s="33"/>
      <c r="CT348" s="33"/>
      <c r="CU348" s="33"/>
      <c r="CV348" s="32"/>
      <c r="CW348" s="32"/>
      <c r="CX348" s="32"/>
      <c r="CY348" s="34"/>
      <c r="CZ348" s="34"/>
      <c r="DA348" s="34"/>
      <c r="DB348" s="33"/>
      <c r="DC348" s="33"/>
      <c r="DD348" s="33"/>
      <c r="DE348" s="33"/>
      <c r="DF348" s="33"/>
      <c r="DG348" s="33"/>
      <c r="DH348" s="34"/>
      <c r="DI348" s="34"/>
      <c r="DJ348" s="34"/>
      <c r="DK348" s="33"/>
      <c r="DL348" s="33"/>
      <c r="DM348" s="33"/>
      <c r="DN348" s="12">
        <v>5601094</v>
      </c>
      <c r="DS348" s="21"/>
      <c r="DT348" s="21"/>
      <c r="DU348" s="21"/>
    </row>
    <row r="349" spans="72:125" ht="13.5" customHeight="1">
      <c r="BT349" s="12">
        <v>5201095</v>
      </c>
      <c r="BU349" s="3">
        <f>[1]monsters!$N349</f>
        <v>174.72</v>
      </c>
      <c r="BV349" s="3">
        <f>[1]monsters!$O349</f>
        <v>17.47</v>
      </c>
      <c r="BW349" s="3">
        <f>[1]monsters!$P349</f>
        <v>2986.67</v>
      </c>
      <c r="BX349" s="3">
        <f>[1]monsters!$Q349</f>
        <v>298.67</v>
      </c>
      <c r="BY349" s="3">
        <f>[1]monsters!$R349</f>
        <v>34.94</v>
      </c>
      <c r="BZ349" s="3">
        <f>[1]monsters!$S349</f>
        <v>3.49</v>
      </c>
      <c r="CA349" s="3">
        <f>[1]monsters!$K349</f>
        <v>1.3</v>
      </c>
      <c r="CB349" s="12">
        <f>[1]monsters!$D349</f>
        <v>3</v>
      </c>
      <c r="CC349" s="12">
        <f t="shared" ca="1" si="43"/>
        <v>0.1</v>
      </c>
      <c r="CD349" s="12">
        <f t="shared" ca="1" si="44"/>
        <v>144.28056565656601</v>
      </c>
      <c r="CE349" s="12">
        <f t="shared" ca="1" si="45"/>
        <v>14.4280565656566</v>
      </c>
      <c r="CS349" s="33"/>
      <c r="CT349" s="33"/>
      <c r="CU349" s="33"/>
      <c r="CV349" s="32"/>
      <c r="CW349" s="32"/>
      <c r="CX349" s="32"/>
      <c r="CY349" s="34"/>
      <c r="CZ349" s="34"/>
      <c r="DA349" s="34"/>
      <c r="DB349" s="33"/>
      <c r="DC349" s="33"/>
      <c r="DD349" s="33"/>
      <c r="DE349" s="33"/>
      <c r="DF349" s="33"/>
      <c r="DG349" s="33"/>
      <c r="DH349" s="34"/>
      <c r="DI349" s="34"/>
      <c r="DJ349" s="34"/>
      <c r="DK349" s="33"/>
      <c r="DL349" s="33"/>
      <c r="DM349" s="33"/>
      <c r="DN349" s="12">
        <v>5201095</v>
      </c>
      <c r="DS349" s="21"/>
      <c r="DT349" s="21"/>
      <c r="DU349" s="21"/>
    </row>
    <row r="350" spans="72:125" ht="13.5" customHeight="1">
      <c r="BT350" s="12">
        <v>5202095</v>
      </c>
      <c r="BU350" s="3">
        <f>[1]monsters!$N350</f>
        <v>188.16</v>
      </c>
      <c r="BV350" s="3">
        <f>[1]monsters!$O350</f>
        <v>18.82</v>
      </c>
      <c r="BW350" s="3">
        <f>[1]monsters!$P350</f>
        <v>2986.67</v>
      </c>
      <c r="BX350" s="3">
        <f>[1]monsters!$Q350</f>
        <v>298.67</v>
      </c>
      <c r="BY350" s="3">
        <f>[1]monsters!$R350</f>
        <v>37.630000000000003</v>
      </c>
      <c r="BZ350" s="3">
        <f>[1]monsters!$S350</f>
        <v>3.76</v>
      </c>
      <c r="CA350" s="3">
        <f>[1]monsters!$K350</f>
        <v>1.4000000000000001</v>
      </c>
      <c r="CB350" s="12">
        <f>[1]monsters!$D350</f>
        <v>3</v>
      </c>
      <c r="CC350" s="12">
        <f t="shared" ca="1" si="43"/>
        <v>0.1</v>
      </c>
      <c r="CD350" s="12">
        <f t="shared" ca="1" si="44"/>
        <v>144.28056565656601</v>
      </c>
      <c r="CE350" s="12">
        <f t="shared" ca="1" si="45"/>
        <v>14.4280565656566</v>
      </c>
      <c r="CS350" s="33"/>
      <c r="CT350" s="33"/>
      <c r="CU350" s="33"/>
      <c r="CV350" s="32"/>
      <c r="CW350" s="32"/>
      <c r="CX350" s="32"/>
      <c r="CY350" s="34"/>
      <c r="CZ350" s="34"/>
      <c r="DA350" s="34"/>
      <c r="DB350" s="33"/>
      <c r="DC350" s="33"/>
      <c r="DD350" s="33"/>
      <c r="DE350" s="33"/>
      <c r="DF350" s="33"/>
      <c r="DG350" s="33"/>
      <c r="DH350" s="34"/>
      <c r="DI350" s="34"/>
      <c r="DJ350" s="34"/>
      <c r="DK350" s="33"/>
      <c r="DL350" s="33"/>
      <c r="DM350" s="33"/>
      <c r="DN350" s="12">
        <v>5202095</v>
      </c>
      <c r="DS350" s="21"/>
      <c r="DT350" s="21"/>
      <c r="DU350" s="21"/>
    </row>
    <row r="351" spans="72:125" ht="13.5" customHeight="1">
      <c r="BT351" s="12">
        <v>5302095</v>
      </c>
      <c r="BU351" s="3">
        <f>[1]monsters!$N351</f>
        <v>250.88</v>
      </c>
      <c r="BV351" s="3">
        <f>[1]monsters!$O351</f>
        <v>25.09</v>
      </c>
      <c r="BW351" s="3">
        <f>[1]monsters!$P351</f>
        <v>2240</v>
      </c>
      <c r="BX351" s="3">
        <f>[1]monsters!$Q351</f>
        <v>224</v>
      </c>
      <c r="BY351" s="3">
        <f>[1]monsters!$R351</f>
        <v>35.840000000000003</v>
      </c>
      <c r="BZ351" s="3">
        <f>[1]monsters!$S351</f>
        <v>3.58</v>
      </c>
      <c r="CA351" s="3">
        <f>[1]monsters!$K351</f>
        <v>1.4000000000000001</v>
      </c>
      <c r="CB351" s="12">
        <f>[1]monsters!$D351</f>
        <v>4</v>
      </c>
      <c r="CC351" s="12">
        <f t="shared" ca="1" si="43"/>
        <v>0.1</v>
      </c>
      <c r="CD351" s="12">
        <f t="shared" ca="1" si="44"/>
        <v>111.43259169472501</v>
      </c>
      <c r="CE351" s="12">
        <f t="shared" ca="1" si="45"/>
        <v>11.143259169472501</v>
      </c>
      <c r="CS351" s="33"/>
      <c r="CT351" s="33"/>
      <c r="CU351" s="33"/>
      <c r="CV351" s="32"/>
      <c r="CW351" s="32"/>
      <c r="CX351" s="32"/>
      <c r="CY351" s="34"/>
      <c r="CZ351" s="34"/>
      <c r="DA351" s="34"/>
      <c r="DB351" s="33"/>
      <c r="DC351" s="33"/>
      <c r="DD351" s="33"/>
      <c r="DE351" s="33"/>
      <c r="DF351" s="33"/>
      <c r="DG351" s="33"/>
      <c r="DH351" s="34"/>
      <c r="DI351" s="34"/>
      <c r="DJ351" s="34"/>
      <c r="DK351" s="33"/>
      <c r="DL351" s="33"/>
      <c r="DM351" s="33"/>
      <c r="DN351" s="12">
        <v>5302095</v>
      </c>
      <c r="DS351" s="21"/>
      <c r="DT351" s="21"/>
      <c r="DU351" s="21"/>
    </row>
    <row r="352" spans="72:125" ht="13.5" customHeight="1">
      <c r="BT352" s="12">
        <v>5301095</v>
      </c>
      <c r="BU352" s="3">
        <f>[1]monsters!$N352</f>
        <v>334.51</v>
      </c>
      <c r="BV352" s="3">
        <f>[1]monsters!$O352</f>
        <v>33.450000000000003</v>
      </c>
      <c r="BW352" s="3">
        <f>[1]monsters!$P352</f>
        <v>1920</v>
      </c>
      <c r="BX352" s="3">
        <f>[1]monsters!$Q352</f>
        <v>192</v>
      </c>
      <c r="BY352" s="3">
        <f>[1]monsters!$R352</f>
        <v>41.81</v>
      </c>
      <c r="BZ352" s="3">
        <f>[1]monsters!$S352</f>
        <v>4.18</v>
      </c>
      <c r="CA352" s="3">
        <f>[1]monsters!$K352</f>
        <v>1.6</v>
      </c>
      <c r="CB352" s="12">
        <f>[1]monsters!$D352</f>
        <v>5</v>
      </c>
      <c r="CC352" s="12">
        <f t="shared" ca="1" si="43"/>
        <v>0.1</v>
      </c>
      <c r="CD352" s="12">
        <f t="shared" ca="1" si="44"/>
        <v>115.85519169472499</v>
      </c>
      <c r="CE352" s="12">
        <f t="shared" ca="1" si="45"/>
        <v>11.5855191694725</v>
      </c>
      <c r="CS352" s="33"/>
      <c r="CT352" s="33"/>
      <c r="CU352" s="33"/>
      <c r="CV352" s="32"/>
      <c r="CW352" s="32"/>
      <c r="CX352" s="32"/>
      <c r="CY352" s="34"/>
      <c r="CZ352" s="34"/>
      <c r="DA352" s="34"/>
      <c r="DB352" s="33"/>
      <c r="DC352" s="33"/>
      <c r="DD352" s="33"/>
      <c r="DE352" s="33"/>
      <c r="DF352" s="33"/>
      <c r="DG352" s="33"/>
      <c r="DH352" s="34"/>
      <c r="DI352" s="34"/>
      <c r="DJ352" s="34"/>
      <c r="DK352" s="33"/>
      <c r="DL352" s="33"/>
      <c r="DM352" s="33"/>
      <c r="DN352" s="12">
        <v>5301095</v>
      </c>
      <c r="DS352" s="21"/>
      <c r="DT352" s="21"/>
      <c r="DU352" s="21"/>
    </row>
    <row r="353" spans="72:125" ht="13.5" customHeight="1">
      <c r="BT353" s="12">
        <v>5400095</v>
      </c>
      <c r="BU353" s="3">
        <f>[1]monsters!$N353</f>
        <v>240</v>
      </c>
      <c r="BV353" s="3">
        <f>[1]monsters!$O353</f>
        <v>24</v>
      </c>
      <c r="BW353" s="3">
        <f>[1]monsters!$P353</f>
        <v>2880</v>
      </c>
      <c r="BX353" s="3">
        <f>[1]monsters!$Q353</f>
        <v>288</v>
      </c>
      <c r="BY353" s="3">
        <f>[1]monsters!$R353</f>
        <v>60</v>
      </c>
      <c r="BZ353" s="3">
        <f>[1]monsters!$S353</f>
        <v>6</v>
      </c>
      <c r="CA353" s="3">
        <f>[1]monsters!$K353</f>
        <v>1.5</v>
      </c>
      <c r="CB353" s="12">
        <f>[1]monsters!$D353</f>
        <v>2</v>
      </c>
      <c r="CC353" s="12">
        <f t="shared" ca="1" si="43"/>
        <v>0.1</v>
      </c>
      <c r="CD353" s="12">
        <f t="shared" ca="1" si="44"/>
        <v>112.615029568411</v>
      </c>
      <c r="CE353" s="12">
        <f t="shared" ca="1" si="45"/>
        <v>11.261502956841101</v>
      </c>
      <c r="CS353" s="33"/>
      <c r="CT353" s="33"/>
      <c r="CU353" s="33"/>
      <c r="CV353" s="32"/>
      <c r="CW353" s="32"/>
      <c r="CX353" s="32"/>
      <c r="CY353" s="34"/>
      <c r="CZ353" s="34"/>
      <c r="DA353" s="34"/>
      <c r="DB353" s="33"/>
      <c r="DC353" s="33"/>
      <c r="DD353" s="33"/>
      <c r="DE353" s="33"/>
      <c r="DF353" s="33"/>
      <c r="DG353" s="33"/>
      <c r="DH353" s="34"/>
      <c r="DI353" s="34"/>
      <c r="DJ353" s="34"/>
      <c r="DK353" s="33"/>
      <c r="DL353" s="33"/>
      <c r="DM353" s="33"/>
      <c r="DN353" s="12">
        <v>5400095</v>
      </c>
      <c r="DS353" s="21"/>
      <c r="DT353" s="21"/>
      <c r="DU353" s="21"/>
    </row>
    <row r="354" spans="72:125" ht="13.5" customHeight="1">
      <c r="BT354" s="12">
        <v>5402095</v>
      </c>
      <c r="BU354" s="3">
        <f>[1]monsters!$N354</f>
        <v>230.4</v>
      </c>
      <c r="BV354" s="3">
        <f>[1]monsters!$O354</f>
        <v>23.04</v>
      </c>
      <c r="BW354" s="3">
        <f>[1]monsters!$P354</f>
        <v>3600</v>
      </c>
      <c r="BX354" s="3">
        <f>[1]monsters!$Q354</f>
        <v>360</v>
      </c>
      <c r="BY354" s="3">
        <f>[1]monsters!$R354</f>
        <v>76.8</v>
      </c>
      <c r="BZ354" s="3">
        <f>[1]monsters!$S354</f>
        <v>7.68</v>
      </c>
      <c r="CA354" s="3">
        <f>[1]monsters!$K354</f>
        <v>1.8</v>
      </c>
      <c r="CB354" s="12">
        <f>[1]monsters!$D354</f>
        <v>2</v>
      </c>
      <c r="CC354" s="12">
        <f t="shared" ca="1" si="43"/>
        <v>0.1</v>
      </c>
      <c r="CD354" s="12">
        <f t="shared" ca="1" si="44"/>
        <v>128.831229568411</v>
      </c>
      <c r="CE354" s="12">
        <f t="shared" ca="1" si="45"/>
        <v>12.883122956841101</v>
      </c>
      <c r="CS354" s="33"/>
      <c r="CT354" s="33"/>
      <c r="CU354" s="33"/>
      <c r="CV354" s="32"/>
      <c r="CW354" s="32"/>
      <c r="CX354" s="32"/>
      <c r="CY354" s="34"/>
      <c r="CZ354" s="34"/>
      <c r="DA354" s="34"/>
      <c r="DB354" s="33"/>
      <c r="DC354" s="33"/>
      <c r="DD354" s="33"/>
      <c r="DE354" s="33"/>
      <c r="DF354" s="33"/>
      <c r="DG354" s="33"/>
      <c r="DH354" s="34"/>
      <c r="DI354" s="34"/>
      <c r="DJ354" s="34"/>
      <c r="DK354" s="33"/>
      <c r="DL354" s="33"/>
      <c r="DM354" s="33"/>
      <c r="DN354" s="12">
        <v>5402095</v>
      </c>
      <c r="DS354" s="21"/>
      <c r="DT354" s="21"/>
      <c r="DU354" s="21"/>
    </row>
    <row r="355" spans="72:125" ht="13.5" customHeight="1">
      <c r="BT355" s="12">
        <v>5500095</v>
      </c>
      <c r="BU355" s="3">
        <f>[1]monsters!$N355</f>
        <v>259.2</v>
      </c>
      <c r="BV355" s="3">
        <f>[1]monsters!$O355</f>
        <v>25.92</v>
      </c>
      <c r="BW355" s="3">
        <f>[1]monsters!$P355</f>
        <v>3200</v>
      </c>
      <c r="BX355" s="3">
        <f>[1]monsters!$Q355</f>
        <v>320</v>
      </c>
      <c r="BY355" s="3">
        <f>[1]monsters!$R355</f>
        <v>51.84</v>
      </c>
      <c r="BZ355" s="3">
        <f>[1]monsters!$S355</f>
        <v>5.18</v>
      </c>
      <c r="CA355" s="3">
        <f>[1]monsters!$K355</f>
        <v>1.8</v>
      </c>
      <c r="CB355" s="12">
        <f>[1]monsters!$D355</f>
        <v>2</v>
      </c>
      <c r="CC355" s="12">
        <f t="shared" ca="1" si="43"/>
        <v>0.1</v>
      </c>
      <c r="CD355" s="12">
        <f t="shared" ca="1" si="44"/>
        <v>120.42944377104401</v>
      </c>
      <c r="CE355" s="12">
        <f t="shared" ca="1" si="45"/>
        <v>12.0429443771044</v>
      </c>
      <c r="CS355" s="33"/>
      <c r="CT355" s="33"/>
      <c r="CU355" s="33"/>
      <c r="CV355" s="32"/>
      <c r="CW355" s="32"/>
      <c r="CX355" s="32"/>
      <c r="CY355" s="34"/>
      <c r="CZ355" s="34"/>
      <c r="DA355" s="34"/>
      <c r="DB355" s="33"/>
      <c r="DC355" s="33"/>
      <c r="DD355" s="33"/>
      <c r="DE355" s="33"/>
      <c r="DF355" s="33"/>
      <c r="DG355" s="33"/>
      <c r="DH355" s="34"/>
      <c r="DI355" s="34"/>
      <c r="DJ355" s="34"/>
      <c r="DK355" s="33"/>
      <c r="DL355" s="33"/>
      <c r="DM355" s="33"/>
      <c r="DN355" s="12">
        <v>5500095</v>
      </c>
      <c r="DS355" s="21"/>
      <c r="DT355" s="21"/>
      <c r="DU355" s="21"/>
    </row>
    <row r="356" spans="72:125" ht="13.5" customHeight="1">
      <c r="BT356" s="12">
        <v>5502095</v>
      </c>
      <c r="BU356" s="3">
        <f>[1]monsters!$N356</f>
        <v>172.8</v>
      </c>
      <c r="BV356" s="3">
        <f>[1]monsters!$O356</f>
        <v>17.28</v>
      </c>
      <c r="BW356" s="3">
        <f>[1]monsters!$P356</f>
        <v>3200</v>
      </c>
      <c r="BX356" s="3">
        <f>[1]monsters!$Q356</f>
        <v>320</v>
      </c>
      <c r="BY356" s="3">
        <f>[1]monsters!$R356</f>
        <v>34.56</v>
      </c>
      <c r="BZ356" s="3">
        <f>[1]monsters!$S356</f>
        <v>3.46</v>
      </c>
      <c r="CA356" s="3">
        <f>[1]monsters!$K356</f>
        <v>1.2</v>
      </c>
      <c r="CB356" s="12">
        <f>[1]monsters!$D356</f>
        <v>3</v>
      </c>
      <c r="CC356" s="12">
        <f t="shared" ca="1" si="43"/>
        <v>0.1</v>
      </c>
      <c r="CD356" s="12">
        <f t="shared" ca="1" si="44"/>
        <v>120.42944377104401</v>
      </c>
      <c r="CE356" s="12">
        <f t="shared" ca="1" si="45"/>
        <v>12.0429443771044</v>
      </c>
      <c r="CS356" s="33"/>
      <c r="CT356" s="33"/>
      <c r="CU356" s="33"/>
      <c r="CV356" s="32"/>
      <c r="CW356" s="32"/>
      <c r="CX356" s="32"/>
      <c r="CY356" s="34"/>
      <c r="CZ356" s="34"/>
      <c r="DA356" s="34"/>
      <c r="DB356" s="33"/>
      <c r="DC356" s="33"/>
      <c r="DD356" s="33"/>
      <c r="DE356" s="33"/>
      <c r="DF356" s="33"/>
      <c r="DG356" s="33"/>
      <c r="DH356" s="34"/>
      <c r="DI356" s="34"/>
      <c r="DJ356" s="34"/>
      <c r="DK356" s="33"/>
      <c r="DL356" s="33"/>
      <c r="DM356" s="33"/>
      <c r="DN356" s="12">
        <v>5502095</v>
      </c>
      <c r="DS356" s="21"/>
      <c r="DT356" s="21"/>
      <c r="DU356" s="21"/>
    </row>
    <row r="357" spans="72:125" ht="13.5" customHeight="1">
      <c r="BT357" s="12">
        <v>5600095</v>
      </c>
      <c r="BU357" s="3">
        <f>[1]monsters!$N357</f>
        <v>307.2</v>
      </c>
      <c r="BV357" s="3">
        <f>[1]monsters!$O357</f>
        <v>30.72</v>
      </c>
      <c r="BW357" s="3">
        <f>[1]monsters!$P357</f>
        <v>2400</v>
      </c>
      <c r="BX357" s="3">
        <f>[1]monsters!$Q357</f>
        <v>240</v>
      </c>
      <c r="BY357" s="3">
        <f>[1]monsters!$R357</f>
        <v>43.89</v>
      </c>
      <c r="BZ357" s="3">
        <f>[1]monsters!$S357</f>
        <v>4.3899999999999997</v>
      </c>
      <c r="CA357" s="3">
        <f>[1]monsters!$K357</f>
        <v>1.6</v>
      </c>
      <c r="CB357" s="12">
        <f>[1]monsters!$D357</f>
        <v>4</v>
      </c>
      <c r="CC357" s="12">
        <f t="shared" ca="1" si="43"/>
        <v>0.1</v>
      </c>
      <c r="CD357" s="12">
        <f t="shared" ca="1" si="44"/>
        <v>116.407252525253</v>
      </c>
      <c r="CE357" s="12">
        <f t="shared" ca="1" si="45"/>
        <v>11.6407252525253</v>
      </c>
      <c r="CS357" s="33"/>
      <c r="CT357" s="33"/>
      <c r="CU357" s="33"/>
      <c r="CV357" s="32"/>
      <c r="CW357" s="32"/>
      <c r="CX357" s="32"/>
      <c r="CY357" s="34"/>
      <c r="CZ357" s="34"/>
      <c r="DA357" s="34"/>
      <c r="DB357" s="33"/>
      <c r="DC357" s="33"/>
      <c r="DD357" s="33"/>
      <c r="DE357" s="33"/>
      <c r="DF357" s="33"/>
      <c r="DG357" s="33"/>
      <c r="DH357" s="34"/>
      <c r="DI357" s="34"/>
      <c r="DJ357" s="34"/>
      <c r="DK357" s="33"/>
      <c r="DL357" s="33"/>
      <c r="DM357" s="33"/>
      <c r="DN357" s="12">
        <v>5600095</v>
      </c>
      <c r="DS357" s="21"/>
      <c r="DT357" s="21"/>
      <c r="DU357" s="21"/>
    </row>
    <row r="358" spans="72:125" ht="13.5" customHeight="1">
      <c r="BT358" s="12">
        <v>5602095</v>
      </c>
      <c r="BU358" s="3">
        <f>[1]monsters!$N358</f>
        <v>288</v>
      </c>
      <c r="BV358" s="3">
        <f>[1]monsters!$O358</f>
        <v>28.8</v>
      </c>
      <c r="BW358" s="3">
        <f>[1]monsters!$P358</f>
        <v>2400</v>
      </c>
      <c r="BX358" s="3">
        <f>[1]monsters!$Q358</f>
        <v>240</v>
      </c>
      <c r="BY358" s="3">
        <f>[1]monsters!$R358</f>
        <v>41.14</v>
      </c>
      <c r="BZ358" s="3">
        <f>[1]monsters!$S358</f>
        <v>4.1100000000000003</v>
      </c>
      <c r="CA358" s="3">
        <f>[1]monsters!$K358</f>
        <v>1.5</v>
      </c>
      <c r="CB358" s="12">
        <f>[1]monsters!$D358</f>
        <v>4</v>
      </c>
      <c r="CC358" s="12">
        <f t="shared" ca="1" si="43"/>
        <v>0.1</v>
      </c>
      <c r="CD358" s="12">
        <f t="shared" ca="1" si="44"/>
        <v>150.805252525253</v>
      </c>
      <c r="CE358" s="12">
        <f t="shared" ca="1" si="45"/>
        <v>15.0805252525253</v>
      </c>
      <c r="CS358" s="33"/>
      <c r="CT358" s="33"/>
      <c r="CU358" s="33"/>
      <c r="CV358" s="32"/>
      <c r="CW358" s="32"/>
      <c r="CX358" s="32"/>
      <c r="CY358" s="34"/>
      <c r="CZ358" s="34"/>
      <c r="DA358" s="34"/>
      <c r="DB358" s="33"/>
      <c r="DC358" s="33"/>
      <c r="DD358" s="33"/>
      <c r="DE358" s="33"/>
      <c r="DF358" s="33"/>
      <c r="DG358" s="33"/>
      <c r="DH358" s="34"/>
      <c r="DI358" s="34"/>
      <c r="DJ358" s="34"/>
      <c r="DK358" s="33"/>
      <c r="DL358" s="33"/>
      <c r="DM358" s="33"/>
      <c r="DN358" s="12">
        <v>5602095</v>
      </c>
      <c r="DS358" s="21"/>
      <c r="DT358" s="21"/>
      <c r="DU358" s="21"/>
    </row>
    <row r="359" spans="72:125" ht="13.5" customHeight="1">
      <c r="BT359" s="12">
        <v>1206011</v>
      </c>
      <c r="BU359" s="3">
        <f>[1]monsters!$N359</f>
        <v>336</v>
      </c>
      <c r="BV359" s="3">
        <f>[1]monsters!$O359</f>
        <v>33.6</v>
      </c>
      <c r="BW359" s="3">
        <f>[1]monsters!$P359</f>
        <v>2057.14</v>
      </c>
      <c r="BX359" s="3">
        <f>[1]monsters!$Q359</f>
        <v>205.71</v>
      </c>
      <c r="BY359" s="3">
        <f>[1]monsters!$R359</f>
        <v>42</v>
      </c>
      <c r="BZ359" s="3">
        <f>[1]monsters!$S359</f>
        <v>4.2</v>
      </c>
      <c r="CA359" s="3">
        <f>[1]monsters!$K359</f>
        <v>1.5</v>
      </c>
      <c r="CB359" s="12">
        <f>[1]monsters!$D359</f>
        <v>5</v>
      </c>
      <c r="CC359" s="12">
        <f t="shared" ca="1" si="43"/>
        <v>0.1</v>
      </c>
      <c r="CD359" s="12">
        <f t="shared" ca="1" si="44"/>
        <v>50.956525252525303</v>
      </c>
      <c r="CE359" s="12">
        <f t="shared" ca="1" si="45"/>
        <v>5.0956525252525298</v>
      </c>
      <c r="CS359" s="33"/>
      <c r="CT359" s="33"/>
      <c r="CU359" s="33"/>
      <c r="CV359" s="32"/>
      <c r="CW359" s="32"/>
      <c r="CX359" s="32"/>
      <c r="CY359" s="34"/>
      <c r="CZ359" s="34"/>
      <c r="DA359" s="34"/>
      <c r="DB359" s="33"/>
      <c r="DC359" s="33"/>
      <c r="DD359" s="33"/>
      <c r="DE359" s="33"/>
      <c r="DF359" s="33"/>
      <c r="DG359" s="33"/>
      <c r="DH359" s="34"/>
      <c r="DI359" s="34"/>
      <c r="DJ359" s="34"/>
      <c r="DK359" s="33"/>
      <c r="DL359" s="33"/>
      <c r="DM359" s="33"/>
      <c r="DN359" s="12">
        <v>1206011</v>
      </c>
      <c r="DS359" s="21"/>
      <c r="DT359" s="21"/>
      <c r="DU359" s="21"/>
    </row>
    <row r="360" spans="72:125" ht="13.5" customHeight="1">
      <c r="BT360" s="12">
        <v>1406011</v>
      </c>
      <c r="BU360" s="3">
        <f>[1]monsters!$N360</f>
        <v>313.60000000000002</v>
      </c>
      <c r="BV360" s="3">
        <f>[1]monsters!$O360</f>
        <v>31.36</v>
      </c>
      <c r="BW360" s="3">
        <f>[1]monsters!$P360</f>
        <v>2057.14</v>
      </c>
      <c r="BX360" s="3">
        <f>[1]monsters!$Q360</f>
        <v>205.71</v>
      </c>
      <c r="BY360" s="3">
        <f>[1]monsters!$R360</f>
        <v>39.200000000000003</v>
      </c>
      <c r="BZ360" s="3">
        <f>[1]monsters!$S360</f>
        <v>3.92</v>
      </c>
      <c r="CA360" s="3">
        <f>[1]monsters!$K360</f>
        <v>1.4000000000000001</v>
      </c>
      <c r="CB360" s="12">
        <f>[1]monsters!$D360</f>
        <v>5</v>
      </c>
      <c r="CC360" s="12">
        <f t="shared" ca="1" si="43"/>
        <v>0.1</v>
      </c>
      <c r="CD360" s="12">
        <f t="shared" ca="1" si="44"/>
        <v>47.471472910927403</v>
      </c>
      <c r="CE360" s="12">
        <f t="shared" ca="1" si="45"/>
        <v>4.7471472910927401</v>
      </c>
      <c r="CS360" s="33"/>
      <c r="CT360" s="33"/>
      <c r="CU360" s="33"/>
      <c r="CV360" s="32"/>
      <c r="CW360" s="32"/>
      <c r="CX360" s="32"/>
      <c r="CY360" s="34"/>
      <c r="CZ360" s="34"/>
      <c r="DA360" s="34"/>
      <c r="DB360" s="33"/>
      <c r="DC360" s="33"/>
      <c r="DD360" s="33"/>
      <c r="DE360" s="33"/>
      <c r="DF360" s="33"/>
      <c r="DG360" s="33"/>
      <c r="DH360" s="34"/>
      <c r="DI360" s="34"/>
      <c r="DJ360" s="34"/>
      <c r="DK360" s="33"/>
      <c r="DL360" s="33"/>
      <c r="DM360" s="33"/>
      <c r="DN360" s="12">
        <v>1406011</v>
      </c>
      <c r="DS360" s="21"/>
      <c r="DT360" s="21"/>
      <c r="DU360" s="21"/>
    </row>
    <row r="361" spans="72:125" ht="13.5" customHeight="1">
      <c r="BT361" s="12">
        <v>1205011</v>
      </c>
      <c r="BU361" s="3">
        <f>[1]monsters!$N361</f>
        <v>372</v>
      </c>
      <c r="BV361" s="3">
        <f>[1]monsters!$O361</f>
        <v>37.200000000000003</v>
      </c>
      <c r="BW361" s="3">
        <f>[1]monsters!$P361</f>
        <v>1858.06</v>
      </c>
      <c r="BX361" s="3">
        <f>[1]monsters!$Q361</f>
        <v>185.81</v>
      </c>
      <c r="BY361" s="3">
        <f>[1]monsters!$R361</f>
        <v>37.200000000000003</v>
      </c>
      <c r="BZ361" s="3">
        <f>[1]monsters!$S361</f>
        <v>3.72</v>
      </c>
      <c r="CA361" s="3">
        <f>[1]monsters!$K361</f>
        <v>1.5</v>
      </c>
      <c r="CB361" s="12">
        <f>[1]monsters!$D361</f>
        <v>6</v>
      </c>
      <c r="CC361" s="12">
        <f t="shared" ca="1" si="43"/>
        <v>0.1</v>
      </c>
      <c r="CD361" s="12">
        <f t="shared" ca="1" si="44"/>
        <v>55.492525252525297</v>
      </c>
      <c r="CE361" s="12">
        <f t="shared" ca="1" si="45"/>
        <v>5.5492525252525304</v>
      </c>
      <c r="CS361" s="33"/>
      <c r="CT361" s="33"/>
      <c r="CU361" s="33"/>
      <c r="CV361" s="32"/>
      <c r="CW361" s="32"/>
      <c r="CX361" s="32"/>
      <c r="CY361" s="34"/>
      <c r="CZ361" s="34"/>
      <c r="DA361" s="34"/>
      <c r="DB361" s="33"/>
      <c r="DC361" s="33"/>
      <c r="DD361" s="33"/>
      <c r="DE361" s="33"/>
      <c r="DF361" s="33"/>
      <c r="DG361" s="33"/>
      <c r="DH361" s="34"/>
      <c r="DI361" s="34"/>
      <c r="DJ361" s="34"/>
      <c r="DK361" s="33"/>
      <c r="DL361" s="33"/>
      <c r="DM361" s="33"/>
      <c r="DN361" s="12">
        <v>1205011</v>
      </c>
      <c r="DS361" s="21"/>
      <c r="DT361" s="21"/>
      <c r="DU361" s="21"/>
    </row>
    <row r="362" spans="72:125" ht="13.5" customHeight="1">
      <c r="BT362" s="12">
        <v>1405011</v>
      </c>
      <c r="BU362" s="3">
        <f>[1]monsters!$N362</f>
        <v>240</v>
      </c>
      <c r="BV362" s="3">
        <f>[1]monsters!$O362</f>
        <v>24</v>
      </c>
      <c r="BW362" s="3">
        <f>[1]monsters!$P362</f>
        <v>2880</v>
      </c>
      <c r="BX362" s="3">
        <f>[1]monsters!$Q362</f>
        <v>288</v>
      </c>
      <c r="BY362" s="3">
        <f>[1]monsters!$R362</f>
        <v>60</v>
      </c>
      <c r="BZ362" s="3">
        <f>[1]monsters!$S362</f>
        <v>6</v>
      </c>
      <c r="CA362" s="3">
        <f>[1]monsters!$K362</f>
        <v>1.5</v>
      </c>
      <c r="CB362" s="12">
        <f>[1]monsters!$D362</f>
        <v>2</v>
      </c>
      <c r="CC362" s="12">
        <f t="shared" ca="1" si="43"/>
        <v>0.1</v>
      </c>
      <c r="CD362" s="12">
        <f t="shared" ca="1" si="44"/>
        <v>49.550472910927397</v>
      </c>
      <c r="CE362" s="12">
        <f t="shared" ca="1" si="45"/>
        <v>4.9550472910927397</v>
      </c>
      <c r="CS362" s="33"/>
      <c r="CT362" s="33"/>
      <c r="CU362" s="33"/>
      <c r="CV362" s="32"/>
      <c r="CW362" s="32"/>
      <c r="CX362" s="32"/>
      <c r="CY362" s="34"/>
      <c r="CZ362" s="34"/>
      <c r="DA362" s="34"/>
      <c r="DB362" s="33"/>
      <c r="DC362" s="33"/>
      <c r="DD362" s="33"/>
      <c r="DE362" s="33"/>
      <c r="DF362" s="33"/>
      <c r="DG362" s="33"/>
      <c r="DH362" s="34"/>
      <c r="DI362" s="34"/>
      <c r="DJ362" s="34"/>
      <c r="DK362" s="33"/>
      <c r="DL362" s="33"/>
      <c r="DM362" s="33"/>
      <c r="DN362" s="12">
        <v>1405011</v>
      </c>
      <c r="DS362" s="21"/>
      <c r="DT362" s="21"/>
      <c r="DU362" s="21"/>
    </row>
    <row r="363" spans="72:125" ht="13.5" customHeight="1">
      <c r="BT363" s="12">
        <v>1203011</v>
      </c>
      <c r="BU363" s="3">
        <f>[1]monsters!$N363</f>
        <v>230.4</v>
      </c>
      <c r="BV363" s="3">
        <f>[1]monsters!$O363</f>
        <v>23.04</v>
      </c>
      <c r="BW363" s="3">
        <f>[1]monsters!$P363</f>
        <v>3600</v>
      </c>
      <c r="BX363" s="3">
        <f>[1]monsters!$Q363</f>
        <v>360</v>
      </c>
      <c r="BY363" s="3">
        <f>[1]monsters!$R363</f>
        <v>76.8</v>
      </c>
      <c r="BZ363" s="3">
        <f>[1]monsters!$S363</f>
        <v>7.68</v>
      </c>
      <c r="CA363" s="3">
        <f>[1]monsters!$K363</f>
        <v>1.8</v>
      </c>
      <c r="CB363" s="12">
        <f>[1]monsters!$D363</f>
        <v>2</v>
      </c>
      <c r="CC363" s="12">
        <f t="shared" ca="1" si="43"/>
        <v>0.1</v>
      </c>
      <c r="CD363" s="12">
        <f t="shared" ca="1" si="44"/>
        <v>44.908525252525301</v>
      </c>
      <c r="CE363" s="12">
        <f t="shared" ca="1" si="45"/>
        <v>4.4908525252525298</v>
      </c>
      <c r="CS363" s="33"/>
      <c r="CT363" s="33"/>
      <c r="CU363" s="33"/>
      <c r="CV363" s="32"/>
      <c r="CW363" s="32"/>
      <c r="CX363" s="32"/>
      <c r="CY363" s="34"/>
      <c r="CZ363" s="34"/>
      <c r="DA363" s="34"/>
      <c r="DB363" s="33"/>
      <c r="DC363" s="33"/>
      <c r="DD363" s="33"/>
      <c r="DE363" s="33"/>
      <c r="DF363" s="33"/>
      <c r="DG363" s="33"/>
      <c r="DH363" s="34"/>
      <c r="DI363" s="34"/>
      <c r="DJ363" s="34"/>
      <c r="DK363" s="33"/>
      <c r="DL363" s="33"/>
      <c r="DM363" s="33"/>
      <c r="DN363" s="12">
        <v>1203011</v>
      </c>
      <c r="DS363" s="21"/>
      <c r="DT363" s="21"/>
      <c r="DU363" s="21"/>
    </row>
    <row r="364" spans="72:125" ht="13.5" customHeight="1">
      <c r="BT364" s="12">
        <v>1403011</v>
      </c>
      <c r="BU364" s="3">
        <f>[1]monsters!$N364</f>
        <v>259.2</v>
      </c>
      <c r="BV364" s="3">
        <f>[1]monsters!$O364</f>
        <v>25.92</v>
      </c>
      <c r="BW364" s="3">
        <f>[1]monsters!$P364</f>
        <v>3200</v>
      </c>
      <c r="BX364" s="3">
        <f>[1]monsters!$Q364</f>
        <v>320</v>
      </c>
      <c r="BY364" s="3">
        <f>[1]monsters!$R364</f>
        <v>51.84</v>
      </c>
      <c r="BZ364" s="3">
        <f>[1]monsters!$S364</f>
        <v>5.18</v>
      </c>
      <c r="CA364" s="3">
        <f>[1]monsters!$K364</f>
        <v>1.8</v>
      </c>
      <c r="CB364" s="12">
        <f>[1]monsters!$D364</f>
        <v>2</v>
      </c>
      <c r="CC364" s="12">
        <f t="shared" ca="1" si="43"/>
        <v>0.1</v>
      </c>
      <c r="CD364" s="12">
        <f t="shared" ca="1" si="44"/>
        <v>41.234472910927401</v>
      </c>
      <c r="CE364" s="12">
        <f t="shared" ca="1" si="45"/>
        <v>4.1234472910927398</v>
      </c>
      <c r="CS364" s="33"/>
      <c r="CT364" s="33"/>
      <c r="CU364" s="33"/>
      <c r="CV364" s="32"/>
      <c r="CW364" s="32"/>
      <c r="CX364" s="32"/>
      <c r="CY364" s="34"/>
      <c r="CZ364" s="34"/>
      <c r="DA364" s="34"/>
      <c r="DB364" s="33"/>
      <c r="DC364" s="33"/>
      <c r="DD364" s="33"/>
      <c r="DE364" s="33"/>
      <c r="DF364" s="33"/>
      <c r="DG364" s="33"/>
      <c r="DH364" s="34"/>
      <c r="DI364" s="34"/>
      <c r="DJ364" s="34"/>
      <c r="DK364" s="33"/>
      <c r="DL364" s="33"/>
      <c r="DM364" s="33"/>
      <c r="DN364" s="12">
        <v>1403011</v>
      </c>
      <c r="DS364" s="21"/>
      <c r="DT364" s="21"/>
      <c r="DU364" s="21"/>
    </row>
    <row r="365" spans="72:125" ht="13.5" customHeight="1">
      <c r="BT365" s="12">
        <v>1204011</v>
      </c>
      <c r="BU365" s="3">
        <f>[1]monsters!$N365</f>
        <v>172.8</v>
      </c>
      <c r="BV365" s="3">
        <f>[1]monsters!$O365</f>
        <v>17.28</v>
      </c>
      <c r="BW365" s="3">
        <f>[1]monsters!$P365</f>
        <v>3200</v>
      </c>
      <c r="BX365" s="3">
        <f>[1]monsters!$Q365</f>
        <v>320</v>
      </c>
      <c r="BY365" s="3">
        <f>[1]monsters!$R365</f>
        <v>34.56</v>
      </c>
      <c r="BZ365" s="3">
        <f>[1]monsters!$S365</f>
        <v>3.46</v>
      </c>
      <c r="CA365" s="3">
        <f>[1]monsters!$K365</f>
        <v>1.2</v>
      </c>
      <c r="CB365" s="12">
        <f>[1]monsters!$D365</f>
        <v>3</v>
      </c>
      <c r="CC365" s="12">
        <f t="shared" ca="1" si="43"/>
        <v>0.1</v>
      </c>
      <c r="CD365" s="12">
        <f t="shared" ca="1" si="44"/>
        <v>46.420525252525302</v>
      </c>
      <c r="CE365" s="12">
        <f t="shared" ca="1" si="45"/>
        <v>4.64205252525253</v>
      </c>
      <c r="CS365" s="33"/>
      <c r="CT365" s="33"/>
      <c r="CU365" s="33"/>
      <c r="CV365" s="32"/>
      <c r="CW365" s="32"/>
      <c r="CX365" s="32"/>
      <c r="CY365" s="34"/>
      <c r="CZ365" s="34"/>
      <c r="DA365" s="34"/>
      <c r="DB365" s="33"/>
      <c r="DC365" s="33"/>
      <c r="DD365" s="33"/>
      <c r="DE365" s="33"/>
      <c r="DF365" s="33"/>
      <c r="DG365" s="33"/>
      <c r="DH365" s="34"/>
      <c r="DI365" s="34"/>
      <c r="DJ365" s="34"/>
      <c r="DK365" s="33"/>
      <c r="DL365" s="33"/>
      <c r="DM365" s="33"/>
      <c r="DN365" s="12">
        <v>1204011</v>
      </c>
      <c r="DS365" s="21"/>
      <c r="DT365" s="21"/>
      <c r="DU365" s="21"/>
    </row>
    <row r="366" spans="72:125" ht="13.5" customHeight="1">
      <c r="BT366" s="12">
        <v>1404011</v>
      </c>
      <c r="BU366" s="3">
        <f>[1]monsters!$N366</f>
        <v>307.2</v>
      </c>
      <c r="BV366" s="3">
        <f>[1]monsters!$O366</f>
        <v>30.72</v>
      </c>
      <c r="BW366" s="3">
        <f>[1]monsters!$P366</f>
        <v>2400</v>
      </c>
      <c r="BX366" s="3">
        <f>[1]monsters!$Q366</f>
        <v>240</v>
      </c>
      <c r="BY366" s="3">
        <f>[1]monsters!$R366</f>
        <v>43.89</v>
      </c>
      <c r="BZ366" s="3">
        <f>[1]monsters!$S366</f>
        <v>4.3899999999999997</v>
      </c>
      <c r="CA366" s="3">
        <f>[1]monsters!$K366</f>
        <v>1.6</v>
      </c>
      <c r="CB366" s="12">
        <f>[1]monsters!$D366</f>
        <v>4</v>
      </c>
      <c r="CC366" s="12">
        <f t="shared" ca="1" si="43"/>
        <v>0.1</v>
      </c>
      <c r="CD366" s="12">
        <f t="shared" ca="1" si="44"/>
        <v>49.550472910927397</v>
      </c>
      <c r="CE366" s="12">
        <f t="shared" ca="1" si="45"/>
        <v>4.9550472910927397</v>
      </c>
      <c r="CS366" s="33"/>
      <c r="CT366" s="33"/>
      <c r="CU366" s="33"/>
      <c r="CV366" s="32"/>
      <c r="CW366" s="32"/>
      <c r="CX366" s="32"/>
      <c r="CY366" s="34"/>
      <c r="CZ366" s="34"/>
      <c r="DA366" s="34"/>
      <c r="DB366" s="33"/>
      <c r="DC366" s="33"/>
      <c r="DD366" s="33"/>
      <c r="DE366" s="33"/>
      <c r="DF366" s="33"/>
      <c r="DG366" s="33"/>
      <c r="DH366" s="34"/>
      <c r="DI366" s="34"/>
      <c r="DJ366" s="34"/>
      <c r="DK366" s="33"/>
      <c r="DL366" s="33"/>
      <c r="DM366" s="33"/>
      <c r="DN366" s="12">
        <v>1404011</v>
      </c>
      <c r="DS366" s="21"/>
      <c r="DT366" s="21"/>
      <c r="DU366" s="21"/>
    </row>
    <row r="367" spans="72:125" ht="13.5" customHeight="1">
      <c r="BT367" s="12">
        <v>1303011</v>
      </c>
      <c r="BU367" s="3">
        <f>[1]monsters!$N367</f>
        <v>288</v>
      </c>
      <c r="BV367" s="3">
        <f>[1]monsters!$O367</f>
        <v>28.8</v>
      </c>
      <c r="BW367" s="3">
        <f>[1]monsters!$P367</f>
        <v>2400</v>
      </c>
      <c r="BX367" s="3">
        <f>[1]monsters!$Q367</f>
        <v>240</v>
      </c>
      <c r="BY367" s="3">
        <f>[1]monsters!$R367</f>
        <v>41.14</v>
      </c>
      <c r="BZ367" s="3">
        <f>[1]monsters!$S367</f>
        <v>4.1100000000000003</v>
      </c>
      <c r="CA367" s="3">
        <f>[1]monsters!$K367</f>
        <v>1.5</v>
      </c>
      <c r="CB367" s="12">
        <f>[1]monsters!$D367</f>
        <v>4</v>
      </c>
      <c r="CC367" s="12">
        <f t="shared" ca="1" si="43"/>
        <v>0.1</v>
      </c>
      <c r="CD367" s="12">
        <f t="shared" ca="1" si="44"/>
        <v>44.559689113355802</v>
      </c>
      <c r="CE367" s="12">
        <f t="shared" ca="1" si="45"/>
        <v>4.4559689113355798</v>
      </c>
      <c r="CS367" s="33"/>
      <c r="CT367" s="33"/>
      <c r="CU367" s="33"/>
      <c r="CV367" s="32"/>
      <c r="CW367" s="32"/>
      <c r="CX367" s="32"/>
      <c r="CY367" s="34"/>
      <c r="CZ367" s="34"/>
      <c r="DA367" s="34"/>
      <c r="DB367" s="33"/>
      <c r="DC367" s="33"/>
      <c r="DD367" s="33"/>
      <c r="DE367" s="33"/>
      <c r="DF367" s="33"/>
      <c r="DG367" s="33"/>
      <c r="DH367" s="34"/>
      <c r="DI367" s="34"/>
      <c r="DJ367" s="34"/>
      <c r="DK367" s="33"/>
      <c r="DL367" s="33"/>
      <c r="DM367" s="33"/>
      <c r="DN367" s="12">
        <v>1303011</v>
      </c>
      <c r="DS367" s="21"/>
      <c r="DT367" s="21"/>
      <c r="DU367" s="21"/>
    </row>
    <row r="368" spans="72:125" ht="13.5" customHeight="1">
      <c r="BT368" s="12">
        <v>1304011</v>
      </c>
      <c r="BU368" s="3">
        <f>[1]monsters!$N368</f>
        <v>336</v>
      </c>
      <c r="BV368" s="3">
        <f>[1]monsters!$O368</f>
        <v>33.6</v>
      </c>
      <c r="BW368" s="3">
        <f>[1]monsters!$P368</f>
        <v>2057.14</v>
      </c>
      <c r="BX368" s="3">
        <f>[1]monsters!$Q368</f>
        <v>205.71</v>
      </c>
      <c r="BY368" s="3">
        <f>[1]monsters!$R368</f>
        <v>42</v>
      </c>
      <c r="BZ368" s="3">
        <f>[1]monsters!$S368</f>
        <v>4.2</v>
      </c>
      <c r="CA368" s="3">
        <f>[1]monsters!$K368</f>
        <v>1.5</v>
      </c>
      <c r="CB368" s="12">
        <f>[1]monsters!$D368</f>
        <v>5</v>
      </c>
      <c r="CC368" s="12">
        <f t="shared" ca="1" si="43"/>
        <v>0.1</v>
      </c>
      <c r="CD368" s="12">
        <f t="shared" ca="1" si="44"/>
        <v>46.260689113355802</v>
      </c>
      <c r="CE368" s="12">
        <f t="shared" ca="1" si="45"/>
        <v>4.6260689113355804</v>
      </c>
      <c r="CS368" s="33"/>
      <c r="CT368" s="33"/>
      <c r="CU368" s="33"/>
      <c r="CV368" s="32"/>
      <c r="CW368" s="32"/>
      <c r="CX368" s="32"/>
      <c r="CY368" s="34"/>
      <c r="CZ368" s="34"/>
      <c r="DA368" s="34"/>
      <c r="DB368" s="33"/>
      <c r="DC368" s="33"/>
      <c r="DD368" s="33"/>
      <c r="DE368" s="33"/>
      <c r="DF368" s="33"/>
      <c r="DG368" s="33"/>
      <c r="DH368" s="34"/>
      <c r="DI368" s="34"/>
      <c r="DJ368" s="34"/>
      <c r="DK368" s="33"/>
      <c r="DL368" s="33"/>
      <c r="DM368" s="33"/>
      <c r="DN368" s="12">
        <v>1304011</v>
      </c>
      <c r="DS368" s="21"/>
      <c r="DT368" s="21"/>
      <c r="DU368" s="21"/>
    </row>
    <row r="369" spans="72:125" ht="13.5" customHeight="1">
      <c r="BT369" s="12">
        <v>1503011</v>
      </c>
      <c r="BU369" s="3">
        <f>[1]monsters!$N369</f>
        <v>313.60000000000002</v>
      </c>
      <c r="BV369" s="3">
        <f>[1]monsters!$O369</f>
        <v>31.36</v>
      </c>
      <c r="BW369" s="3">
        <f>[1]monsters!$P369</f>
        <v>2057.14</v>
      </c>
      <c r="BX369" s="3">
        <f>[1]monsters!$Q369</f>
        <v>205.71</v>
      </c>
      <c r="BY369" s="3">
        <f>[1]monsters!$R369</f>
        <v>39.200000000000003</v>
      </c>
      <c r="BZ369" s="3">
        <f>[1]monsters!$S369</f>
        <v>3.92</v>
      </c>
      <c r="CA369" s="3">
        <f>[1]monsters!$K369</f>
        <v>1.4000000000000001</v>
      </c>
      <c r="CB369" s="12">
        <f>[1]monsters!$D369</f>
        <v>5</v>
      </c>
      <c r="CC369" s="12">
        <f t="shared" ca="1" si="43"/>
        <v>0.1</v>
      </c>
      <c r="CD369" s="12">
        <f t="shared" ca="1" si="44"/>
        <v>53.123016835016799</v>
      </c>
      <c r="CE369" s="12">
        <f t="shared" ca="1" si="45"/>
        <v>5.3123016835016799</v>
      </c>
      <c r="CS369" s="33"/>
      <c r="CT369" s="33"/>
      <c r="CU369" s="33"/>
      <c r="CV369" s="32"/>
      <c r="CW369" s="32"/>
      <c r="CX369" s="32"/>
      <c r="CY369" s="34"/>
      <c r="CZ369" s="34"/>
      <c r="DA369" s="34"/>
      <c r="DB369" s="33"/>
      <c r="DC369" s="33"/>
      <c r="DD369" s="33"/>
      <c r="DE369" s="33"/>
      <c r="DF369" s="33"/>
      <c r="DG369" s="33"/>
      <c r="DH369" s="34"/>
      <c r="DI369" s="34"/>
      <c r="DJ369" s="34"/>
      <c r="DK369" s="33"/>
      <c r="DL369" s="33"/>
      <c r="DM369" s="33"/>
      <c r="DN369" s="12">
        <v>1503011</v>
      </c>
      <c r="DS369" s="21"/>
      <c r="DT369" s="21"/>
      <c r="DU369" s="21"/>
    </row>
    <row r="370" spans="72:125" ht="13.5" customHeight="1">
      <c r="BT370" s="12">
        <v>1504011</v>
      </c>
      <c r="BU370" s="3">
        <f>[1]monsters!$N370</f>
        <v>372</v>
      </c>
      <c r="BV370" s="3">
        <f>[1]monsters!$O370</f>
        <v>37.200000000000003</v>
      </c>
      <c r="BW370" s="3">
        <f>[1]monsters!$P370</f>
        <v>1858.06</v>
      </c>
      <c r="BX370" s="3">
        <f>[1]monsters!$Q370</f>
        <v>185.81</v>
      </c>
      <c r="BY370" s="3">
        <f>[1]monsters!$R370</f>
        <v>37.200000000000003</v>
      </c>
      <c r="BZ370" s="3">
        <f>[1]monsters!$S370</f>
        <v>3.72</v>
      </c>
      <c r="CA370" s="3">
        <f>[1]monsters!$K370</f>
        <v>1.5</v>
      </c>
      <c r="CB370" s="12">
        <f>[1]monsters!$D370</f>
        <v>6</v>
      </c>
      <c r="CC370" s="12">
        <f t="shared" ca="1" si="43"/>
        <v>0.1</v>
      </c>
      <c r="CD370" s="12">
        <f t="shared" ca="1" si="44"/>
        <v>57.6590168350168</v>
      </c>
      <c r="CE370" s="12">
        <f t="shared" ca="1" si="45"/>
        <v>5.7659016835016796</v>
      </c>
      <c r="CS370" s="33"/>
      <c r="CT370" s="33"/>
      <c r="CU370" s="33"/>
      <c r="CV370" s="32"/>
      <c r="CW370" s="32"/>
      <c r="CX370" s="32"/>
      <c r="CY370" s="34"/>
      <c r="CZ370" s="34"/>
      <c r="DA370" s="34"/>
      <c r="DB370" s="33"/>
      <c r="DC370" s="33"/>
      <c r="DD370" s="33"/>
      <c r="DE370" s="33"/>
      <c r="DF370" s="33"/>
      <c r="DG370" s="33"/>
      <c r="DH370" s="34"/>
      <c r="DI370" s="34"/>
      <c r="DJ370" s="34"/>
      <c r="DK370" s="33"/>
      <c r="DL370" s="33"/>
      <c r="DM370" s="33"/>
      <c r="DN370" s="12">
        <v>1504011</v>
      </c>
      <c r="DS370" s="21"/>
      <c r="DT370" s="21"/>
      <c r="DU370" s="21"/>
    </row>
    <row r="371" spans="72:125" ht="13.5" customHeight="1">
      <c r="BT371" s="12">
        <v>1101011</v>
      </c>
      <c r="BU371" s="3">
        <f>[1]monsters!$N371</f>
        <v>240</v>
      </c>
      <c r="BV371" s="3">
        <f>[1]monsters!$O371</f>
        <v>24</v>
      </c>
      <c r="BW371" s="3">
        <f>[1]monsters!$P371</f>
        <v>2880</v>
      </c>
      <c r="BX371" s="3">
        <f>[1]monsters!$Q371</f>
        <v>288</v>
      </c>
      <c r="BY371" s="3">
        <f>[1]monsters!$R371</f>
        <v>60</v>
      </c>
      <c r="BZ371" s="3">
        <f>[1]monsters!$S371</f>
        <v>6</v>
      </c>
      <c r="CA371" s="3">
        <f>[1]monsters!$K371</f>
        <v>1.5</v>
      </c>
      <c r="CB371" s="12">
        <f>[1]monsters!$D371</f>
        <v>2</v>
      </c>
      <c r="CC371" s="12">
        <f t="shared" ca="1" si="43"/>
        <v>0.1</v>
      </c>
      <c r="CD371" s="12">
        <f t="shared" ca="1" si="44"/>
        <v>50.442020202020203</v>
      </c>
      <c r="CE371" s="12">
        <f t="shared" ca="1" si="45"/>
        <v>5.0442020202020199</v>
      </c>
      <c r="CS371" s="33"/>
      <c r="CT371" s="33"/>
      <c r="CU371" s="33"/>
      <c r="CV371" s="32"/>
      <c r="CW371" s="32"/>
      <c r="CX371" s="32"/>
      <c r="CY371" s="34"/>
      <c r="CZ371" s="34"/>
      <c r="DA371" s="34"/>
      <c r="DB371" s="33"/>
      <c r="DC371" s="33"/>
      <c r="DD371" s="33"/>
      <c r="DE371" s="33"/>
      <c r="DF371" s="33"/>
      <c r="DG371" s="33"/>
      <c r="DH371" s="34"/>
      <c r="DI371" s="34"/>
      <c r="DJ371" s="34"/>
      <c r="DK371" s="33"/>
      <c r="DL371" s="33"/>
      <c r="DM371" s="33"/>
      <c r="DN371" s="12">
        <v>1101011</v>
      </c>
      <c r="DS371" s="21"/>
      <c r="DT371" s="21"/>
      <c r="DU371" s="21"/>
    </row>
    <row r="372" spans="72:125" ht="13.5" customHeight="1">
      <c r="BT372" s="12">
        <v>1102011</v>
      </c>
      <c r="BU372" s="3">
        <f>[1]monsters!$N372</f>
        <v>230.4</v>
      </c>
      <c r="BV372" s="3">
        <f>[1]monsters!$O372</f>
        <v>23.04</v>
      </c>
      <c r="BW372" s="3">
        <f>[1]monsters!$P372</f>
        <v>3600</v>
      </c>
      <c r="BX372" s="3">
        <f>[1]monsters!$Q372</f>
        <v>360</v>
      </c>
      <c r="BY372" s="3">
        <f>[1]monsters!$R372</f>
        <v>76.8</v>
      </c>
      <c r="BZ372" s="3">
        <f>[1]monsters!$S372</f>
        <v>7.68</v>
      </c>
      <c r="CA372" s="3">
        <f>[1]monsters!$K372</f>
        <v>1.8</v>
      </c>
      <c r="CB372" s="12">
        <f>[1]monsters!$D372</f>
        <v>2</v>
      </c>
      <c r="CC372" s="12">
        <f t="shared" ca="1" si="43"/>
        <v>0.1</v>
      </c>
      <c r="CD372" s="12">
        <f t="shared" ca="1" si="44"/>
        <v>46.662020202020202</v>
      </c>
      <c r="CE372" s="12">
        <f t="shared" ca="1" si="45"/>
        <v>4.6662020202020198</v>
      </c>
      <c r="CS372" s="33"/>
      <c r="CT372" s="33"/>
      <c r="CU372" s="33"/>
      <c r="CV372" s="32"/>
      <c r="CW372" s="32"/>
      <c r="CX372" s="32"/>
      <c r="CY372" s="34"/>
      <c r="CZ372" s="34"/>
      <c r="DA372" s="34"/>
      <c r="DB372" s="33"/>
      <c r="DC372" s="33"/>
      <c r="DD372" s="33"/>
      <c r="DE372" s="33"/>
      <c r="DF372" s="33"/>
      <c r="DG372" s="33"/>
      <c r="DH372" s="34"/>
      <c r="DI372" s="34"/>
      <c r="DJ372" s="34"/>
      <c r="DK372" s="33"/>
      <c r="DL372" s="33"/>
      <c r="DM372" s="33"/>
      <c r="DN372" s="12">
        <v>1102011</v>
      </c>
      <c r="DS372" s="21"/>
      <c r="DT372" s="21"/>
      <c r="DU372" s="21"/>
    </row>
    <row r="373" spans="72:125" ht="13.5" customHeight="1">
      <c r="BT373" s="12">
        <v>1206012</v>
      </c>
      <c r="BU373" s="3">
        <f>[1]monsters!$N373</f>
        <v>259.2</v>
      </c>
      <c r="BV373" s="3">
        <f>[1]monsters!$O373</f>
        <v>25.92</v>
      </c>
      <c r="BW373" s="3">
        <f>[1]monsters!$P373</f>
        <v>3200</v>
      </c>
      <c r="BX373" s="3">
        <f>[1]monsters!$Q373</f>
        <v>320</v>
      </c>
      <c r="BY373" s="3">
        <f>[1]monsters!$R373</f>
        <v>51.84</v>
      </c>
      <c r="BZ373" s="3">
        <f>[1]monsters!$S373</f>
        <v>5.18</v>
      </c>
      <c r="CA373" s="3">
        <f>[1]monsters!$K373</f>
        <v>1.8</v>
      </c>
      <c r="CB373" s="12">
        <f>[1]monsters!$D373</f>
        <v>2</v>
      </c>
      <c r="CC373" s="12">
        <f t="shared" ca="1" si="43"/>
        <v>0.1</v>
      </c>
      <c r="CD373" s="12">
        <f t="shared" ca="1" si="44"/>
        <v>50.956525252525303</v>
      </c>
      <c r="CE373" s="12">
        <f t="shared" ca="1" si="45"/>
        <v>5.0956525252525298</v>
      </c>
      <c r="CS373" s="33"/>
      <c r="CT373" s="33"/>
      <c r="CU373" s="33"/>
      <c r="CV373" s="32"/>
      <c r="CW373" s="32"/>
      <c r="CX373" s="32"/>
      <c r="CY373" s="34"/>
      <c r="CZ373" s="34"/>
      <c r="DA373" s="34"/>
      <c r="DB373" s="33"/>
      <c r="DC373" s="33"/>
      <c r="DD373" s="33"/>
      <c r="DE373" s="33"/>
      <c r="DF373" s="33"/>
      <c r="DG373" s="33"/>
      <c r="DH373" s="34"/>
      <c r="DI373" s="34"/>
      <c r="DJ373" s="34"/>
      <c r="DK373" s="33"/>
      <c r="DL373" s="33"/>
      <c r="DM373" s="33"/>
      <c r="DN373" s="12">
        <v>1206012</v>
      </c>
      <c r="DS373" s="21"/>
      <c r="DT373" s="21"/>
      <c r="DU373" s="21"/>
    </row>
    <row r="374" spans="72:125" ht="13.5" customHeight="1">
      <c r="BT374" s="12">
        <v>1406012</v>
      </c>
      <c r="BU374" s="3">
        <f>[1]monsters!$N374</f>
        <v>172.8</v>
      </c>
      <c r="BV374" s="3">
        <f>[1]monsters!$O374</f>
        <v>17.28</v>
      </c>
      <c r="BW374" s="3">
        <f>[1]monsters!$P374</f>
        <v>3200</v>
      </c>
      <c r="BX374" s="3">
        <f>[1]monsters!$Q374</f>
        <v>320</v>
      </c>
      <c r="BY374" s="3">
        <f>[1]monsters!$R374</f>
        <v>34.56</v>
      </c>
      <c r="BZ374" s="3">
        <f>[1]monsters!$S374</f>
        <v>3.46</v>
      </c>
      <c r="CA374" s="3">
        <f>[1]monsters!$K374</f>
        <v>1.2</v>
      </c>
      <c r="CB374" s="12">
        <f>[1]monsters!$D374</f>
        <v>3</v>
      </c>
      <c r="CC374" s="12">
        <f t="shared" ca="1" si="43"/>
        <v>0.1</v>
      </c>
      <c r="CD374" s="12">
        <f t="shared" ca="1" si="44"/>
        <v>47.471472910927403</v>
      </c>
      <c r="CE374" s="12">
        <f t="shared" ca="1" si="45"/>
        <v>4.7471472910927401</v>
      </c>
      <c r="CS374" s="33"/>
      <c r="CT374" s="33"/>
      <c r="CU374" s="33"/>
      <c r="CV374" s="32"/>
      <c r="CW374" s="32"/>
      <c r="CX374" s="32"/>
      <c r="CY374" s="34"/>
      <c r="CZ374" s="34"/>
      <c r="DA374" s="34"/>
      <c r="DB374" s="33"/>
      <c r="DC374" s="33"/>
      <c r="DD374" s="33"/>
      <c r="DE374" s="33"/>
      <c r="DF374" s="33"/>
      <c r="DG374" s="33"/>
      <c r="DH374" s="34"/>
      <c r="DI374" s="34"/>
      <c r="DJ374" s="34"/>
      <c r="DK374" s="33"/>
      <c r="DL374" s="33"/>
      <c r="DM374" s="33"/>
      <c r="DN374" s="12">
        <v>1406012</v>
      </c>
      <c r="DS374" s="21"/>
      <c r="DT374" s="21"/>
      <c r="DU374" s="21"/>
    </row>
    <row r="375" spans="72:125" ht="13.5" customHeight="1">
      <c r="BT375" s="12">
        <v>1205012</v>
      </c>
      <c r="BU375" s="3">
        <f>[1]monsters!$N375</f>
        <v>307.2</v>
      </c>
      <c r="BV375" s="3">
        <f>[1]monsters!$O375</f>
        <v>30.72</v>
      </c>
      <c r="BW375" s="3">
        <f>[1]monsters!$P375</f>
        <v>2400</v>
      </c>
      <c r="BX375" s="3">
        <f>[1]monsters!$Q375</f>
        <v>240</v>
      </c>
      <c r="BY375" s="3">
        <f>[1]monsters!$R375</f>
        <v>43.89</v>
      </c>
      <c r="BZ375" s="3">
        <f>[1]monsters!$S375</f>
        <v>4.3899999999999997</v>
      </c>
      <c r="CA375" s="3">
        <f>[1]monsters!$K375</f>
        <v>1.6</v>
      </c>
      <c r="CB375" s="12">
        <f>[1]monsters!$D375</f>
        <v>4</v>
      </c>
      <c r="CC375" s="12">
        <f t="shared" ca="1" si="43"/>
        <v>0.1</v>
      </c>
      <c r="CD375" s="12">
        <f t="shared" ca="1" si="44"/>
        <v>55.492525252525297</v>
      </c>
      <c r="CE375" s="12">
        <f t="shared" ca="1" si="45"/>
        <v>5.5492525252525304</v>
      </c>
      <c r="CS375" s="33"/>
      <c r="CT375" s="33"/>
      <c r="CU375" s="33"/>
      <c r="CV375" s="32"/>
      <c r="CW375" s="32"/>
      <c r="CX375" s="32"/>
      <c r="CY375" s="34"/>
      <c r="CZ375" s="34"/>
      <c r="DA375" s="34"/>
      <c r="DB375" s="33"/>
      <c r="DC375" s="33"/>
      <c r="DD375" s="33"/>
      <c r="DE375" s="33"/>
      <c r="DF375" s="33"/>
      <c r="DG375" s="33"/>
      <c r="DH375" s="34"/>
      <c r="DI375" s="34"/>
      <c r="DJ375" s="34"/>
      <c r="DK375" s="33"/>
      <c r="DL375" s="33"/>
      <c r="DM375" s="33"/>
      <c r="DN375" s="12">
        <v>1205012</v>
      </c>
      <c r="DS375" s="21"/>
      <c r="DT375" s="21"/>
      <c r="DU375" s="21"/>
    </row>
    <row r="376" spans="72:125" ht="13.5" customHeight="1">
      <c r="BT376" s="12">
        <v>1405012</v>
      </c>
      <c r="BU376" s="3">
        <f>[1]monsters!$N376</f>
        <v>288</v>
      </c>
      <c r="BV376" s="3">
        <f>[1]monsters!$O376</f>
        <v>28.8</v>
      </c>
      <c r="BW376" s="3">
        <f>[1]monsters!$P376</f>
        <v>2400</v>
      </c>
      <c r="BX376" s="3">
        <f>[1]monsters!$Q376</f>
        <v>240</v>
      </c>
      <c r="BY376" s="3">
        <f>[1]monsters!$R376</f>
        <v>41.14</v>
      </c>
      <c r="BZ376" s="3">
        <f>[1]monsters!$S376</f>
        <v>4.1100000000000003</v>
      </c>
      <c r="CA376" s="3">
        <f>[1]monsters!$K376</f>
        <v>1.5</v>
      </c>
      <c r="CB376" s="12">
        <f>[1]monsters!$D376</f>
        <v>4</v>
      </c>
      <c r="CC376" s="12">
        <f t="shared" ca="1" si="43"/>
        <v>0.1</v>
      </c>
      <c r="CD376" s="12">
        <f t="shared" ca="1" si="44"/>
        <v>49.550472910927397</v>
      </c>
      <c r="CE376" s="12">
        <f t="shared" ca="1" si="45"/>
        <v>4.9550472910927397</v>
      </c>
      <c r="CS376" s="33"/>
      <c r="CT376" s="33"/>
      <c r="CU376" s="33"/>
      <c r="CV376" s="32"/>
      <c r="CW376" s="32"/>
      <c r="CX376" s="32"/>
      <c r="CY376" s="34"/>
      <c r="CZ376" s="34"/>
      <c r="DA376" s="34"/>
      <c r="DB376" s="33"/>
      <c r="DC376" s="33"/>
      <c r="DD376" s="33"/>
      <c r="DE376" s="33"/>
      <c r="DF376" s="33"/>
      <c r="DG376" s="33"/>
      <c r="DH376" s="34"/>
      <c r="DI376" s="34"/>
      <c r="DJ376" s="34"/>
      <c r="DK376" s="33"/>
      <c r="DL376" s="33"/>
      <c r="DM376" s="33"/>
      <c r="DN376" s="12">
        <v>1405012</v>
      </c>
      <c r="DS376" s="21"/>
      <c r="DT376" s="21"/>
      <c r="DU376" s="21"/>
    </row>
    <row r="377" spans="72:125" ht="13.5" customHeight="1">
      <c r="BT377" s="12">
        <v>1203012</v>
      </c>
      <c r="BU377" s="3">
        <f>[1]monsters!$N377</f>
        <v>336</v>
      </c>
      <c r="BV377" s="3">
        <f>[1]monsters!$O377</f>
        <v>33.6</v>
      </c>
      <c r="BW377" s="3">
        <f>[1]monsters!$P377</f>
        <v>2057.14</v>
      </c>
      <c r="BX377" s="3">
        <f>[1]monsters!$Q377</f>
        <v>205.71</v>
      </c>
      <c r="BY377" s="3">
        <f>[1]monsters!$R377</f>
        <v>42</v>
      </c>
      <c r="BZ377" s="3">
        <f>[1]monsters!$S377</f>
        <v>4.2</v>
      </c>
      <c r="CA377" s="3">
        <f>[1]monsters!$K377</f>
        <v>1.5</v>
      </c>
      <c r="CB377" s="12">
        <f>[1]monsters!$D377</f>
        <v>5</v>
      </c>
      <c r="CC377" s="12">
        <f t="shared" ca="1" si="43"/>
        <v>0.1</v>
      </c>
      <c r="CD377" s="12">
        <f t="shared" ca="1" si="44"/>
        <v>44.908525252525301</v>
      </c>
      <c r="CE377" s="12">
        <f t="shared" ca="1" si="45"/>
        <v>4.4908525252525298</v>
      </c>
      <c r="CS377" s="33"/>
      <c r="CT377" s="33"/>
      <c r="CU377" s="33"/>
      <c r="CV377" s="32"/>
      <c r="CW377" s="32"/>
      <c r="CX377" s="32"/>
      <c r="CY377" s="34"/>
      <c r="CZ377" s="34"/>
      <c r="DA377" s="34"/>
      <c r="DB377" s="33"/>
      <c r="DC377" s="33"/>
      <c r="DD377" s="33"/>
      <c r="DE377" s="33"/>
      <c r="DF377" s="33"/>
      <c r="DG377" s="33"/>
      <c r="DH377" s="34"/>
      <c r="DI377" s="34"/>
      <c r="DJ377" s="34"/>
      <c r="DK377" s="33"/>
      <c r="DL377" s="33"/>
      <c r="DM377" s="33"/>
      <c r="DN377" s="12">
        <v>1203012</v>
      </c>
      <c r="DS377" s="21"/>
      <c r="DT377" s="21"/>
      <c r="DU377" s="21"/>
    </row>
    <row r="378" spans="72:125" ht="13.5" customHeight="1">
      <c r="BT378" s="12">
        <v>1403012</v>
      </c>
      <c r="BU378" s="3">
        <f>[1]monsters!$N378</f>
        <v>313.60000000000002</v>
      </c>
      <c r="BV378" s="3">
        <f>[1]monsters!$O378</f>
        <v>31.36</v>
      </c>
      <c r="BW378" s="3">
        <f>[1]monsters!$P378</f>
        <v>2057.14</v>
      </c>
      <c r="BX378" s="3">
        <f>[1]monsters!$Q378</f>
        <v>205.71</v>
      </c>
      <c r="BY378" s="3">
        <f>[1]monsters!$R378</f>
        <v>39.200000000000003</v>
      </c>
      <c r="BZ378" s="3">
        <f>[1]monsters!$S378</f>
        <v>3.92</v>
      </c>
      <c r="CA378" s="3">
        <f>[1]monsters!$K378</f>
        <v>1.4000000000000001</v>
      </c>
      <c r="CB378" s="12">
        <f>[1]monsters!$D378</f>
        <v>5</v>
      </c>
      <c r="CC378" s="12">
        <f t="shared" ca="1" si="43"/>
        <v>0.1</v>
      </c>
      <c r="CD378" s="12">
        <f t="shared" ca="1" si="44"/>
        <v>41.234472910927401</v>
      </c>
      <c r="CE378" s="12">
        <f t="shared" ca="1" si="45"/>
        <v>4.1234472910927398</v>
      </c>
      <c r="CS378" s="33"/>
      <c r="CT378" s="33"/>
      <c r="CU378" s="33"/>
      <c r="CV378" s="32"/>
      <c r="CW378" s="32"/>
      <c r="CX378" s="32"/>
      <c r="CY378" s="34"/>
      <c r="CZ378" s="34"/>
      <c r="DA378" s="34"/>
      <c r="DB378" s="33"/>
      <c r="DC378" s="33"/>
      <c r="DD378" s="33"/>
      <c r="DE378" s="33"/>
      <c r="DF378" s="33"/>
      <c r="DG378" s="33"/>
      <c r="DH378" s="34"/>
      <c r="DI378" s="34"/>
      <c r="DJ378" s="34"/>
      <c r="DK378" s="33"/>
      <c r="DL378" s="33"/>
      <c r="DM378" s="33"/>
      <c r="DN378" s="12">
        <v>1403012</v>
      </c>
      <c r="DS378" s="21"/>
      <c r="DT378" s="21"/>
      <c r="DU378" s="21"/>
    </row>
    <row r="379" spans="72:125" ht="13.5" customHeight="1">
      <c r="BT379" s="12">
        <v>1204012</v>
      </c>
      <c r="BU379" s="3">
        <f>[1]monsters!$N379</f>
        <v>372</v>
      </c>
      <c r="BV379" s="3">
        <f>[1]monsters!$O379</f>
        <v>37.200000000000003</v>
      </c>
      <c r="BW379" s="3">
        <f>[1]monsters!$P379</f>
        <v>1858.06</v>
      </c>
      <c r="BX379" s="3">
        <f>[1]monsters!$Q379</f>
        <v>185.81</v>
      </c>
      <c r="BY379" s="3">
        <f>[1]monsters!$R379</f>
        <v>37.200000000000003</v>
      </c>
      <c r="BZ379" s="3">
        <f>[1]monsters!$S379</f>
        <v>3.72</v>
      </c>
      <c r="CA379" s="3">
        <f>[1]monsters!$K379</f>
        <v>1.5</v>
      </c>
      <c r="CB379" s="12">
        <f>[1]monsters!$D379</f>
        <v>6</v>
      </c>
      <c r="CC379" s="12">
        <f t="shared" ca="1" si="43"/>
        <v>0.1</v>
      </c>
      <c r="CD379" s="12">
        <f t="shared" ca="1" si="44"/>
        <v>46.420525252525302</v>
      </c>
      <c r="CE379" s="12">
        <f t="shared" ca="1" si="45"/>
        <v>4.64205252525253</v>
      </c>
      <c r="CS379" s="33"/>
      <c r="CT379" s="33"/>
      <c r="CU379" s="33"/>
      <c r="CV379" s="32"/>
      <c r="CW379" s="32"/>
      <c r="CX379" s="32"/>
      <c r="CY379" s="34"/>
      <c r="CZ379" s="34"/>
      <c r="DA379" s="34"/>
      <c r="DB379" s="33"/>
      <c r="DC379" s="33"/>
      <c r="DD379" s="33"/>
      <c r="DE379" s="33"/>
      <c r="DF379" s="33"/>
      <c r="DG379" s="33"/>
      <c r="DH379" s="34"/>
      <c r="DI379" s="34"/>
      <c r="DJ379" s="34"/>
      <c r="DK379" s="33"/>
      <c r="DL379" s="33"/>
      <c r="DM379" s="33"/>
      <c r="DN379" s="12">
        <v>1204012</v>
      </c>
      <c r="DS379" s="21"/>
      <c r="DT379" s="21"/>
      <c r="DU379" s="21"/>
    </row>
    <row r="380" spans="72:125" ht="13.5" customHeight="1">
      <c r="BT380" s="12">
        <v>1404012</v>
      </c>
      <c r="BU380" s="3">
        <f>[1]monsters!$N380</f>
        <v>230.4</v>
      </c>
      <c r="BV380" s="3">
        <f>[1]monsters!$O380</f>
        <v>23.04</v>
      </c>
      <c r="BW380" s="3">
        <f>[1]monsters!$P380</f>
        <v>3600</v>
      </c>
      <c r="BX380" s="3">
        <f>[1]monsters!$Q380</f>
        <v>360</v>
      </c>
      <c r="BY380" s="3">
        <f>[1]monsters!$R380</f>
        <v>76.8</v>
      </c>
      <c r="BZ380" s="3">
        <f>[1]monsters!$S380</f>
        <v>7.68</v>
      </c>
      <c r="CA380" s="3">
        <f>[1]monsters!$K380</f>
        <v>1.8</v>
      </c>
      <c r="CB380" s="12">
        <f>[1]monsters!$D380</f>
        <v>2</v>
      </c>
      <c r="CC380" s="12">
        <f t="shared" ca="1" si="43"/>
        <v>0.1</v>
      </c>
      <c r="CD380" s="12">
        <f t="shared" ca="1" si="44"/>
        <v>49.550472910927397</v>
      </c>
      <c r="CE380" s="12">
        <f t="shared" ca="1" si="45"/>
        <v>4.9550472910927397</v>
      </c>
      <c r="CS380" s="33"/>
      <c r="CT380" s="33"/>
      <c r="CU380" s="33"/>
      <c r="CV380" s="32"/>
      <c r="CW380" s="32"/>
      <c r="CX380" s="32"/>
      <c r="CY380" s="34"/>
      <c r="CZ380" s="34"/>
      <c r="DA380" s="34"/>
      <c r="DB380" s="33"/>
      <c r="DC380" s="33"/>
      <c r="DD380" s="33"/>
      <c r="DE380" s="33"/>
      <c r="DF380" s="33"/>
      <c r="DG380" s="33"/>
      <c r="DH380" s="34"/>
      <c r="DI380" s="34"/>
      <c r="DJ380" s="34"/>
      <c r="DK380" s="33"/>
      <c r="DL380" s="33"/>
      <c r="DM380" s="33"/>
      <c r="DN380" s="12">
        <v>1404012</v>
      </c>
      <c r="DS380" s="21"/>
      <c r="DT380" s="21"/>
      <c r="DU380" s="21"/>
    </row>
    <row r="381" spans="72:125" ht="13.5" customHeight="1">
      <c r="BT381" s="12">
        <v>1303012</v>
      </c>
      <c r="BU381" s="3">
        <f>[1]monsters!$N381</f>
        <v>201.6</v>
      </c>
      <c r="BV381" s="3">
        <f>[1]monsters!$O381</f>
        <v>20.16</v>
      </c>
      <c r="BW381" s="3">
        <f>[1]monsters!$P381</f>
        <v>3200</v>
      </c>
      <c r="BX381" s="3">
        <f>[1]monsters!$Q381</f>
        <v>320</v>
      </c>
      <c r="BY381" s="3">
        <f>[1]monsters!$R381</f>
        <v>40.32</v>
      </c>
      <c r="BZ381" s="3">
        <f>[1]monsters!$S381</f>
        <v>4.03</v>
      </c>
      <c r="CA381" s="3">
        <f>[1]monsters!$K381</f>
        <v>1.4000000000000001</v>
      </c>
      <c r="CB381" s="12">
        <f>[1]monsters!$D381</f>
        <v>3</v>
      </c>
      <c r="CC381" s="12">
        <f t="shared" ca="1" si="43"/>
        <v>0.1</v>
      </c>
      <c r="CD381" s="12">
        <f t="shared" ca="1" si="44"/>
        <v>44.559689113355802</v>
      </c>
      <c r="CE381" s="12">
        <f t="shared" ca="1" si="45"/>
        <v>4.4559689113355798</v>
      </c>
      <c r="CS381" s="33"/>
      <c r="CT381" s="33"/>
      <c r="CU381" s="33"/>
      <c r="CV381" s="32"/>
      <c r="CW381" s="32"/>
      <c r="CX381" s="32"/>
      <c r="CY381" s="34"/>
      <c r="CZ381" s="34"/>
      <c r="DA381" s="34"/>
      <c r="DB381" s="33"/>
      <c r="DC381" s="33"/>
      <c r="DD381" s="33"/>
      <c r="DE381" s="33"/>
      <c r="DF381" s="33"/>
      <c r="DG381" s="33"/>
      <c r="DH381" s="34"/>
      <c r="DI381" s="34"/>
      <c r="DJ381" s="34"/>
      <c r="DK381" s="33"/>
      <c r="DL381" s="33"/>
      <c r="DM381" s="33"/>
      <c r="DN381" s="12">
        <v>1303012</v>
      </c>
      <c r="DS381" s="21"/>
      <c r="DT381" s="21"/>
      <c r="DU381" s="21"/>
    </row>
    <row r="382" spans="72:125" ht="13.5" customHeight="1">
      <c r="BT382" s="12">
        <v>1304012</v>
      </c>
      <c r="BU382" s="3">
        <f>[1]monsters!$N382</f>
        <v>358.4</v>
      </c>
      <c r="BV382" s="3">
        <f>[1]monsters!$O382</f>
        <v>35.840000000000003</v>
      </c>
      <c r="BW382" s="3">
        <f>[1]monsters!$P382</f>
        <v>2057.14</v>
      </c>
      <c r="BX382" s="3">
        <f>[1]monsters!$Q382</f>
        <v>205.71</v>
      </c>
      <c r="BY382" s="3">
        <f>[1]monsters!$R382</f>
        <v>44.8</v>
      </c>
      <c r="BZ382" s="3">
        <f>[1]monsters!$S382</f>
        <v>4.4800000000000004</v>
      </c>
      <c r="CA382" s="3">
        <f>[1]monsters!$K382</f>
        <v>1.6</v>
      </c>
      <c r="CB382" s="12">
        <f>[1]monsters!$D382</f>
        <v>5</v>
      </c>
      <c r="CC382" s="12">
        <f t="shared" ca="1" si="43"/>
        <v>0.1</v>
      </c>
      <c r="CD382" s="12">
        <f t="shared" ca="1" si="44"/>
        <v>46.260689113355802</v>
      </c>
      <c r="CE382" s="12">
        <f t="shared" ca="1" si="45"/>
        <v>4.6260689113355804</v>
      </c>
      <c r="CS382" s="33"/>
      <c r="CT382" s="33"/>
      <c r="CU382" s="33"/>
      <c r="CV382" s="32"/>
      <c r="CW382" s="32"/>
      <c r="CX382" s="32"/>
      <c r="CY382" s="34"/>
      <c r="CZ382" s="34"/>
      <c r="DA382" s="34"/>
      <c r="DB382" s="33"/>
      <c r="DC382" s="33"/>
      <c r="DD382" s="33"/>
      <c r="DE382" s="33"/>
      <c r="DF382" s="33"/>
      <c r="DG382" s="33"/>
      <c r="DH382" s="34"/>
      <c r="DI382" s="34"/>
      <c r="DJ382" s="34"/>
      <c r="DK382" s="33"/>
      <c r="DL382" s="33"/>
      <c r="DM382" s="33"/>
      <c r="DN382" s="12">
        <v>1304012</v>
      </c>
      <c r="DS382" s="21"/>
      <c r="DT382" s="21"/>
      <c r="DU382" s="21"/>
    </row>
    <row r="383" spans="72:125" ht="13.5" customHeight="1">
      <c r="BT383" s="12">
        <v>1503012</v>
      </c>
      <c r="BU383" s="3">
        <f>[1]monsters!$N383</f>
        <v>347.2</v>
      </c>
      <c r="BV383" s="3">
        <f>[1]monsters!$O383</f>
        <v>34.72</v>
      </c>
      <c r="BW383" s="3">
        <f>[1]monsters!$P383</f>
        <v>1858.06</v>
      </c>
      <c r="BX383" s="3">
        <f>[1]monsters!$Q383</f>
        <v>185.81</v>
      </c>
      <c r="BY383" s="3">
        <f>[1]monsters!$R383</f>
        <v>34.72</v>
      </c>
      <c r="BZ383" s="3">
        <f>[1]monsters!$S383</f>
        <v>3.47</v>
      </c>
      <c r="CA383" s="3">
        <f>[1]monsters!$K383</f>
        <v>1.4000000000000001</v>
      </c>
      <c r="CB383" s="12">
        <f>[1]monsters!$D383</f>
        <v>6</v>
      </c>
      <c r="CC383" s="12">
        <f t="shared" ca="1" si="43"/>
        <v>0.1</v>
      </c>
      <c r="CD383" s="12">
        <f t="shared" ca="1" si="44"/>
        <v>53.123016835016799</v>
      </c>
      <c r="CE383" s="12">
        <f t="shared" ca="1" si="45"/>
        <v>5.3123016835016799</v>
      </c>
      <c r="CS383" s="33"/>
      <c r="CT383" s="33"/>
      <c r="CU383" s="33"/>
      <c r="CV383" s="32"/>
      <c r="CW383" s="32"/>
      <c r="CX383" s="32"/>
      <c r="CY383" s="34"/>
      <c r="CZ383" s="34"/>
      <c r="DA383" s="34"/>
      <c r="DB383" s="33"/>
      <c r="DC383" s="33"/>
      <c r="DD383" s="33"/>
      <c r="DE383" s="33"/>
      <c r="DF383" s="33"/>
      <c r="DG383" s="33"/>
      <c r="DH383" s="34"/>
      <c r="DI383" s="34"/>
      <c r="DJ383" s="34"/>
      <c r="DK383" s="33"/>
      <c r="DL383" s="33"/>
      <c r="DM383" s="33"/>
      <c r="DN383" s="12">
        <v>1503012</v>
      </c>
      <c r="DS383" s="21"/>
      <c r="DT383" s="21"/>
      <c r="DU383" s="21"/>
    </row>
    <row r="384" spans="72:125" ht="13.5" customHeight="1">
      <c r="BT384" s="12">
        <v>1504012</v>
      </c>
      <c r="BU384" s="3">
        <f>[1]monsters!$N384</f>
        <v>446.4</v>
      </c>
      <c r="BV384" s="3">
        <f>[1]monsters!$O384</f>
        <v>44.64</v>
      </c>
      <c r="BW384" s="3">
        <f>[1]monsters!$P384</f>
        <v>1858.06</v>
      </c>
      <c r="BX384" s="3">
        <f>[1]monsters!$Q384</f>
        <v>185.81</v>
      </c>
      <c r="BY384" s="3">
        <f>[1]monsters!$R384</f>
        <v>44.64</v>
      </c>
      <c r="BZ384" s="3">
        <f>[1]monsters!$S384</f>
        <v>4.46</v>
      </c>
      <c r="CA384" s="3">
        <f>[1]monsters!$K384</f>
        <v>1.8</v>
      </c>
      <c r="CB384" s="12">
        <f>[1]monsters!$D384</f>
        <v>6</v>
      </c>
      <c r="CC384" s="12">
        <f t="shared" ca="1" si="43"/>
        <v>0.1</v>
      </c>
      <c r="CD384" s="12">
        <f t="shared" ca="1" si="44"/>
        <v>57.6590168350168</v>
      </c>
      <c r="CE384" s="12">
        <f t="shared" ca="1" si="45"/>
        <v>5.7659016835016796</v>
      </c>
      <c r="CS384" s="33"/>
      <c r="CT384" s="33"/>
      <c r="CU384" s="33"/>
      <c r="CV384" s="32"/>
      <c r="CW384" s="32"/>
      <c r="CX384" s="32"/>
      <c r="CY384" s="34"/>
      <c r="CZ384" s="34"/>
      <c r="DA384" s="34"/>
      <c r="DB384" s="33"/>
      <c r="DC384" s="33"/>
      <c r="DD384" s="33"/>
      <c r="DE384" s="33"/>
      <c r="DF384" s="33"/>
      <c r="DG384" s="33"/>
      <c r="DH384" s="34"/>
      <c r="DI384" s="34"/>
      <c r="DJ384" s="34"/>
      <c r="DK384" s="33"/>
      <c r="DL384" s="33"/>
      <c r="DM384" s="33"/>
      <c r="DN384" s="12">
        <v>1504012</v>
      </c>
      <c r="DS384" s="21"/>
      <c r="DT384" s="21"/>
      <c r="DU384" s="21"/>
    </row>
    <row r="385" spans="72:125" ht="13.5" customHeight="1">
      <c r="BT385" s="12">
        <v>1101012</v>
      </c>
      <c r="BU385" s="3">
        <f>[1]monsters!$N385</f>
        <v>259.2</v>
      </c>
      <c r="BV385" s="3">
        <f>[1]monsters!$O385</f>
        <v>25.92</v>
      </c>
      <c r="BW385" s="3">
        <f>[1]monsters!$P385</f>
        <v>3200</v>
      </c>
      <c r="BX385" s="3">
        <f>[1]monsters!$Q385</f>
        <v>320</v>
      </c>
      <c r="BY385" s="3">
        <f>[1]monsters!$R385</f>
        <v>51.84</v>
      </c>
      <c r="BZ385" s="3">
        <f>[1]monsters!$S385</f>
        <v>5.18</v>
      </c>
      <c r="CA385" s="3">
        <f>[1]monsters!$K385</f>
        <v>1.8</v>
      </c>
      <c r="CB385" s="12">
        <f>[1]monsters!$D385</f>
        <v>2</v>
      </c>
      <c r="CC385" s="12">
        <f t="shared" ca="1" si="43"/>
        <v>0.1</v>
      </c>
      <c r="CD385" s="12">
        <f t="shared" ca="1" si="44"/>
        <v>50.442020202020203</v>
      </c>
      <c r="CE385" s="12">
        <f t="shared" ca="1" si="45"/>
        <v>5.0442020202020199</v>
      </c>
      <c r="CS385" s="33"/>
      <c r="CT385" s="33"/>
      <c r="CU385" s="33"/>
      <c r="CV385" s="32"/>
      <c r="CW385" s="32"/>
      <c r="CX385" s="32"/>
      <c r="CY385" s="34"/>
      <c r="CZ385" s="34"/>
      <c r="DA385" s="34"/>
      <c r="DB385" s="33"/>
      <c r="DC385" s="33"/>
      <c r="DD385" s="33"/>
      <c r="DE385" s="33"/>
      <c r="DF385" s="33"/>
      <c r="DG385" s="33"/>
      <c r="DH385" s="34"/>
      <c r="DI385" s="34"/>
      <c r="DJ385" s="34"/>
      <c r="DK385" s="33"/>
      <c r="DL385" s="33"/>
      <c r="DM385" s="33"/>
      <c r="DN385" s="12">
        <v>1101012</v>
      </c>
      <c r="DS385" s="21"/>
      <c r="DT385" s="21"/>
      <c r="DU385" s="21"/>
    </row>
    <row r="386" spans="72:125" ht="13.5" customHeight="1">
      <c r="BT386" s="12">
        <v>1102012</v>
      </c>
      <c r="BU386" s="3">
        <f>[1]monsters!$N386</f>
        <v>187.2</v>
      </c>
      <c r="BV386" s="3">
        <f>[1]monsters!$O386</f>
        <v>18.72</v>
      </c>
      <c r="BW386" s="3">
        <f>[1]monsters!$P386</f>
        <v>3200</v>
      </c>
      <c r="BX386" s="3">
        <f>[1]monsters!$Q386</f>
        <v>320</v>
      </c>
      <c r="BY386" s="3">
        <f>[1]monsters!$R386</f>
        <v>37.44</v>
      </c>
      <c r="BZ386" s="3">
        <f>[1]monsters!$S386</f>
        <v>3.74</v>
      </c>
      <c r="CA386" s="3">
        <f>[1]monsters!$K386</f>
        <v>1.3</v>
      </c>
      <c r="CB386" s="12">
        <f>[1]monsters!$D386</f>
        <v>3</v>
      </c>
      <c r="CC386" s="12">
        <f t="shared" ca="1" si="43"/>
        <v>0.1</v>
      </c>
      <c r="CD386" s="12">
        <f t="shared" ca="1" si="44"/>
        <v>46.662020202020202</v>
      </c>
      <c r="CE386" s="12">
        <f t="shared" ca="1" si="45"/>
        <v>4.6662020202020198</v>
      </c>
      <c r="CS386" s="33"/>
      <c r="CT386" s="33"/>
      <c r="CU386" s="33"/>
      <c r="CV386" s="32"/>
      <c r="CW386" s="32"/>
      <c r="CX386" s="32"/>
      <c r="CY386" s="34"/>
      <c r="CZ386" s="34"/>
      <c r="DA386" s="34"/>
      <c r="DB386" s="33"/>
      <c r="DC386" s="33"/>
      <c r="DD386" s="33"/>
      <c r="DE386" s="33"/>
      <c r="DF386" s="33"/>
      <c r="DG386" s="33"/>
      <c r="DH386" s="34"/>
      <c r="DI386" s="34"/>
      <c r="DJ386" s="34"/>
      <c r="DK386" s="33"/>
      <c r="DL386" s="33"/>
      <c r="DM386" s="33"/>
      <c r="DN386" s="12">
        <v>1102012</v>
      </c>
      <c r="DS386" s="21"/>
      <c r="DT386" s="21"/>
      <c r="DU386" s="21"/>
    </row>
    <row r="387" spans="72:125" ht="13.5" customHeight="1">
      <c r="BT387" s="12">
        <v>1206013</v>
      </c>
      <c r="BU387" s="3">
        <f>[1]monsters!$N387</f>
        <v>201.6</v>
      </c>
      <c r="BV387" s="3">
        <f>[1]monsters!$O387</f>
        <v>20.16</v>
      </c>
      <c r="BW387" s="3">
        <f>[1]monsters!$P387</f>
        <v>3200</v>
      </c>
      <c r="BX387" s="3">
        <f>[1]monsters!$Q387</f>
        <v>320</v>
      </c>
      <c r="BY387" s="3">
        <f>[1]monsters!$R387</f>
        <v>40.32</v>
      </c>
      <c r="BZ387" s="3">
        <f>[1]monsters!$S387</f>
        <v>4.03</v>
      </c>
      <c r="CA387" s="3">
        <f>[1]monsters!$K387</f>
        <v>1.4000000000000001</v>
      </c>
      <c r="CB387" s="12">
        <f>[1]monsters!$D387</f>
        <v>3</v>
      </c>
      <c r="CC387" s="12">
        <f t="shared" ca="1" si="43"/>
        <v>0.1</v>
      </c>
      <c r="CD387" s="12">
        <f t="shared" ca="1" si="44"/>
        <v>50.956525252525303</v>
      </c>
      <c r="CE387" s="12">
        <f t="shared" ca="1" si="45"/>
        <v>5.0956525252525298</v>
      </c>
      <c r="CS387" s="33"/>
      <c r="CT387" s="33"/>
      <c r="CU387" s="33"/>
      <c r="CV387" s="32"/>
      <c r="CW387" s="32"/>
      <c r="CX387" s="32"/>
      <c r="CY387" s="34"/>
      <c r="CZ387" s="34"/>
      <c r="DA387" s="34"/>
      <c r="DB387" s="33"/>
      <c r="DC387" s="33"/>
      <c r="DD387" s="33"/>
      <c r="DE387" s="33"/>
      <c r="DF387" s="33"/>
      <c r="DG387" s="33"/>
      <c r="DH387" s="34"/>
      <c r="DI387" s="34"/>
      <c r="DJ387" s="34"/>
      <c r="DK387" s="33"/>
      <c r="DL387" s="33"/>
      <c r="DM387" s="33"/>
      <c r="DN387" s="12">
        <v>1206013</v>
      </c>
      <c r="DS387" s="21"/>
      <c r="DT387" s="21"/>
      <c r="DU387" s="21"/>
    </row>
    <row r="388" spans="72:125" ht="13.5" customHeight="1">
      <c r="BT388" s="12">
        <v>1406013</v>
      </c>
      <c r="BU388" s="3">
        <f>[1]monsters!$N388</f>
        <v>268.8</v>
      </c>
      <c r="BV388" s="3">
        <f>[1]monsters!$O388</f>
        <v>26.88</v>
      </c>
      <c r="BW388" s="3">
        <f>[1]monsters!$P388</f>
        <v>2400</v>
      </c>
      <c r="BX388" s="3">
        <f>[1]monsters!$Q388</f>
        <v>240</v>
      </c>
      <c r="BY388" s="3">
        <f>[1]monsters!$R388</f>
        <v>38.4</v>
      </c>
      <c r="BZ388" s="3">
        <f>[1]monsters!$S388</f>
        <v>3.84</v>
      </c>
      <c r="CA388" s="3">
        <f>[1]monsters!$K388</f>
        <v>1.4000000000000001</v>
      </c>
      <c r="CB388" s="12">
        <f>[1]monsters!$D388</f>
        <v>4</v>
      </c>
      <c r="CC388" s="12">
        <f t="shared" ref="CC388:CC451" ca="1" si="46">INDEX($CK$5:$CK$10,MATCH($CC388,$CJ$5:$CJ$10))</f>
        <v>0.1</v>
      </c>
      <c r="CD388" s="12">
        <f t="shared" ca="1" si="44"/>
        <v>47.471472910927403</v>
      </c>
      <c r="CE388" s="12">
        <f t="shared" ca="1" si="45"/>
        <v>4.7471472910927401</v>
      </c>
      <c r="CS388" s="33"/>
      <c r="CT388" s="33"/>
      <c r="CU388" s="33"/>
      <c r="CV388" s="32"/>
      <c r="CW388" s="32"/>
      <c r="CX388" s="32"/>
      <c r="CY388" s="34"/>
      <c r="CZ388" s="34"/>
      <c r="DA388" s="34"/>
      <c r="DB388" s="33"/>
      <c r="DC388" s="33"/>
      <c r="DD388" s="33"/>
      <c r="DE388" s="33"/>
      <c r="DF388" s="33"/>
      <c r="DG388" s="33"/>
      <c r="DH388" s="34"/>
      <c r="DI388" s="34"/>
      <c r="DJ388" s="34"/>
      <c r="DK388" s="33"/>
      <c r="DL388" s="33"/>
      <c r="DM388" s="33"/>
      <c r="DN388" s="12">
        <v>1406013</v>
      </c>
      <c r="DS388" s="21"/>
      <c r="DT388" s="21"/>
      <c r="DU388" s="21"/>
    </row>
    <row r="389" spans="72:125" ht="13.5" customHeight="1">
      <c r="BT389" s="12">
        <v>1205013</v>
      </c>
      <c r="BU389" s="3">
        <f>[1]monsters!$N389</f>
        <v>358.4</v>
      </c>
      <c r="BV389" s="3">
        <f>[1]monsters!$O389</f>
        <v>35.840000000000003</v>
      </c>
      <c r="BW389" s="3">
        <f>[1]monsters!$P389</f>
        <v>2057.14</v>
      </c>
      <c r="BX389" s="3">
        <f>[1]monsters!$Q389</f>
        <v>205.71</v>
      </c>
      <c r="BY389" s="3">
        <f>[1]monsters!$R389</f>
        <v>44.8</v>
      </c>
      <c r="BZ389" s="3">
        <f>[1]monsters!$S389</f>
        <v>4.4800000000000004</v>
      </c>
      <c r="CA389" s="3">
        <f>[1]monsters!$K389</f>
        <v>1.6</v>
      </c>
      <c r="CB389" s="12">
        <f>[1]monsters!$D389</f>
        <v>5</v>
      </c>
      <c r="CC389" s="12">
        <f t="shared" ca="1" si="46"/>
        <v>0.1</v>
      </c>
      <c r="CD389" s="12">
        <f t="shared" ref="CD389:CD452" ca="1" si="47">(BW389/33/(1-CC389)/(1-0)+BU389*(1+0.5*0.1)*0.9)</f>
        <v>55.492525252525297</v>
      </c>
      <c r="CE389" s="12">
        <f t="shared" ref="CE389:CE452" ca="1" si="48">(BW389/33/(1-CC389)/(1-0)+BU389*(1+0.5*0.1)*0.9)*0.1</f>
        <v>5.5492525252525304</v>
      </c>
      <c r="CS389" s="33"/>
      <c r="CT389" s="33"/>
      <c r="CU389" s="33"/>
      <c r="CV389" s="32"/>
      <c r="CW389" s="32"/>
      <c r="CX389" s="32"/>
      <c r="CY389" s="34"/>
      <c r="CZ389" s="34"/>
      <c r="DA389" s="34"/>
      <c r="DB389" s="33"/>
      <c r="DC389" s="33"/>
      <c r="DD389" s="33"/>
      <c r="DE389" s="33"/>
      <c r="DF389" s="33"/>
      <c r="DG389" s="33"/>
      <c r="DH389" s="34"/>
      <c r="DI389" s="34"/>
      <c r="DJ389" s="34"/>
      <c r="DK389" s="33"/>
      <c r="DL389" s="33"/>
      <c r="DM389" s="33"/>
      <c r="DN389" s="12">
        <v>1205013</v>
      </c>
      <c r="DS389" s="21"/>
      <c r="DT389" s="21"/>
      <c r="DU389" s="21"/>
    </row>
    <row r="390" spans="72:125" ht="13.5" customHeight="1">
      <c r="BT390" s="12">
        <v>1405013</v>
      </c>
      <c r="BU390" s="3">
        <f>[1]monsters!$N390</f>
        <v>256</v>
      </c>
      <c r="BV390" s="3">
        <f>[1]monsters!$O390</f>
        <v>25.6</v>
      </c>
      <c r="BW390" s="3">
        <f>[1]monsters!$P390</f>
        <v>3072</v>
      </c>
      <c r="BX390" s="3">
        <f>[1]monsters!$Q390</f>
        <v>307.2</v>
      </c>
      <c r="BY390" s="3">
        <f>[1]monsters!$R390</f>
        <v>64</v>
      </c>
      <c r="BZ390" s="3">
        <f>[1]monsters!$S390</f>
        <v>6.4</v>
      </c>
      <c r="CA390" s="3">
        <f>[1]monsters!$K390</f>
        <v>1.5</v>
      </c>
      <c r="CB390" s="12">
        <f>[1]monsters!$D390</f>
        <v>2</v>
      </c>
      <c r="CC390" s="12">
        <f t="shared" ca="1" si="46"/>
        <v>0.1</v>
      </c>
      <c r="CD390" s="12">
        <f t="shared" ca="1" si="47"/>
        <v>49.550472910927397</v>
      </c>
      <c r="CE390" s="12">
        <f t="shared" ca="1" si="48"/>
        <v>4.9550472910927397</v>
      </c>
      <c r="CS390" s="33"/>
      <c r="CT390" s="33"/>
      <c r="CU390" s="33"/>
      <c r="CV390" s="32"/>
      <c r="CW390" s="32"/>
      <c r="CX390" s="32"/>
      <c r="CY390" s="34"/>
      <c r="CZ390" s="34"/>
      <c r="DA390" s="34"/>
      <c r="DB390" s="33"/>
      <c r="DC390" s="33"/>
      <c r="DD390" s="33"/>
      <c r="DE390" s="33"/>
      <c r="DF390" s="33"/>
      <c r="DG390" s="33"/>
      <c r="DH390" s="34"/>
      <c r="DI390" s="34"/>
      <c r="DJ390" s="34"/>
      <c r="DK390" s="33"/>
      <c r="DL390" s="33"/>
      <c r="DM390" s="33"/>
      <c r="DN390" s="12">
        <v>1405013</v>
      </c>
      <c r="DS390" s="21"/>
      <c r="DT390" s="21"/>
      <c r="DU390" s="21"/>
    </row>
    <row r="391" spans="72:125" ht="13.5" customHeight="1">
      <c r="BT391" s="12">
        <v>1203013</v>
      </c>
      <c r="BU391" s="3">
        <f>[1]monsters!$N391</f>
        <v>245.76</v>
      </c>
      <c r="BV391" s="3">
        <f>[1]monsters!$O391</f>
        <v>24.58</v>
      </c>
      <c r="BW391" s="3">
        <f>[1]monsters!$P391</f>
        <v>3840</v>
      </c>
      <c r="BX391" s="3">
        <f>[1]monsters!$Q391</f>
        <v>384</v>
      </c>
      <c r="BY391" s="3">
        <f>[1]monsters!$R391</f>
        <v>81.92</v>
      </c>
      <c r="BZ391" s="3">
        <f>[1]monsters!$S391</f>
        <v>8.19</v>
      </c>
      <c r="CA391" s="3">
        <f>[1]monsters!$K391</f>
        <v>1.8</v>
      </c>
      <c r="CB391" s="12">
        <f>[1]monsters!$D391</f>
        <v>2</v>
      </c>
      <c r="CC391" s="12">
        <f t="shared" ca="1" si="46"/>
        <v>0.1</v>
      </c>
      <c r="CD391" s="12">
        <f t="shared" ca="1" si="47"/>
        <v>44.908525252525301</v>
      </c>
      <c r="CE391" s="12">
        <f t="shared" ca="1" si="48"/>
        <v>4.4908525252525298</v>
      </c>
      <c r="CS391" s="33"/>
      <c r="CT391" s="33"/>
      <c r="CU391" s="33"/>
      <c r="CV391" s="32"/>
      <c r="CW391" s="32"/>
      <c r="CX391" s="32"/>
      <c r="CY391" s="34"/>
      <c r="CZ391" s="34"/>
      <c r="DA391" s="34"/>
      <c r="DB391" s="33"/>
      <c r="DC391" s="33"/>
      <c r="DD391" s="33"/>
      <c r="DE391" s="33"/>
      <c r="DF391" s="33"/>
      <c r="DG391" s="33"/>
      <c r="DH391" s="34"/>
      <c r="DI391" s="34"/>
      <c r="DJ391" s="34"/>
      <c r="DK391" s="33"/>
      <c r="DL391" s="33"/>
      <c r="DM391" s="33"/>
      <c r="DN391" s="12">
        <v>1203013</v>
      </c>
      <c r="DS391" s="21"/>
      <c r="DT391" s="21"/>
      <c r="DU391" s="21"/>
    </row>
    <row r="392" spans="72:125" ht="13.5" customHeight="1">
      <c r="BT392" s="12">
        <v>1403013</v>
      </c>
      <c r="BU392" s="3">
        <f>[1]monsters!$N392</f>
        <v>276.48</v>
      </c>
      <c r="BV392" s="3">
        <f>[1]monsters!$O392</f>
        <v>27.65</v>
      </c>
      <c r="BW392" s="3">
        <f>[1]monsters!$P392</f>
        <v>3413.33</v>
      </c>
      <c r="BX392" s="3">
        <f>[1]monsters!$Q392</f>
        <v>341.33</v>
      </c>
      <c r="BY392" s="3">
        <f>[1]monsters!$R392</f>
        <v>55.3</v>
      </c>
      <c r="BZ392" s="3">
        <f>[1]monsters!$S392</f>
        <v>5.53</v>
      </c>
      <c r="CA392" s="3">
        <f>[1]monsters!$K392</f>
        <v>1.8</v>
      </c>
      <c r="CB392" s="12">
        <f>[1]monsters!$D392</f>
        <v>2</v>
      </c>
      <c r="CC392" s="12">
        <f t="shared" ca="1" si="46"/>
        <v>0.1</v>
      </c>
      <c r="CD392" s="12">
        <f t="shared" ca="1" si="47"/>
        <v>41.234472910927401</v>
      </c>
      <c r="CE392" s="12">
        <f t="shared" ca="1" si="48"/>
        <v>4.1234472910927398</v>
      </c>
      <c r="CS392" s="33"/>
      <c r="CT392" s="33"/>
      <c r="CU392" s="33"/>
      <c r="CV392" s="32"/>
      <c r="CW392" s="32"/>
      <c r="CX392" s="32"/>
      <c r="CY392" s="34"/>
      <c r="CZ392" s="34"/>
      <c r="DA392" s="34"/>
      <c r="DB392" s="33"/>
      <c r="DC392" s="33"/>
      <c r="DD392" s="33"/>
      <c r="DE392" s="33"/>
      <c r="DF392" s="33"/>
      <c r="DG392" s="33"/>
      <c r="DH392" s="34"/>
      <c r="DI392" s="34"/>
      <c r="DJ392" s="34"/>
      <c r="DK392" s="33"/>
      <c r="DL392" s="33"/>
      <c r="DM392" s="33"/>
      <c r="DN392" s="12">
        <v>1403013</v>
      </c>
      <c r="DS392" s="21"/>
      <c r="DT392" s="21"/>
      <c r="DU392" s="21"/>
    </row>
    <row r="393" spans="72:125" ht="13.5" customHeight="1">
      <c r="BT393" s="12">
        <v>1204013</v>
      </c>
      <c r="BU393" s="3">
        <f>[1]monsters!$N393</f>
        <v>184.32</v>
      </c>
      <c r="BV393" s="3">
        <f>[1]monsters!$O393</f>
        <v>18.43</v>
      </c>
      <c r="BW393" s="3">
        <f>[1]monsters!$P393</f>
        <v>3413.33</v>
      </c>
      <c r="BX393" s="3">
        <f>[1]monsters!$Q393</f>
        <v>341.33</v>
      </c>
      <c r="BY393" s="3">
        <f>[1]monsters!$R393</f>
        <v>36.86</v>
      </c>
      <c r="BZ393" s="3">
        <f>[1]monsters!$S393</f>
        <v>3.69</v>
      </c>
      <c r="CA393" s="3">
        <f>[1]monsters!$K393</f>
        <v>1.2</v>
      </c>
      <c r="CB393" s="12">
        <f>[1]monsters!$D393</f>
        <v>3</v>
      </c>
      <c r="CC393" s="12">
        <f t="shared" ca="1" si="46"/>
        <v>0.1</v>
      </c>
      <c r="CD393" s="12">
        <f t="shared" ca="1" si="47"/>
        <v>46.420525252525302</v>
      </c>
      <c r="CE393" s="12">
        <f t="shared" ca="1" si="48"/>
        <v>4.64205252525253</v>
      </c>
      <c r="CS393" s="33"/>
      <c r="CT393" s="33"/>
      <c r="CU393" s="33"/>
      <c r="CV393" s="32"/>
      <c r="CW393" s="32"/>
      <c r="CX393" s="32"/>
      <c r="CY393" s="34"/>
      <c r="CZ393" s="34"/>
      <c r="DA393" s="34"/>
      <c r="DB393" s="33"/>
      <c r="DC393" s="33"/>
      <c r="DD393" s="33"/>
      <c r="DE393" s="33"/>
      <c r="DF393" s="33"/>
      <c r="DG393" s="33"/>
      <c r="DH393" s="34"/>
      <c r="DI393" s="34"/>
      <c r="DJ393" s="34"/>
      <c r="DK393" s="33"/>
      <c r="DL393" s="33"/>
      <c r="DM393" s="33"/>
      <c r="DN393" s="12">
        <v>1204013</v>
      </c>
      <c r="DS393" s="21"/>
      <c r="DT393" s="21"/>
      <c r="DU393" s="21"/>
    </row>
    <row r="394" spans="72:125" ht="13.5" customHeight="1">
      <c r="BT394" s="12">
        <v>1404013</v>
      </c>
      <c r="BU394" s="3">
        <f>[1]monsters!$N394</f>
        <v>327.68</v>
      </c>
      <c r="BV394" s="3">
        <f>[1]monsters!$O394</f>
        <v>32.770000000000003</v>
      </c>
      <c r="BW394" s="3">
        <f>[1]monsters!$P394</f>
        <v>2560</v>
      </c>
      <c r="BX394" s="3">
        <f>[1]monsters!$Q394</f>
        <v>256</v>
      </c>
      <c r="BY394" s="3">
        <f>[1]monsters!$R394</f>
        <v>46.81</v>
      </c>
      <c r="BZ394" s="3">
        <f>[1]monsters!$S394</f>
        <v>4.68</v>
      </c>
      <c r="CA394" s="3">
        <f>[1]monsters!$K394</f>
        <v>1.6</v>
      </c>
      <c r="CB394" s="12">
        <f>[1]monsters!$D394</f>
        <v>4</v>
      </c>
      <c r="CC394" s="12">
        <f t="shared" ca="1" si="46"/>
        <v>0.1</v>
      </c>
      <c r="CD394" s="12">
        <f t="shared" ca="1" si="47"/>
        <v>49.550472910927397</v>
      </c>
      <c r="CE394" s="12">
        <f t="shared" ca="1" si="48"/>
        <v>4.9550472910927397</v>
      </c>
      <c r="CS394" s="33"/>
      <c r="CT394" s="33"/>
      <c r="CU394" s="33"/>
      <c r="CV394" s="32"/>
      <c r="CW394" s="32"/>
      <c r="CX394" s="32"/>
      <c r="CY394" s="34"/>
      <c r="CZ394" s="34"/>
      <c r="DA394" s="34"/>
      <c r="DB394" s="33"/>
      <c r="DC394" s="33"/>
      <c r="DD394" s="33"/>
      <c r="DE394" s="33"/>
      <c r="DF394" s="33"/>
      <c r="DG394" s="33"/>
      <c r="DH394" s="34"/>
      <c r="DI394" s="34"/>
      <c r="DJ394" s="34"/>
      <c r="DK394" s="33"/>
      <c r="DL394" s="33"/>
      <c r="DM394" s="33"/>
      <c r="DN394" s="12">
        <v>1404013</v>
      </c>
      <c r="DS394" s="21"/>
      <c r="DT394" s="21"/>
      <c r="DU394" s="21"/>
    </row>
    <row r="395" spans="72:125" ht="13.5" customHeight="1">
      <c r="BT395" s="12">
        <v>1303013</v>
      </c>
      <c r="BU395" s="3">
        <f>[1]monsters!$N395</f>
        <v>307.2</v>
      </c>
      <c r="BV395" s="3">
        <f>[1]monsters!$O395</f>
        <v>30.72</v>
      </c>
      <c r="BW395" s="3">
        <f>[1]monsters!$P395</f>
        <v>2560</v>
      </c>
      <c r="BX395" s="3">
        <f>[1]monsters!$Q395</f>
        <v>256</v>
      </c>
      <c r="BY395" s="3">
        <f>[1]monsters!$R395</f>
        <v>43.89</v>
      </c>
      <c r="BZ395" s="3">
        <f>[1]monsters!$S395</f>
        <v>4.3899999999999997</v>
      </c>
      <c r="CA395" s="3">
        <f>[1]monsters!$K395</f>
        <v>1.5</v>
      </c>
      <c r="CB395" s="12">
        <f>[1]monsters!$D395</f>
        <v>4</v>
      </c>
      <c r="CC395" s="12">
        <f t="shared" ca="1" si="46"/>
        <v>0.1</v>
      </c>
      <c r="CD395" s="12">
        <f t="shared" ca="1" si="47"/>
        <v>44.559689113355802</v>
      </c>
      <c r="CE395" s="12">
        <f t="shared" ca="1" si="48"/>
        <v>4.4559689113355798</v>
      </c>
      <c r="CS395" s="33"/>
      <c r="CT395" s="33"/>
      <c r="CU395" s="33"/>
      <c r="CV395" s="32"/>
      <c r="CW395" s="32"/>
      <c r="CX395" s="32"/>
      <c r="CY395" s="34"/>
      <c r="CZ395" s="34"/>
      <c r="DA395" s="34"/>
      <c r="DB395" s="33"/>
      <c r="DC395" s="33"/>
      <c r="DD395" s="33"/>
      <c r="DE395" s="33"/>
      <c r="DF395" s="33"/>
      <c r="DG395" s="33"/>
      <c r="DH395" s="34"/>
      <c r="DI395" s="34"/>
      <c r="DJ395" s="34"/>
      <c r="DK395" s="33"/>
      <c r="DL395" s="33"/>
      <c r="DM395" s="33"/>
      <c r="DN395" s="12">
        <v>1303013</v>
      </c>
      <c r="DS395" s="21"/>
      <c r="DT395" s="21"/>
      <c r="DU395" s="21"/>
    </row>
    <row r="396" spans="72:125" ht="13.5" customHeight="1">
      <c r="BT396" s="12">
        <v>1304013</v>
      </c>
      <c r="BU396" s="3">
        <f>[1]monsters!$N396</f>
        <v>358.4</v>
      </c>
      <c r="BV396" s="3">
        <f>[1]monsters!$O396</f>
        <v>35.840000000000003</v>
      </c>
      <c r="BW396" s="3">
        <f>[1]monsters!$P396</f>
        <v>2194.29</v>
      </c>
      <c r="BX396" s="3">
        <f>[1]monsters!$Q396</f>
        <v>219.43</v>
      </c>
      <c r="BY396" s="3">
        <f>[1]monsters!$R396</f>
        <v>44.8</v>
      </c>
      <c r="BZ396" s="3">
        <f>[1]monsters!$S396</f>
        <v>4.4800000000000004</v>
      </c>
      <c r="CA396" s="3">
        <f>[1]monsters!$K396</f>
        <v>1.5</v>
      </c>
      <c r="CB396" s="12">
        <f>[1]monsters!$D396</f>
        <v>5</v>
      </c>
      <c r="CC396" s="12">
        <f t="shared" ca="1" si="46"/>
        <v>0.1</v>
      </c>
      <c r="CD396" s="12">
        <f t="shared" ca="1" si="47"/>
        <v>46.260689113355802</v>
      </c>
      <c r="CE396" s="12">
        <f t="shared" ca="1" si="48"/>
        <v>4.6260689113355804</v>
      </c>
      <c r="CS396" s="33"/>
      <c r="CT396" s="33"/>
      <c r="CU396" s="33"/>
      <c r="CV396" s="32"/>
      <c r="CW396" s="32"/>
      <c r="CX396" s="32"/>
      <c r="CY396" s="34"/>
      <c r="CZ396" s="34"/>
      <c r="DA396" s="34"/>
      <c r="DB396" s="33"/>
      <c r="DC396" s="33"/>
      <c r="DD396" s="33"/>
      <c r="DE396" s="33"/>
      <c r="DF396" s="33"/>
      <c r="DG396" s="33"/>
      <c r="DH396" s="34"/>
      <c r="DI396" s="34"/>
      <c r="DJ396" s="34"/>
      <c r="DK396" s="33"/>
      <c r="DL396" s="33"/>
      <c r="DM396" s="33"/>
      <c r="DN396" s="12">
        <v>1304013</v>
      </c>
      <c r="DS396" s="21"/>
      <c r="DT396" s="21"/>
      <c r="DU396" s="21"/>
    </row>
    <row r="397" spans="72:125" ht="13.5" customHeight="1">
      <c r="BT397" s="12">
        <v>1503013</v>
      </c>
      <c r="BU397" s="3">
        <f>[1]monsters!$N397</f>
        <v>334.51</v>
      </c>
      <c r="BV397" s="3">
        <f>[1]monsters!$O397</f>
        <v>33.450000000000003</v>
      </c>
      <c r="BW397" s="3">
        <f>[1]monsters!$P397</f>
        <v>2194.29</v>
      </c>
      <c r="BX397" s="3">
        <f>[1]monsters!$Q397</f>
        <v>219.43</v>
      </c>
      <c r="BY397" s="3">
        <f>[1]monsters!$R397</f>
        <v>41.81</v>
      </c>
      <c r="BZ397" s="3">
        <f>[1]monsters!$S397</f>
        <v>4.18</v>
      </c>
      <c r="CA397" s="3">
        <f>[1]monsters!$K397</f>
        <v>1.4000000000000001</v>
      </c>
      <c r="CB397" s="12">
        <f>[1]monsters!$D397</f>
        <v>5</v>
      </c>
      <c r="CC397" s="12">
        <f t="shared" ca="1" si="46"/>
        <v>0.1</v>
      </c>
      <c r="CD397" s="12">
        <f t="shared" ca="1" si="47"/>
        <v>53.123016835016799</v>
      </c>
      <c r="CE397" s="12">
        <f t="shared" ca="1" si="48"/>
        <v>5.3123016835016799</v>
      </c>
      <c r="CS397" s="33"/>
      <c r="CT397" s="33"/>
      <c r="CU397" s="33"/>
      <c r="CV397" s="32"/>
      <c r="CW397" s="32"/>
      <c r="CX397" s="32"/>
      <c r="CY397" s="34"/>
      <c r="CZ397" s="34"/>
      <c r="DA397" s="34"/>
      <c r="DB397" s="33"/>
      <c r="DC397" s="33"/>
      <c r="DD397" s="33"/>
      <c r="DE397" s="33"/>
      <c r="DF397" s="33"/>
      <c r="DG397" s="33"/>
      <c r="DH397" s="34"/>
      <c r="DI397" s="34"/>
      <c r="DJ397" s="34"/>
      <c r="DK397" s="33"/>
      <c r="DL397" s="33"/>
      <c r="DM397" s="33"/>
      <c r="DN397" s="12">
        <v>1503013</v>
      </c>
      <c r="DS397" s="21"/>
      <c r="DT397" s="21"/>
      <c r="DU397" s="21"/>
    </row>
    <row r="398" spans="72:125" ht="13.5" customHeight="1">
      <c r="BT398" s="12">
        <v>1504013</v>
      </c>
      <c r="BU398" s="3">
        <f>[1]monsters!$N398</f>
        <v>396.8</v>
      </c>
      <c r="BV398" s="3">
        <f>[1]monsters!$O398</f>
        <v>39.68</v>
      </c>
      <c r="BW398" s="3">
        <f>[1]monsters!$P398</f>
        <v>1981.94</v>
      </c>
      <c r="BX398" s="3">
        <f>[1]monsters!$Q398</f>
        <v>198.19</v>
      </c>
      <c r="BY398" s="3">
        <f>[1]monsters!$R398</f>
        <v>39.68</v>
      </c>
      <c r="BZ398" s="3">
        <f>[1]monsters!$S398</f>
        <v>3.97</v>
      </c>
      <c r="CA398" s="3">
        <f>[1]monsters!$K398</f>
        <v>1.5</v>
      </c>
      <c r="CB398" s="12">
        <f>[1]monsters!$D398</f>
        <v>6</v>
      </c>
      <c r="CC398" s="12">
        <f t="shared" ca="1" si="46"/>
        <v>0.1</v>
      </c>
      <c r="CD398" s="12">
        <f t="shared" ca="1" si="47"/>
        <v>57.6590168350168</v>
      </c>
      <c r="CE398" s="12">
        <f t="shared" ca="1" si="48"/>
        <v>5.7659016835016796</v>
      </c>
      <c r="CS398" s="33"/>
      <c r="CT398" s="33"/>
      <c r="CU398" s="33"/>
      <c r="CV398" s="32"/>
      <c r="CW398" s="32"/>
      <c r="CX398" s="32"/>
      <c r="CY398" s="34"/>
      <c r="CZ398" s="34"/>
      <c r="DA398" s="34"/>
      <c r="DB398" s="33"/>
      <c r="DC398" s="33"/>
      <c r="DD398" s="33"/>
      <c r="DE398" s="33"/>
      <c r="DF398" s="33"/>
      <c r="DG398" s="33"/>
      <c r="DH398" s="34"/>
      <c r="DI398" s="34"/>
      <c r="DJ398" s="34"/>
      <c r="DK398" s="33"/>
      <c r="DL398" s="33"/>
      <c r="DM398" s="33"/>
      <c r="DN398" s="12">
        <v>1504013</v>
      </c>
      <c r="DS398" s="21"/>
      <c r="DT398" s="21"/>
      <c r="DU398" s="21"/>
    </row>
    <row r="399" spans="72:125" ht="13.5" customHeight="1">
      <c r="BT399" s="12">
        <v>1101013</v>
      </c>
      <c r="BU399" s="3">
        <f>[1]monsters!$N399</f>
        <v>256</v>
      </c>
      <c r="BV399" s="3">
        <f>[1]monsters!$O399</f>
        <v>25.6</v>
      </c>
      <c r="BW399" s="3">
        <f>[1]monsters!$P399</f>
        <v>3072</v>
      </c>
      <c r="BX399" s="3">
        <f>[1]monsters!$Q399</f>
        <v>307.2</v>
      </c>
      <c r="BY399" s="3">
        <f>[1]monsters!$R399</f>
        <v>64</v>
      </c>
      <c r="BZ399" s="3">
        <f>[1]monsters!$S399</f>
        <v>6.4</v>
      </c>
      <c r="CA399" s="3">
        <f>[1]monsters!$K399</f>
        <v>1.5</v>
      </c>
      <c r="CB399" s="12">
        <f>[1]monsters!$D399</f>
        <v>2</v>
      </c>
      <c r="CC399" s="12">
        <f t="shared" ca="1" si="46"/>
        <v>0.1</v>
      </c>
      <c r="CD399" s="12">
        <f t="shared" ca="1" si="47"/>
        <v>50.442020202020203</v>
      </c>
      <c r="CE399" s="12">
        <f t="shared" ca="1" si="48"/>
        <v>5.0442020202020199</v>
      </c>
      <c r="CS399" s="33"/>
      <c r="CT399" s="33"/>
      <c r="CU399" s="33"/>
      <c r="CV399" s="32"/>
      <c r="CW399" s="32"/>
      <c r="CX399" s="32"/>
      <c r="CY399" s="34"/>
      <c r="CZ399" s="34"/>
      <c r="DA399" s="34"/>
      <c r="DB399" s="33"/>
      <c r="DC399" s="33"/>
      <c r="DD399" s="33"/>
      <c r="DE399" s="33"/>
      <c r="DF399" s="33"/>
      <c r="DG399" s="33"/>
      <c r="DH399" s="34"/>
      <c r="DI399" s="34"/>
      <c r="DJ399" s="34"/>
      <c r="DK399" s="33"/>
      <c r="DL399" s="33"/>
      <c r="DM399" s="33"/>
      <c r="DN399" s="12">
        <v>1101013</v>
      </c>
      <c r="DS399" s="21"/>
      <c r="DT399" s="21"/>
      <c r="DU399" s="21"/>
    </row>
    <row r="400" spans="72:125" ht="13.5" customHeight="1">
      <c r="BT400" s="12">
        <v>1102013</v>
      </c>
      <c r="BU400" s="3">
        <f>[1]monsters!$N400</f>
        <v>245.76</v>
      </c>
      <c r="BV400" s="3">
        <f>[1]monsters!$O400</f>
        <v>24.58</v>
      </c>
      <c r="BW400" s="3">
        <f>[1]monsters!$P400</f>
        <v>3840</v>
      </c>
      <c r="BX400" s="3">
        <f>[1]monsters!$Q400</f>
        <v>384</v>
      </c>
      <c r="BY400" s="3">
        <f>[1]monsters!$R400</f>
        <v>81.92</v>
      </c>
      <c r="BZ400" s="3">
        <f>[1]monsters!$S400</f>
        <v>8.19</v>
      </c>
      <c r="CA400" s="3">
        <f>[1]monsters!$K400</f>
        <v>1.8</v>
      </c>
      <c r="CB400" s="12">
        <f>[1]monsters!$D400</f>
        <v>2</v>
      </c>
      <c r="CC400" s="12">
        <f t="shared" ca="1" si="46"/>
        <v>0.1</v>
      </c>
      <c r="CD400" s="12">
        <f t="shared" ca="1" si="47"/>
        <v>46.662020202020202</v>
      </c>
      <c r="CE400" s="12">
        <f t="shared" ca="1" si="48"/>
        <v>4.6662020202020198</v>
      </c>
      <c r="CS400" s="33"/>
      <c r="CT400" s="33"/>
      <c r="CU400" s="33"/>
      <c r="CV400" s="32"/>
      <c r="CW400" s="32"/>
      <c r="CX400" s="32"/>
      <c r="CY400" s="34"/>
      <c r="CZ400" s="34"/>
      <c r="DA400" s="34"/>
      <c r="DB400" s="33"/>
      <c r="DC400" s="33"/>
      <c r="DD400" s="33"/>
      <c r="DE400" s="33"/>
      <c r="DF400" s="33"/>
      <c r="DG400" s="33"/>
      <c r="DH400" s="34"/>
      <c r="DI400" s="34"/>
      <c r="DJ400" s="34"/>
      <c r="DK400" s="33"/>
      <c r="DL400" s="33"/>
      <c r="DM400" s="33"/>
      <c r="DN400" s="12">
        <v>1102013</v>
      </c>
      <c r="DS400" s="21"/>
      <c r="DT400" s="21"/>
      <c r="DU400" s="21"/>
    </row>
    <row r="401" spans="72:125" ht="13.5" customHeight="1">
      <c r="BT401" s="12">
        <v>1206014</v>
      </c>
      <c r="BU401" s="3">
        <f>[1]monsters!$N401</f>
        <v>276.48</v>
      </c>
      <c r="BV401" s="3">
        <f>[1]monsters!$O401</f>
        <v>27.65</v>
      </c>
      <c r="BW401" s="3">
        <f>[1]monsters!$P401</f>
        <v>3413.33</v>
      </c>
      <c r="BX401" s="3">
        <f>[1]monsters!$Q401</f>
        <v>341.33</v>
      </c>
      <c r="BY401" s="3">
        <f>[1]monsters!$R401</f>
        <v>55.3</v>
      </c>
      <c r="BZ401" s="3">
        <f>[1]monsters!$S401</f>
        <v>5.53</v>
      </c>
      <c r="CA401" s="3">
        <f>[1]monsters!$K401</f>
        <v>1.8</v>
      </c>
      <c r="CB401" s="12">
        <f>[1]monsters!$D401</f>
        <v>2</v>
      </c>
      <c r="CC401" s="12">
        <f t="shared" ca="1" si="46"/>
        <v>0.1</v>
      </c>
      <c r="CD401" s="12">
        <f t="shared" ca="1" si="47"/>
        <v>50.956525252525303</v>
      </c>
      <c r="CE401" s="12">
        <f t="shared" ca="1" si="48"/>
        <v>5.0956525252525298</v>
      </c>
      <c r="CS401" s="33"/>
      <c r="CT401" s="33"/>
      <c r="CU401" s="33"/>
      <c r="CV401" s="32"/>
      <c r="CW401" s="32"/>
      <c r="CX401" s="32"/>
      <c r="CY401" s="34"/>
      <c r="CZ401" s="34"/>
      <c r="DA401" s="34"/>
      <c r="DB401" s="33"/>
      <c r="DC401" s="33"/>
      <c r="DD401" s="33"/>
      <c r="DE401" s="33"/>
      <c r="DF401" s="33"/>
      <c r="DG401" s="33"/>
      <c r="DH401" s="34"/>
      <c r="DI401" s="34"/>
      <c r="DJ401" s="34"/>
      <c r="DK401" s="33"/>
      <c r="DL401" s="33"/>
      <c r="DM401" s="33"/>
      <c r="DN401" s="12">
        <v>1206014</v>
      </c>
      <c r="DS401" s="21"/>
      <c r="DT401" s="21"/>
      <c r="DU401" s="21"/>
    </row>
    <row r="402" spans="72:125" ht="13.5" customHeight="1">
      <c r="BT402" s="12">
        <v>1406014</v>
      </c>
      <c r="BU402" s="3">
        <f>[1]monsters!$N402</f>
        <v>184.32</v>
      </c>
      <c r="BV402" s="3">
        <f>[1]monsters!$O402</f>
        <v>18.43</v>
      </c>
      <c r="BW402" s="3">
        <f>[1]monsters!$P402</f>
        <v>3413.33</v>
      </c>
      <c r="BX402" s="3">
        <f>[1]monsters!$Q402</f>
        <v>341.33</v>
      </c>
      <c r="BY402" s="3">
        <f>[1]monsters!$R402</f>
        <v>36.86</v>
      </c>
      <c r="BZ402" s="3">
        <f>[1]monsters!$S402</f>
        <v>3.69</v>
      </c>
      <c r="CA402" s="3">
        <f>[1]monsters!$K402</f>
        <v>1.2</v>
      </c>
      <c r="CB402" s="12">
        <f>[1]monsters!$D402</f>
        <v>3</v>
      </c>
      <c r="CC402" s="12">
        <f t="shared" ca="1" si="46"/>
        <v>0.1</v>
      </c>
      <c r="CD402" s="12">
        <f t="shared" ca="1" si="47"/>
        <v>47.471472910927403</v>
      </c>
      <c r="CE402" s="12">
        <f t="shared" ca="1" si="48"/>
        <v>4.7471472910927401</v>
      </c>
      <c r="CS402" s="33"/>
      <c r="CT402" s="33"/>
      <c r="CU402" s="33"/>
      <c r="CV402" s="32"/>
      <c r="CW402" s="32"/>
      <c r="CX402" s="32"/>
      <c r="CY402" s="34"/>
      <c r="CZ402" s="34"/>
      <c r="DA402" s="34"/>
      <c r="DB402" s="33"/>
      <c r="DC402" s="33"/>
      <c r="DD402" s="33"/>
      <c r="DE402" s="33"/>
      <c r="DF402" s="33"/>
      <c r="DG402" s="33"/>
      <c r="DH402" s="34"/>
      <c r="DI402" s="34"/>
      <c r="DJ402" s="34"/>
      <c r="DK402" s="33"/>
      <c r="DL402" s="33"/>
      <c r="DM402" s="33"/>
      <c r="DN402" s="12">
        <v>1406014</v>
      </c>
      <c r="DS402" s="21"/>
      <c r="DT402" s="21"/>
      <c r="DU402" s="21"/>
    </row>
    <row r="403" spans="72:125" ht="13.5" customHeight="1">
      <c r="BT403" s="12">
        <v>1205014</v>
      </c>
      <c r="BU403" s="3">
        <f>[1]monsters!$N403</f>
        <v>327.68</v>
      </c>
      <c r="BV403" s="3">
        <f>[1]monsters!$O403</f>
        <v>32.770000000000003</v>
      </c>
      <c r="BW403" s="3">
        <f>[1]monsters!$P403</f>
        <v>2560</v>
      </c>
      <c r="BX403" s="3">
        <f>[1]monsters!$Q403</f>
        <v>256</v>
      </c>
      <c r="BY403" s="3">
        <f>[1]monsters!$R403</f>
        <v>46.81</v>
      </c>
      <c r="BZ403" s="3">
        <f>[1]monsters!$S403</f>
        <v>4.68</v>
      </c>
      <c r="CA403" s="3">
        <f>[1]monsters!$K403</f>
        <v>1.6</v>
      </c>
      <c r="CB403" s="12">
        <f>[1]monsters!$D403</f>
        <v>4</v>
      </c>
      <c r="CC403" s="12">
        <f t="shared" ca="1" si="46"/>
        <v>0.1</v>
      </c>
      <c r="CD403" s="12">
        <f t="shared" ca="1" si="47"/>
        <v>55.492525252525297</v>
      </c>
      <c r="CE403" s="12">
        <f t="shared" ca="1" si="48"/>
        <v>5.5492525252525304</v>
      </c>
      <c r="CS403" s="33"/>
      <c r="CT403" s="33"/>
      <c r="CU403" s="33"/>
      <c r="CV403" s="32"/>
      <c r="CW403" s="32"/>
      <c r="CX403" s="32"/>
      <c r="CY403" s="34"/>
      <c r="CZ403" s="34"/>
      <c r="DA403" s="34"/>
      <c r="DB403" s="33"/>
      <c r="DC403" s="33"/>
      <c r="DD403" s="33"/>
      <c r="DE403" s="33"/>
      <c r="DF403" s="33"/>
      <c r="DG403" s="33"/>
      <c r="DH403" s="34"/>
      <c r="DI403" s="34"/>
      <c r="DJ403" s="34"/>
      <c r="DK403" s="33"/>
      <c r="DL403" s="33"/>
      <c r="DM403" s="33"/>
      <c r="DN403" s="12">
        <v>1205014</v>
      </c>
      <c r="DS403" s="21"/>
      <c r="DT403" s="21"/>
      <c r="DU403" s="21"/>
    </row>
    <row r="404" spans="72:125" ht="13.5" customHeight="1">
      <c r="BT404" s="12">
        <v>1405014</v>
      </c>
      <c r="BU404" s="3">
        <f>[1]monsters!$N404</f>
        <v>307.2</v>
      </c>
      <c r="BV404" s="3">
        <f>[1]monsters!$O404</f>
        <v>30.72</v>
      </c>
      <c r="BW404" s="3">
        <f>[1]monsters!$P404</f>
        <v>2560</v>
      </c>
      <c r="BX404" s="3">
        <f>[1]monsters!$Q404</f>
        <v>256</v>
      </c>
      <c r="BY404" s="3">
        <f>[1]monsters!$R404</f>
        <v>43.89</v>
      </c>
      <c r="BZ404" s="3">
        <f>[1]monsters!$S404</f>
        <v>4.3899999999999997</v>
      </c>
      <c r="CA404" s="3">
        <f>[1]monsters!$K404</f>
        <v>1.5</v>
      </c>
      <c r="CB404" s="12">
        <f>[1]monsters!$D404</f>
        <v>4</v>
      </c>
      <c r="CC404" s="12">
        <f t="shared" ca="1" si="46"/>
        <v>0.1</v>
      </c>
      <c r="CD404" s="12">
        <f t="shared" ca="1" si="47"/>
        <v>49.550472910927397</v>
      </c>
      <c r="CE404" s="12">
        <f t="shared" ca="1" si="48"/>
        <v>4.9550472910927397</v>
      </c>
      <c r="CS404" s="33"/>
      <c r="CT404" s="33"/>
      <c r="CU404" s="33"/>
      <c r="CV404" s="32"/>
      <c r="CW404" s="32"/>
      <c r="CX404" s="32"/>
      <c r="CY404" s="34"/>
      <c r="CZ404" s="34"/>
      <c r="DA404" s="34"/>
      <c r="DB404" s="33"/>
      <c r="DC404" s="33"/>
      <c r="DD404" s="33"/>
      <c r="DE404" s="33"/>
      <c r="DF404" s="33"/>
      <c r="DG404" s="33"/>
      <c r="DH404" s="34"/>
      <c r="DI404" s="34"/>
      <c r="DJ404" s="34"/>
      <c r="DK404" s="33"/>
      <c r="DL404" s="33"/>
      <c r="DM404" s="33"/>
      <c r="DN404" s="12">
        <v>1405014</v>
      </c>
      <c r="DS404" s="21"/>
      <c r="DT404" s="21"/>
      <c r="DU404" s="21"/>
    </row>
    <row r="405" spans="72:125" ht="13.5" customHeight="1">
      <c r="BT405" s="12">
        <v>1203014</v>
      </c>
      <c r="BU405" s="3">
        <f>[1]monsters!$N405</f>
        <v>358.4</v>
      </c>
      <c r="BV405" s="3">
        <f>[1]monsters!$O405</f>
        <v>35.840000000000003</v>
      </c>
      <c r="BW405" s="3">
        <f>[1]monsters!$P405</f>
        <v>2194.29</v>
      </c>
      <c r="BX405" s="3">
        <f>[1]monsters!$Q405</f>
        <v>219.43</v>
      </c>
      <c r="BY405" s="3">
        <f>[1]monsters!$R405</f>
        <v>44.8</v>
      </c>
      <c r="BZ405" s="3">
        <f>[1]monsters!$S405</f>
        <v>4.4800000000000004</v>
      </c>
      <c r="CA405" s="3">
        <f>[1]monsters!$K405</f>
        <v>1.5</v>
      </c>
      <c r="CB405" s="12">
        <f>[1]monsters!$D405</f>
        <v>5</v>
      </c>
      <c r="CC405" s="12">
        <f t="shared" ca="1" si="46"/>
        <v>0.1</v>
      </c>
      <c r="CD405" s="12">
        <f t="shared" ca="1" si="47"/>
        <v>44.908525252525301</v>
      </c>
      <c r="CE405" s="12">
        <f t="shared" ca="1" si="48"/>
        <v>4.4908525252525298</v>
      </c>
      <c r="CS405" s="33"/>
      <c r="CT405" s="33"/>
      <c r="CU405" s="33"/>
      <c r="CV405" s="32"/>
      <c r="CW405" s="32"/>
      <c r="CX405" s="32"/>
      <c r="CY405" s="34"/>
      <c r="CZ405" s="34"/>
      <c r="DA405" s="34"/>
      <c r="DB405" s="33"/>
      <c r="DC405" s="33"/>
      <c r="DD405" s="33"/>
      <c r="DE405" s="33"/>
      <c r="DF405" s="33"/>
      <c r="DG405" s="33"/>
      <c r="DH405" s="34"/>
      <c r="DI405" s="34"/>
      <c r="DJ405" s="34"/>
      <c r="DK405" s="33"/>
      <c r="DL405" s="33"/>
      <c r="DM405" s="33"/>
      <c r="DN405" s="12">
        <v>1203014</v>
      </c>
      <c r="DS405" s="21"/>
      <c r="DT405" s="21"/>
      <c r="DU405" s="21"/>
    </row>
    <row r="406" spans="72:125" ht="13.5" customHeight="1">
      <c r="BT406" s="12">
        <v>1403014</v>
      </c>
      <c r="BU406" s="3">
        <f>[1]monsters!$N406</f>
        <v>334.51</v>
      </c>
      <c r="BV406" s="3">
        <f>[1]monsters!$O406</f>
        <v>33.450000000000003</v>
      </c>
      <c r="BW406" s="3">
        <f>[1]monsters!$P406</f>
        <v>2194.29</v>
      </c>
      <c r="BX406" s="3">
        <f>[1]monsters!$Q406</f>
        <v>219.43</v>
      </c>
      <c r="BY406" s="3">
        <f>[1]monsters!$R406</f>
        <v>41.81</v>
      </c>
      <c r="BZ406" s="3">
        <f>[1]monsters!$S406</f>
        <v>4.18</v>
      </c>
      <c r="CA406" s="3">
        <f>[1]monsters!$K406</f>
        <v>1.4000000000000001</v>
      </c>
      <c r="CB406" s="12">
        <f>[1]monsters!$D406</f>
        <v>5</v>
      </c>
      <c r="CC406" s="12">
        <f t="shared" ca="1" si="46"/>
        <v>0.1</v>
      </c>
      <c r="CD406" s="12">
        <f t="shared" ca="1" si="47"/>
        <v>41.234472910927401</v>
      </c>
      <c r="CE406" s="12">
        <f t="shared" ca="1" si="48"/>
        <v>4.1234472910927398</v>
      </c>
      <c r="CS406" s="33"/>
      <c r="CT406" s="33"/>
      <c r="CU406" s="33"/>
      <c r="CV406" s="32"/>
      <c r="CW406" s="32"/>
      <c r="CX406" s="32"/>
      <c r="CY406" s="34"/>
      <c r="CZ406" s="34"/>
      <c r="DA406" s="34"/>
      <c r="DB406" s="33"/>
      <c r="DC406" s="33"/>
      <c r="DD406" s="33"/>
      <c r="DE406" s="33"/>
      <c r="DF406" s="33"/>
      <c r="DG406" s="33"/>
      <c r="DH406" s="34"/>
      <c r="DI406" s="34"/>
      <c r="DJ406" s="34"/>
      <c r="DK406" s="33"/>
      <c r="DL406" s="33"/>
      <c r="DM406" s="33"/>
      <c r="DN406" s="12">
        <v>1403014</v>
      </c>
      <c r="DS406" s="21"/>
      <c r="DT406" s="21"/>
      <c r="DU406" s="21"/>
    </row>
    <row r="407" spans="72:125" ht="13.5" customHeight="1">
      <c r="BT407" s="12">
        <v>1204014</v>
      </c>
      <c r="BU407" s="3">
        <f>[1]monsters!$N407</f>
        <v>396.8</v>
      </c>
      <c r="BV407" s="3">
        <f>[1]monsters!$O407</f>
        <v>39.68</v>
      </c>
      <c r="BW407" s="3">
        <f>[1]monsters!$P407</f>
        <v>1981.94</v>
      </c>
      <c r="BX407" s="3">
        <f>[1]monsters!$Q407</f>
        <v>198.19</v>
      </c>
      <c r="BY407" s="3">
        <f>[1]monsters!$R407</f>
        <v>39.68</v>
      </c>
      <c r="BZ407" s="3">
        <f>[1]monsters!$S407</f>
        <v>3.97</v>
      </c>
      <c r="CA407" s="3">
        <f>[1]monsters!$K407</f>
        <v>1.5</v>
      </c>
      <c r="CB407" s="12">
        <f>[1]monsters!$D407</f>
        <v>6</v>
      </c>
      <c r="CC407" s="12">
        <f t="shared" ca="1" si="46"/>
        <v>0.1</v>
      </c>
      <c r="CD407" s="12">
        <f t="shared" ca="1" si="47"/>
        <v>46.420525252525302</v>
      </c>
      <c r="CE407" s="12">
        <f t="shared" ca="1" si="48"/>
        <v>4.64205252525253</v>
      </c>
      <c r="CS407" s="33"/>
      <c r="CT407" s="33"/>
      <c r="CU407" s="33"/>
      <c r="CV407" s="32"/>
      <c r="CW407" s="32"/>
      <c r="CX407" s="32"/>
      <c r="CY407" s="34"/>
      <c r="CZ407" s="34"/>
      <c r="DA407" s="34"/>
      <c r="DB407" s="33"/>
      <c r="DC407" s="33"/>
      <c r="DD407" s="33"/>
      <c r="DE407" s="33"/>
      <c r="DF407" s="33"/>
      <c r="DG407" s="33"/>
      <c r="DH407" s="34"/>
      <c r="DI407" s="34"/>
      <c r="DJ407" s="34"/>
      <c r="DK407" s="33"/>
      <c r="DL407" s="33"/>
      <c r="DM407" s="33"/>
      <c r="DN407" s="12">
        <v>1204014</v>
      </c>
      <c r="DS407" s="21"/>
      <c r="DT407" s="21"/>
      <c r="DU407" s="21"/>
    </row>
    <row r="408" spans="72:125" ht="13.5" customHeight="1">
      <c r="BT408" s="12">
        <v>1404014</v>
      </c>
      <c r="BU408" s="3">
        <f>[1]monsters!$N408</f>
        <v>256</v>
      </c>
      <c r="BV408" s="3">
        <f>[1]monsters!$O408</f>
        <v>25.6</v>
      </c>
      <c r="BW408" s="3">
        <f>[1]monsters!$P408</f>
        <v>3072</v>
      </c>
      <c r="BX408" s="3">
        <f>[1]monsters!$Q408</f>
        <v>307.2</v>
      </c>
      <c r="BY408" s="3">
        <f>[1]monsters!$R408</f>
        <v>64</v>
      </c>
      <c r="BZ408" s="3">
        <f>[1]monsters!$S408</f>
        <v>6.4</v>
      </c>
      <c r="CA408" s="3">
        <f>[1]monsters!$K408</f>
        <v>1.5</v>
      </c>
      <c r="CB408" s="12">
        <f>[1]monsters!$D408</f>
        <v>2</v>
      </c>
      <c r="CC408" s="12">
        <f t="shared" ca="1" si="46"/>
        <v>0.1</v>
      </c>
      <c r="CD408" s="12">
        <f t="shared" ca="1" si="47"/>
        <v>49.550472910927397</v>
      </c>
      <c r="CE408" s="12">
        <f t="shared" ca="1" si="48"/>
        <v>4.9550472910927397</v>
      </c>
      <c r="CS408" s="33"/>
      <c r="CT408" s="33"/>
      <c r="CU408" s="33"/>
      <c r="CV408" s="32"/>
      <c r="CW408" s="32"/>
      <c r="CX408" s="32"/>
      <c r="CY408" s="34"/>
      <c r="CZ408" s="34"/>
      <c r="DA408" s="34"/>
      <c r="DB408" s="33"/>
      <c r="DC408" s="33"/>
      <c r="DD408" s="33"/>
      <c r="DE408" s="33"/>
      <c r="DF408" s="33"/>
      <c r="DG408" s="33"/>
      <c r="DH408" s="34"/>
      <c r="DI408" s="34"/>
      <c r="DJ408" s="34"/>
      <c r="DK408" s="33"/>
      <c r="DL408" s="33"/>
      <c r="DM408" s="33"/>
      <c r="DN408" s="12">
        <v>1404014</v>
      </c>
      <c r="DS408" s="21"/>
      <c r="DT408" s="21"/>
      <c r="DU408" s="21"/>
    </row>
    <row r="409" spans="72:125" ht="13.5" customHeight="1">
      <c r="BT409" s="12">
        <v>1303014</v>
      </c>
      <c r="BU409" s="3">
        <f>[1]monsters!$N409</f>
        <v>245.76</v>
      </c>
      <c r="BV409" s="3">
        <f>[1]monsters!$O409</f>
        <v>24.58</v>
      </c>
      <c r="BW409" s="3">
        <f>[1]monsters!$P409</f>
        <v>3840</v>
      </c>
      <c r="BX409" s="3">
        <f>[1]monsters!$Q409</f>
        <v>384</v>
      </c>
      <c r="BY409" s="3">
        <f>[1]monsters!$R409</f>
        <v>81.92</v>
      </c>
      <c r="BZ409" s="3">
        <f>[1]monsters!$S409</f>
        <v>8.19</v>
      </c>
      <c r="CA409" s="3">
        <f>[1]monsters!$K409</f>
        <v>1.8</v>
      </c>
      <c r="CB409" s="12">
        <f>[1]monsters!$D409</f>
        <v>2</v>
      </c>
      <c r="CC409" s="12">
        <f t="shared" ca="1" si="46"/>
        <v>0.1</v>
      </c>
      <c r="CD409" s="12">
        <f t="shared" ca="1" si="47"/>
        <v>44.559689113355802</v>
      </c>
      <c r="CE409" s="12">
        <f t="shared" ca="1" si="48"/>
        <v>4.4559689113355798</v>
      </c>
      <c r="CS409" s="33"/>
      <c r="CT409" s="33"/>
      <c r="CU409" s="33"/>
      <c r="CV409" s="32"/>
      <c r="CW409" s="32"/>
      <c r="CX409" s="32"/>
      <c r="CY409" s="34"/>
      <c r="CZ409" s="34"/>
      <c r="DA409" s="34"/>
      <c r="DB409" s="33"/>
      <c r="DC409" s="33"/>
      <c r="DD409" s="33"/>
      <c r="DE409" s="33"/>
      <c r="DF409" s="33"/>
      <c r="DG409" s="33"/>
      <c r="DH409" s="34"/>
      <c r="DI409" s="34"/>
      <c r="DJ409" s="34"/>
      <c r="DK409" s="33"/>
      <c r="DL409" s="33"/>
      <c r="DM409" s="33"/>
      <c r="DN409" s="12">
        <v>1303014</v>
      </c>
      <c r="DS409" s="21"/>
      <c r="DT409" s="21"/>
      <c r="DU409" s="21"/>
    </row>
    <row r="410" spans="72:125" ht="13.5" customHeight="1">
      <c r="BT410" s="12">
        <v>1304014</v>
      </c>
      <c r="BU410" s="3">
        <f>[1]monsters!$N410</f>
        <v>276.48</v>
      </c>
      <c r="BV410" s="3">
        <f>[1]monsters!$O410</f>
        <v>27.65</v>
      </c>
      <c r="BW410" s="3">
        <f>[1]monsters!$P410</f>
        <v>3413.33</v>
      </c>
      <c r="BX410" s="3">
        <f>[1]monsters!$Q410</f>
        <v>341.33</v>
      </c>
      <c r="BY410" s="3">
        <f>[1]monsters!$R410</f>
        <v>55.3</v>
      </c>
      <c r="BZ410" s="3">
        <f>[1]monsters!$S410</f>
        <v>5.53</v>
      </c>
      <c r="CA410" s="3">
        <f>[1]monsters!$K410</f>
        <v>1.8</v>
      </c>
      <c r="CB410" s="12">
        <f>[1]monsters!$D410</f>
        <v>2</v>
      </c>
      <c r="CC410" s="12">
        <f t="shared" ca="1" si="46"/>
        <v>0.1</v>
      </c>
      <c r="CD410" s="12">
        <f t="shared" ca="1" si="47"/>
        <v>46.260689113355802</v>
      </c>
      <c r="CE410" s="12">
        <f t="shared" ca="1" si="48"/>
        <v>4.6260689113355804</v>
      </c>
      <c r="CS410" s="33"/>
      <c r="CT410" s="33"/>
      <c r="CU410" s="33"/>
      <c r="CV410" s="32"/>
      <c r="CW410" s="32"/>
      <c r="CX410" s="32"/>
      <c r="CY410" s="34"/>
      <c r="CZ410" s="34"/>
      <c r="DA410" s="34"/>
      <c r="DB410" s="33"/>
      <c r="DC410" s="33"/>
      <c r="DD410" s="33"/>
      <c r="DE410" s="33"/>
      <c r="DF410" s="33"/>
      <c r="DG410" s="33"/>
      <c r="DH410" s="34"/>
      <c r="DI410" s="34"/>
      <c r="DJ410" s="34"/>
      <c r="DK410" s="33"/>
      <c r="DL410" s="33"/>
      <c r="DM410" s="33"/>
      <c r="DN410" s="12">
        <v>1304014</v>
      </c>
      <c r="DS410" s="21"/>
      <c r="DT410" s="21"/>
      <c r="DU410" s="21"/>
    </row>
    <row r="411" spans="72:125" ht="13.5" customHeight="1">
      <c r="BT411" s="12">
        <v>1503014</v>
      </c>
      <c r="BU411" s="3">
        <f>[1]monsters!$N411</f>
        <v>184.32</v>
      </c>
      <c r="BV411" s="3">
        <f>[1]monsters!$O411</f>
        <v>18.43</v>
      </c>
      <c r="BW411" s="3">
        <f>[1]monsters!$P411</f>
        <v>3413.33</v>
      </c>
      <c r="BX411" s="3">
        <f>[1]monsters!$Q411</f>
        <v>341.33</v>
      </c>
      <c r="BY411" s="3">
        <f>[1]monsters!$R411</f>
        <v>36.86</v>
      </c>
      <c r="BZ411" s="3">
        <f>[1]monsters!$S411</f>
        <v>3.69</v>
      </c>
      <c r="CA411" s="3">
        <f>[1]monsters!$K411</f>
        <v>1.2</v>
      </c>
      <c r="CB411" s="12">
        <f>[1]monsters!$D411</f>
        <v>3</v>
      </c>
      <c r="CC411" s="12">
        <f t="shared" ca="1" si="46"/>
        <v>0.1</v>
      </c>
      <c r="CD411" s="12">
        <f t="shared" ca="1" si="47"/>
        <v>53.123016835016799</v>
      </c>
      <c r="CE411" s="12">
        <f t="shared" ca="1" si="48"/>
        <v>5.3123016835016799</v>
      </c>
      <c r="CS411" s="33"/>
      <c r="CT411" s="33"/>
      <c r="CU411" s="33"/>
      <c r="CV411" s="32"/>
      <c r="CW411" s="32"/>
      <c r="CX411" s="32"/>
      <c r="CY411" s="34"/>
      <c r="CZ411" s="34"/>
      <c r="DA411" s="34"/>
      <c r="DB411" s="33"/>
      <c r="DC411" s="33"/>
      <c r="DD411" s="33"/>
      <c r="DE411" s="33"/>
      <c r="DF411" s="33"/>
      <c r="DG411" s="33"/>
      <c r="DH411" s="34"/>
      <c r="DI411" s="34"/>
      <c r="DJ411" s="34"/>
      <c r="DK411" s="33"/>
      <c r="DL411" s="33"/>
      <c r="DM411" s="33"/>
      <c r="DN411" s="12">
        <v>1503014</v>
      </c>
      <c r="DS411" s="21"/>
      <c r="DT411" s="21"/>
      <c r="DU411" s="21"/>
    </row>
    <row r="412" spans="72:125" ht="13.5" customHeight="1">
      <c r="BT412" s="12">
        <v>1504014</v>
      </c>
      <c r="BU412" s="3">
        <f>[1]monsters!$N412</f>
        <v>327.68</v>
      </c>
      <c r="BV412" s="3">
        <f>[1]monsters!$O412</f>
        <v>32.770000000000003</v>
      </c>
      <c r="BW412" s="3">
        <f>[1]monsters!$P412</f>
        <v>2560</v>
      </c>
      <c r="BX412" s="3">
        <f>[1]monsters!$Q412</f>
        <v>256</v>
      </c>
      <c r="BY412" s="3">
        <f>[1]monsters!$R412</f>
        <v>46.81</v>
      </c>
      <c r="BZ412" s="3">
        <f>[1]monsters!$S412</f>
        <v>4.68</v>
      </c>
      <c r="CA412" s="3">
        <f>[1]monsters!$K412</f>
        <v>1.6</v>
      </c>
      <c r="CB412" s="12">
        <f>[1]monsters!$D412</f>
        <v>4</v>
      </c>
      <c r="CC412" s="12">
        <f t="shared" ca="1" si="46"/>
        <v>0.1</v>
      </c>
      <c r="CD412" s="12">
        <f t="shared" ca="1" si="47"/>
        <v>57.6590168350168</v>
      </c>
      <c r="CE412" s="12">
        <f t="shared" ca="1" si="48"/>
        <v>5.7659016835016796</v>
      </c>
      <c r="CS412" s="33"/>
      <c r="CT412" s="33"/>
      <c r="CU412" s="33"/>
      <c r="CV412" s="32"/>
      <c r="CW412" s="32"/>
      <c r="CX412" s="32"/>
      <c r="CY412" s="34"/>
      <c r="CZ412" s="34"/>
      <c r="DA412" s="34"/>
      <c r="DB412" s="33"/>
      <c r="DC412" s="33"/>
      <c r="DD412" s="33"/>
      <c r="DE412" s="33"/>
      <c r="DF412" s="33"/>
      <c r="DG412" s="33"/>
      <c r="DH412" s="34"/>
      <c r="DI412" s="34"/>
      <c r="DJ412" s="34"/>
      <c r="DK412" s="33"/>
      <c r="DL412" s="33"/>
      <c r="DM412" s="33"/>
      <c r="DN412" s="12">
        <v>1504014</v>
      </c>
      <c r="DS412" s="21"/>
      <c r="DT412" s="21"/>
      <c r="DU412" s="21"/>
    </row>
    <row r="413" spans="72:125" ht="13.5" customHeight="1">
      <c r="BT413" s="12">
        <v>1101014</v>
      </c>
      <c r="BU413" s="3">
        <f>[1]monsters!$N413</f>
        <v>307.2</v>
      </c>
      <c r="BV413" s="3">
        <f>[1]monsters!$O413</f>
        <v>30.72</v>
      </c>
      <c r="BW413" s="3">
        <f>[1]monsters!$P413</f>
        <v>2560</v>
      </c>
      <c r="BX413" s="3">
        <f>[1]monsters!$Q413</f>
        <v>256</v>
      </c>
      <c r="BY413" s="3">
        <f>[1]monsters!$R413</f>
        <v>43.89</v>
      </c>
      <c r="BZ413" s="3">
        <f>[1]monsters!$S413</f>
        <v>4.3899999999999997</v>
      </c>
      <c r="CA413" s="3">
        <f>[1]monsters!$K413</f>
        <v>1.5</v>
      </c>
      <c r="CB413" s="12">
        <f>[1]monsters!$D413</f>
        <v>4</v>
      </c>
      <c r="CC413" s="12">
        <f t="shared" ca="1" si="46"/>
        <v>0.1</v>
      </c>
      <c r="CD413" s="12">
        <f t="shared" ca="1" si="47"/>
        <v>50.442020202020203</v>
      </c>
      <c r="CE413" s="12">
        <f t="shared" ca="1" si="48"/>
        <v>5.0442020202020199</v>
      </c>
      <c r="CS413" s="33"/>
      <c r="CT413" s="33"/>
      <c r="CU413" s="33"/>
      <c r="CV413" s="32"/>
      <c r="CW413" s="32"/>
      <c r="CX413" s="32"/>
      <c r="CY413" s="34"/>
      <c r="CZ413" s="34"/>
      <c r="DA413" s="34"/>
      <c r="DB413" s="33"/>
      <c r="DC413" s="33"/>
      <c r="DD413" s="33"/>
      <c r="DE413" s="33"/>
      <c r="DF413" s="33"/>
      <c r="DG413" s="33"/>
      <c r="DH413" s="34"/>
      <c r="DI413" s="34"/>
      <c r="DJ413" s="34"/>
      <c r="DK413" s="33"/>
      <c r="DL413" s="33"/>
      <c r="DM413" s="33"/>
      <c r="DN413" s="12">
        <v>1101014</v>
      </c>
      <c r="DS413" s="21"/>
      <c r="DT413" s="21"/>
      <c r="DU413" s="21"/>
    </row>
    <row r="414" spans="72:125" ht="13.5" customHeight="1">
      <c r="BT414" s="12">
        <v>1102014</v>
      </c>
      <c r="BU414" s="3">
        <f>[1]monsters!$N414</f>
        <v>358.4</v>
      </c>
      <c r="BV414" s="3">
        <f>[1]monsters!$O414</f>
        <v>35.840000000000003</v>
      </c>
      <c r="BW414" s="3">
        <f>[1]monsters!$P414</f>
        <v>2194.29</v>
      </c>
      <c r="BX414" s="3">
        <f>[1]monsters!$Q414</f>
        <v>219.43</v>
      </c>
      <c r="BY414" s="3">
        <f>[1]monsters!$R414</f>
        <v>44.8</v>
      </c>
      <c r="BZ414" s="3">
        <f>[1]monsters!$S414</f>
        <v>4.4800000000000004</v>
      </c>
      <c r="CA414" s="3">
        <f>[1]monsters!$K414</f>
        <v>1.5</v>
      </c>
      <c r="CB414" s="12">
        <f>[1]monsters!$D414</f>
        <v>5</v>
      </c>
      <c r="CC414" s="12">
        <f t="shared" ca="1" si="46"/>
        <v>0.1</v>
      </c>
      <c r="CD414" s="12">
        <f t="shared" ca="1" si="47"/>
        <v>46.662020202020202</v>
      </c>
      <c r="CE414" s="12">
        <f t="shared" ca="1" si="48"/>
        <v>4.6662020202020198</v>
      </c>
      <c r="CS414" s="33"/>
      <c r="CT414" s="33"/>
      <c r="CU414" s="33"/>
      <c r="CV414" s="32"/>
      <c r="CW414" s="32"/>
      <c r="CX414" s="32"/>
      <c r="CY414" s="34"/>
      <c r="CZ414" s="34"/>
      <c r="DA414" s="34"/>
      <c r="DB414" s="33"/>
      <c r="DC414" s="33"/>
      <c r="DD414" s="33"/>
      <c r="DE414" s="33"/>
      <c r="DF414" s="33"/>
      <c r="DG414" s="33"/>
      <c r="DH414" s="34"/>
      <c r="DI414" s="34"/>
      <c r="DJ414" s="34"/>
      <c r="DK414" s="33"/>
      <c r="DL414" s="33"/>
      <c r="DM414" s="33"/>
      <c r="DN414" s="12">
        <v>1102014</v>
      </c>
      <c r="DS414" s="21"/>
      <c r="DT414" s="21"/>
      <c r="DU414" s="21"/>
    </row>
    <row r="415" spans="72:125" ht="13.5" customHeight="1">
      <c r="BT415" s="12">
        <v>1206015</v>
      </c>
      <c r="BU415" s="3">
        <f>[1]monsters!$N415</f>
        <v>334.51</v>
      </c>
      <c r="BV415" s="3">
        <f>[1]monsters!$O415</f>
        <v>33.450000000000003</v>
      </c>
      <c r="BW415" s="3">
        <f>[1]monsters!$P415</f>
        <v>2194.29</v>
      </c>
      <c r="BX415" s="3">
        <f>[1]monsters!$Q415</f>
        <v>219.43</v>
      </c>
      <c r="BY415" s="3">
        <f>[1]monsters!$R415</f>
        <v>41.81</v>
      </c>
      <c r="BZ415" s="3">
        <f>[1]monsters!$S415</f>
        <v>4.18</v>
      </c>
      <c r="CA415" s="3">
        <f>[1]monsters!$K415</f>
        <v>1.4000000000000001</v>
      </c>
      <c r="CB415" s="12">
        <f>[1]monsters!$D415</f>
        <v>5</v>
      </c>
      <c r="CC415" s="12">
        <f t="shared" ca="1" si="46"/>
        <v>0.1</v>
      </c>
      <c r="CD415" s="12">
        <f t="shared" ca="1" si="47"/>
        <v>50.956525252525303</v>
      </c>
      <c r="CE415" s="12">
        <f t="shared" ca="1" si="48"/>
        <v>5.0956525252525298</v>
      </c>
      <c r="CS415" s="33"/>
      <c r="CT415" s="33"/>
      <c r="CU415" s="33"/>
      <c r="CV415" s="32"/>
      <c r="CW415" s="32"/>
      <c r="CX415" s="32"/>
      <c r="CY415" s="34"/>
      <c r="CZ415" s="34"/>
      <c r="DA415" s="34"/>
      <c r="DB415" s="33"/>
      <c r="DC415" s="33"/>
      <c r="DD415" s="33"/>
      <c r="DE415" s="33"/>
      <c r="DF415" s="33"/>
      <c r="DG415" s="33"/>
      <c r="DH415" s="34"/>
      <c r="DI415" s="34"/>
      <c r="DJ415" s="34"/>
      <c r="DK415" s="33"/>
      <c r="DL415" s="33"/>
      <c r="DM415" s="33"/>
      <c r="DN415" s="12">
        <v>1206015</v>
      </c>
      <c r="DS415" s="21"/>
      <c r="DT415" s="21"/>
      <c r="DU415" s="21"/>
    </row>
    <row r="416" spans="72:125" ht="13.5" customHeight="1">
      <c r="BT416" s="12">
        <v>1406015</v>
      </c>
      <c r="BU416" s="3">
        <f>[1]monsters!$N416</f>
        <v>396.8</v>
      </c>
      <c r="BV416" s="3">
        <f>[1]monsters!$O416</f>
        <v>39.68</v>
      </c>
      <c r="BW416" s="3">
        <f>[1]monsters!$P416</f>
        <v>1981.94</v>
      </c>
      <c r="BX416" s="3">
        <f>[1]monsters!$Q416</f>
        <v>198.19</v>
      </c>
      <c r="BY416" s="3">
        <f>[1]monsters!$R416</f>
        <v>39.68</v>
      </c>
      <c r="BZ416" s="3">
        <f>[1]monsters!$S416</f>
        <v>3.97</v>
      </c>
      <c r="CA416" s="3">
        <f>[1]monsters!$K416</f>
        <v>1.5</v>
      </c>
      <c r="CB416" s="12">
        <f>[1]monsters!$D416</f>
        <v>6</v>
      </c>
      <c r="CC416" s="12">
        <f t="shared" ca="1" si="46"/>
        <v>0.1</v>
      </c>
      <c r="CD416" s="12">
        <f t="shared" ca="1" si="47"/>
        <v>47.471472910927403</v>
      </c>
      <c r="CE416" s="12">
        <f t="shared" ca="1" si="48"/>
        <v>4.7471472910927401</v>
      </c>
      <c r="CS416" s="33"/>
      <c r="CT416" s="33"/>
      <c r="CU416" s="33"/>
      <c r="CV416" s="32"/>
      <c r="CW416" s="32"/>
      <c r="CX416" s="32"/>
      <c r="CY416" s="34"/>
      <c r="CZ416" s="34"/>
      <c r="DA416" s="34"/>
      <c r="DB416" s="33"/>
      <c r="DC416" s="33"/>
      <c r="DD416" s="33"/>
      <c r="DE416" s="33"/>
      <c r="DF416" s="33"/>
      <c r="DG416" s="33"/>
      <c r="DH416" s="34"/>
      <c r="DI416" s="34"/>
      <c r="DJ416" s="34"/>
      <c r="DK416" s="33"/>
      <c r="DL416" s="33"/>
      <c r="DM416" s="33"/>
      <c r="DN416" s="12">
        <v>1406015</v>
      </c>
      <c r="DS416" s="21"/>
      <c r="DT416" s="21"/>
      <c r="DU416" s="21"/>
    </row>
    <row r="417" spans="72:125" ht="13.5" customHeight="1">
      <c r="BT417" s="12">
        <v>1205015</v>
      </c>
      <c r="BU417" s="3">
        <f>[1]monsters!$N417</f>
        <v>245.76</v>
      </c>
      <c r="BV417" s="3">
        <f>[1]monsters!$O417</f>
        <v>24.58</v>
      </c>
      <c r="BW417" s="3">
        <f>[1]monsters!$P417</f>
        <v>3840</v>
      </c>
      <c r="BX417" s="3">
        <f>[1]monsters!$Q417</f>
        <v>384</v>
      </c>
      <c r="BY417" s="3">
        <f>[1]monsters!$R417</f>
        <v>81.92</v>
      </c>
      <c r="BZ417" s="3">
        <f>[1]monsters!$S417</f>
        <v>8.19</v>
      </c>
      <c r="CA417" s="3">
        <f>[1]monsters!$K417</f>
        <v>1.8</v>
      </c>
      <c r="CB417" s="12">
        <f>[1]monsters!$D417</f>
        <v>2</v>
      </c>
      <c r="CC417" s="12">
        <f t="shared" ca="1" si="46"/>
        <v>0.1</v>
      </c>
      <c r="CD417" s="12">
        <f t="shared" ca="1" si="47"/>
        <v>55.492525252525297</v>
      </c>
      <c r="CE417" s="12">
        <f t="shared" ca="1" si="48"/>
        <v>5.5492525252525304</v>
      </c>
      <c r="CS417" s="33"/>
      <c r="CT417" s="33"/>
      <c r="CU417" s="33"/>
      <c r="CV417" s="32"/>
      <c r="CW417" s="32"/>
      <c r="CX417" s="32"/>
      <c r="CY417" s="34"/>
      <c r="CZ417" s="34"/>
      <c r="DA417" s="34"/>
      <c r="DB417" s="33"/>
      <c r="DC417" s="33"/>
      <c r="DD417" s="33"/>
      <c r="DE417" s="33"/>
      <c r="DF417" s="33"/>
      <c r="DG417" s="33"/>
      <c r="DH417" s="34"/>
      <c r="DI417" s="34"/>
      <c r="DJ417" s="34"/>
      <c r="DK417" s="33"/>
      <c r="DL417" s="33"/>
      <c r="DM417" s="33"/>
      <c r="DN417" s="12">
        <v>1205015</v>
      </c>
      <c r="DS417" s="21"/>
      <c r="DT417" s="21"/>
      <c r="DU417" s="21"/>
    </row>
    <row r="418" spans="72:125" ht="13.5" customHeight="1">
      <c r="BT418" s="12">
        <v>1405015</v>
      </c>
      <c r="BU418" s="3">
        <f>[1]monsters!$N418</f>
        <v>215.04</v>
      </c>
      <c r="BV418" s="3">
        <f>[1]monsters!$O418</f>
        <v>21.5</v>
      </c>
      <c r="BW418" s="3">
        <f>[1]monsters!$P418</f>
        <v>3413.33</v>
      </c>
      <c r="BX418" s="3">
        <f>[1]monsters!$Q418</f>
        <v>341.33</v>
      </c>
      <c r="BY418" s="3">
        <f>[1]monsters!$R418</f>
        <v>43.01</v>
      </c>
      <c r="BZ418" s="3">
        <f>[1]monsters!$S418</f>
        <v>4.3</v>
      </c>
      <c r="CA418" s="3">
        <f>[1]monsters!$K418</f>
        <v>1.4000000000000001</v>
      </c>
      <c r="CB418" s="12">
        <f>[1]monsters!$D418</f>
        <v>3</v>
      </c>
      <c r="CC418" s="12">
        <f t="shared" ca="1" si="46"/>
        <v>0.1</v>
      </c>
      <c r="CD418" s="12">
        <f t="shared" ca="1" si="47"/>
        <v>49.550472910927397</v>
      </c>
      <c r="CE418" s="12">
        <f t="shared" ca="1" si="48"/>
        <v>4.9550472910927397</v>
      </c>
      <c r="CS418" s="33"/>
      <c r="CT418" s="33"/>
      <c r="CU418" s="33"/>
      <c r="CV418" s="32"/>
      <c r="CW418" s="32"/>
      <c r="CX418" s="32"/>
      <c r="CY418" s="34"/>
      <c r="CZ418" s="34"/>
      <c r="DA418" s="34"/>
      <c r="DB418" s="33"/>
      <c r="DC418" s="33"/>
      <c r="DD418" s="33"/>
      <c r="DE418" s="33"/>
      <c r="DF418" s="33"/>
      <c r="DG418" s="33"/>
      <c r="DH418" s="34"/>
      <c r="DI418" s="34"/>
      <c r="DJ418" s="34"/>
      <c r="DK418" s="33"/>
      <c r="DL418" s="33"/>
      <c r="DM418" s="33"/>
      <c r="DN418" s="12">
        <v>1405015</v>
      </c>
      <c r="DS418" s="21"/>
      <c r="DT418" s="21"/>
      <c r="DU418" s="21"/>
    </row>
    <row r="419" spans="72:125" ht="13.5" customHeight="1">
      <c r="BT419" s="12">
        <v>1203015</v>
      </c>
      <c r="BU419" s="3">
        <f>[1]monsters!$N419</f>
        <v>382.29</v>
      </c>
      <c r="BV419" s="3">
        <f>[1]monsters!$O419</f>
        <v>38.229999999999997</v>
      </c>
      <c r="BW419" s="3">
        <f>[1]monsters!$P419</f>
        <v>2194.29</v>
      </c>
      <c r="BX419" s="3">
        <f>[1]monsters!$Q419</f>
        <v>219.43</v>
      </c>
      <c r="BY419" s="3">
        <f>[1]monsters!$R419</f>
        <v>47.79</v>
      </c>
      <c r="BZ419" s="3">
        <f>[1]monsters!$S419</f>
        <v>4.78</v>
      </c>
      <c r="CA419" s="3">
        <f>[1]monsters!$K419</f>
        <v>1.6</v>
      </c>
      <c r="CB419" s="12">
        <f>[1]monsters!$D419</f>
        <v>5</v>
      </c>
      <c r="CC419" s="12">
        <f t="shared" ca="1" si="46"/>
        <v>0.1</v>
      </c>
      <c r="CD419" s="12">
        <f t="shared" ca="1" si="47"/>
        <v>44.908525252525301</v>
      </c>
      <c r="CE419" s="12">
        <f t="shared" ca="1" si="48"/>
        <v>4.4908525252525298</v>
      </c>
      <c r="CS419" s="33"/>
      <c r="CT419" s="33"/>
      <c r="CU419" s="33"/>
      <c r="CV419" s="32"/>
      <c r="CW419" s="32"/>
      <c r="CX419" s="32"/>
      <c r="CY419" s="34"/>
      <c r="CZ419" s="34"/>
      <c r="DA419" s="34"/>
      <c r="DB419" s="33"/>
      <c r="DC419" s="33"/>
      <c r="DD419" s="33"/>
      <c r="DE419" s="33"/>
      <c r="DF419" s="33"/>
      <c r="DG419" s="33"/>
      <c r="DH419" s="34"/>
      <c r="DI419" s="34"/>
      <c r="DJ419" s="34"/>
      <c r="DK419" s="33"/>
      <c r="DL419" s="33"/>
      <c r="DM419" s="33"/>
      <c r="DN419" s="12">
        <v>1203015</v>
      </c>
      <c r="DS419" s="21"/>
      <c r="DT419" s="21"/>
      <c r="DU419" s="21"/>
    </row>
    <row r="420" spans="72:125" ht="13.5" customHeight="1">
      <c r="BT420" s="12">
        <v>1403015</v>
      </c>
      <c r="BU420" s="3">
        <f>[1]monsters!$N420</f>
        <v>370.35</v>
      </c>
      <c r="BV420" s="3">
        <f>[1]monsters!$O420</f>
        <v>37.03</v>
      </c>
      <c r="BW420" s="3">
        <f>[1]monsters!$P420</f>
        <v>1981.94</v>
      </c>
      <c r="BX420" s="3">
        <f>[1]monsters!$Q420</f>
        <v>198.19</v>
      </c>
      <c r="BY420" s="3">
        <f>[1]monsters!$R420</f>
        <v>37.03</v>
      </c>
      <c r="BZ420" s="3">
        <f>[1]monsters!$S420</f>
        <v>3.7</v>
      </c>
      <c r="CA420" s="3">
        <f>[1]monsters!$K420</f>
        <v>1.4000000000000001</v>
      </c>
      <c r="CB420" s="12">
        <f>[1]monsters!$D420</f>
        <v>6</v>
      </c>
      <c r="CC420" s="12">
        <f t="shared" ca="1" si="46"/>
        <v>0.1</v>
      </c>
      <c r="CD420" s="12">
        <f t="shared" ca="1" si="47"/>
        <v>41.234472910927401</v>
      </c>
      <c r="CE420" s="12">
        <f t="shared" ca="1" si="48"/>
        <v>4.1234472910927398</v>
      </c>
      <c r="CS420" s="33"/>
      <c r="CT420" s="33"/>
      <c r="CU420" s="33"/>
      <c r="CV420" s="32"/>
      <c r="CW420" s="32"/>
      <c r="CX420" s="32"/>
      <c r="CY420" s="34"/>
      <c r="CZ420" s="34"/>
      <c r="DA420" s="34"/>
      <c r="DB420" s="33"/>
      <c r="DC420" s="33"/>
      <c r="DD420" s="33"/>
      <c r="DE420" s="33"/>
      <c r="DF420" s="33"/>
      <c r="DG420" s="33"/>
      <c r="DH420" s="34"/>
      <c r="DI420" s="34"/>
      <c r="DJ420" s="34"/>
      <c r="DK420" s="33"/>
      <c r="DL420" s="33"/>
      <c r="DM420" s="33"/>
      <c r="DN420" s="12">
        <v>1403015</v>
      </c>
      <c r="DS420" s="21"/>
      <c r="DT420" s="21"/>
      <c r="DU420" s="21"/>
    </row>
    <row r="421" spans="72:125" ht="13.5" customHeight="1">
      <c r="BT421" s="12">
        <v>1204015</v>
      </c>
      <c r="BU421" s="3">
        <f>[1]monsters!$N421</f>
        <v>476.16</v>
      </c>
      <c r="BV421" s="3">
        <f>[1]monsters!$O421</f>
        <v>47.62</v>
      </c>
      <c r="BW421" s="3">
        <f>[1]monsters!$P421</f>
        <v>1981.94</v>
      </c>
      <c r="BX421" s="3">
        <f>[1]monsters!$Q421</f>
        <v>198.19</v>
      </c>
      <c r="BY421" s="3">
        <f>[1]monsters!$R421</f>
        <v>47.62</v>
      </c>
      <c r="BZ421" s="3">
        <f>[1]monsters!$S421</f>
        <v>4.76</v>
      </c>
      <c r="CA421" s="3">
        <f>[1]monsters!$K421</f>
        <v>1.8</v>
      </c>
      <c r="CB421" s="12">
        <f>[1]monsters!$D421</f>
        <v>6</v>
      </c>
      <c r="CC421" s="12">
        <f t="shared" ca="1" si="46"/>
        <v>0.1</v>
      </c>
      <c r="CD421" s="12">
        <f t="shared" ca="1" si="47"/>
        <v>46.420525252525302</v>
      </c>
      <c r="CE421" s="12">
        <f t="shared" ca="1" si="48"/>
        <v>4.64205252525253</v>
      </c>
      <c r="CS421" s="33"/>
      <c r="CT421" s="33"/>
      <c r="CU421" s="33"/>
      <c r="CV421" s="32"/>
      <c r="CW421" s="32"/>
      <c r="CX421" s="32"/>
      <c r="CY421" s="34"/>
      <c r="CZ421" s="34"/>
      <c r="DA421" s="34"/>
      <c r="DB421" s="33"/>
      <c r="DC421" s="33"/>
      <c r="DD421" s="33"/>
      <c r="DE421" s="33"/>
      <c r="DF421" s="33"/>
      <c r="DG421" s="33"/>
      <c r="DH421" s="34"/>
      <c r="DI421" s="34"/>
      <c r="DJ421" s="34"/>
      <c r="DK421" s="33"/>
      <c r="DL421" s="33"/>
      <c r="DM421" s="33"/>
      <c r="DN421" s="12">
        <v>1204015</v>
      </c>
      <c r="DS421" s="21"/>
      <c r="DT421" s="21"/>
      <c r="DU421" s="21"/>
    </row>
    <row r="422" spans="72:125" ht="13.5" customHeight="1">
      <c r="BT422" s="12">
        <v>1404015</v>
      </c>
      <c r="BU422" s="3">
        <f>[1]monsters!$N422</f>
        <v>276.48</v>
      </c>
      <c r="BV422" s="3">
        <f>[1]monsters!$O422</f>
        <v>27.65</v>
      </c>
      <c r="BW422" s="3">
        <f>[1]monsters!$P422</f>
        <v>3413.33</v>
      </c>
      <c r="BX422" s="3">
        <f>[1]monsters!$Q422</f>
        <v>341.33</v>
      </c>
      <c r="BY422" s="3">
        <f>[1]monsters!$R422</f>
        <v>55.3</v>
      </c>
      <c r="BZ422" s="3">
        <f>[1]monsters!$S422</f>
        <v>5.53</v>
      </c>
      <c r="CA422" s="3">
        <f>[1]monsters!$K422</f>
        <v>1.8</v>
      </c>
      <c r="CB422" s="12">
        <f>[1]monsters!$D422</f>
        <v>2</v>
      </c>
      <c r="CC422" s="12">
        <f t="shared" ca="1" si="46"/>
        <v>0.1</v>
      </c>
      <c r="CD422" s="12">
        <f t="shared" ca="1" si="47"/>
        <v>49.550472910927397</v>
      </c>
      <c r="CE422" s="12">
        <f t="shared" ca="1" si="48"/>
        <v>4.9550472910927397</v>
      </c>
      <c r="CS422" s="33"/>
      <c r="CT422" s="33"/>
      <c r="CU422" s="33"/>
      <c r="CV422" s="32"/>
      <c r="CW422" s="32"/>
      <c r="CX422" s="32"/>
      <c r="CY422" s="34"/>
      <c r="CZ422" s="34"/>
      <c r="DA422" s="34"/>
      <c r="DB422" s="33"/>
      <c r="DC422" s="33"/>
      <c r="DD422" s="33"/>
      <c r="DE422" s="33"/>
      <c r="DF422" s="33"/>
      <c r="DG422" s="33"/>
      <c r="DH422" s="34"/>
      <c r="DI422" s="34"/>
      <c r="DJ422" s="34"/>
      <c r="DK422" s="33"/>
      <c r="DL422" s="33"/>
      <c r="DM422" s="33"/>
      <c r="DN422" s="12">
        <v>1404015</v>
      </c>
      <c r="DS422" s="21"/>
      <c r="DT422" s="21"/>
      <c r="DU422" s="21"/>
    </row>
    <row r="423" spans="72:125" ht="13.5" customHeight="1">
      <c r="BT423" s="12">
        <v>1303015</v>
      </c>
      <c r="BU423" s="3">
        <f>[1]monsters!$N423</f>
        <v>199.68</v>
      </c>
      <c r="BV423" s="3">
        <f>[1]monsters!$O423</f>
        <v>19.97</v>
      </c>
      <c r="BW423" s="3">
        <f>[1]monsters!$P423</f>
        <v>3413.33</v>
      </c>
      <c r="BX423" s="3">
        <f>[1]monsters!$Q423</f>
        <v>341.33</v>
      </c>
      <c r="BY423" s="3">
        <f>[1]monsters!$R423</f>
        <v>39.94</v>
      </c>
      <c r="BZ423" s="3">
        <f>[1]monsters!$S423</f>
        <v>3.99</v>
      </c>
      <c r="CA423" s="3">
        <f>[1]monsters!$K423</f>
        <v>1.3</v>
      </c>
      <c r="CB423" s="12">
        <f>[1]monsters!$D423</f>
        <v>3</v>
      </c>
      <c r="CC423" s="12">
        <f t="shared" ca="1" si="46"/>
        <v>0.1</v>
      </c>
      <c r="CD423" s="12">
        <f t="shared" ca="1" si="47"/>
        <v>44.559689113355802</v>
      </c>
      <c r="CE423" s="12">
        <f t="shared" ca="1" si="48"/>
        <v>4.4559689113355798</v>
      </c>
      <c r="CS423" s="33"/>
      <c r="CT423" s="33"/>
      <c r="CU423" s="33"/>
      <c r="CV423" s="32"/>
      <c r="CW423" s="32"/>
      <c r="CX423" s="32"/>
      <c r="CY423" s="34"/>
      <c r="CZ423" s="34"/>
      <c r="DA423" s="34"/>
      <c r="DB423" s="33"/>
      <c r="DC423" s="33"/>
      <c r="DD423" s="33"/>
      <c r="DE423" s="33"/>
      <c r="DF423" s="33"/>
      <c r="DG423" s="33"/>
      <c r="DH423" s="34"/>
      <c r="DI423" s="34"/>
      <c r="DJ423" s="34"/>
      <c r="DK423" s="33"/>
      <c r="DL423" s="33"/>
      <c r="DM423" s="33"/>
      <c r="DN423" s="12">
        <v>1303015</v>
      </c>
      <c r="DS423" s="21"/>
      <c r="DT423" s="21"/>
      <c r="DU423" s="21"/>
    </row>
    <row r="424" spans="72:125" ht="13.5" customHeight="1">
      <c r="BT424" s="12">
        <v>1304015</v>
      </c>
      <c r="BU424" s="3">
        <f>[1]monsters!$N424</f>
        <v>215.04</v>
      </c>
      <c r="BV424" s="3">
        <f>[1]monsters!$O424</f>
        <v>21.5</v>
      </c>
      <c r="BW424" s="3">
        <f>[1]monsters!$P424</f>
        <v>3413.33</v>
      </c>
      <c r="BX424" s="3">
        <f>[1]monsters!$Q424</f>
        <v>341.33</v>
      </c>
      <c r="BY424" s="3">
        <f>[1]monsters!$R424</f>
        <v>43.01</v>
      </c>
      <c r="BZ424" s="3">
        <f>[1]monsters!$S424</f>
        <v>4.3</v>
      </c>
      <c r="CA424" s="3">
        <f>[1]monsters!$K424</f>
        <v>1.4000000000000001</v>
      </c>
      <c r="CB424" s="12">
        <f>[1]monsters!$D424</f>
        <v>3</v>
      </c>
      <c r="CC424" s="12">
        <f t="shared" ca="1" si="46"/>
        <v>0.1</v>
      </c>
      <c r="CD424" s="12">
        <f t="shared" ca="1" si="47"/>
        <v>46.260689113355802</v>
      </c>
      <c r="CE424" s="12">
        <f t="shared" ca="1" si="48"/>
        <v>4.6260689113355804</v>
      </c>
      <c r="CS424" s="33"/>
      <c r="CT424" s="33"/>
      <c r="CU424" s="33"/>
      <c r="CV424" s="32"/>
      <c r="CW424" s="32"/>
      <c r="CX424" s="32"/>
      <c r="CY424" s="34"/>
      <c r="CZ424" s="34"/>
      <c r="DA424" s="34"/>
      <c r="DB424" s="33"/>
      <c r="DC424" s="33"/>
      <c r="DD424" s="33"/>
      <c r="DE424" s="33"/>
      <c r="DF424" s="33"/>
      <c r="DG424" s="33"/>
      <c r="DH424" s="34"/>
      <c r="DI424" s="34"/>
      <c r="DJ424" s="34"/>
      <c r="DK424" s="33"/>
      <c r="DL424" s="33"/>
      <c r="DM424" s="33"/>
      <c r="DN424" s="12">
        <v>1304015</v>
      </c>
      <c r="DS424" s="21"/>
      <c r="DT424" s="21"/>
      <c r="DU424" s="21"/>
    </row>
    <row r="425" spans="72:125" ht="13.5" customHeight="1">
      <c r="BT425" s="12">
        <v>1503015</v>
      </c>
      <c r="BU425" s="3">
        <f>[1]monsters!$N425</f>
        <v>286.72000000000003</v>
      </c>
      <c r="BV425" s="3">
        <f>[1]monsters!$O425</f>
        <v>28.67</v>
      </c>
      <c r="BW425" s="3">
        <f>[1]monsters!$P425</f>
        <v>2560</v>
      </c>
      <c r="BX425" s="3">
        <f>[1]monsters!$Q425</f>
        <v>256</v>
      </c>
      <c r="BY425" s="3">
        <f>[1]monsters!$R425</f>
        <v>40.96</v>
      </c>
      <c r="BZ425" s="3">
        <f>[1]monsters!$S425</f>
        <v>4.0999999999999996</v>
      </c>
      <c r="CA425" s="3">
        <f>[1]monsters!$K425</f>
        <v>1.4000000000000001</v>
      </c>
      <c r="CB425" s="12">
        <f>[1]monsters!$D425</f>
        <v>4</v>
      </c>
      <c r="CC425" s="12">
        <f t="shared" ca="1" si="46"/>
        <v>0.1</v>
      </c>
      <c r="CD425" s="12">
        <f t="shared" ca="1" si="47"/>
        <v>53.123016835016799</v>
      </c>
      <c r="CE425" s="12">
        <f t="shared" ca="1" si="48"/>
        <v>5.3123016835016799</v>
      </c>
      <c r="CS425" s="33"/>
      <c r="CT425" s="33"/>
      <c r="CU425" s="33"/>
      <c r="CV425" s="32"/>
      <c r="CW425" s="32"/>
      <c r="CX425" s="32"/>
      <c r="CY425" s="34"/>
      <c r="CZ425" s="34"/>
      <c r="DA425" s="34"/>
      <c r="DB425" s="33"/>
      <c r="DC425" s="33"/>
      <c r="DD425" s="33"/>
      <c r="DE425" s="33"/>
      <c r="DF425" s="33"/>
      <c r="DG425" s="33"/>
      <c r="DH425" s="34"/>
      <c r="DI425" s="34"/>
      <c r="DJ425" s="34"/>
      <c r="DK425" s="33"/>
      <c r="DL425" s="33"/>
      <c r="DM425" s="33"/>
      <c r="DN425" s="12">
        <v>1503015</v>
      </c>
      <c r="DS425" s="21"/>
      <c r="DT425" s="21"/>
      <c r="DU425" s="21"/>
    </row>
    <row r="426" spans="72:125" ht="13.5" customHeight="1">
      <c r="BT426" s="12">
        <v>1504015</v>
      </c>
      <c r="BU426" s="3">
        <f>[1]monsters!$N426</f>
        <v>382.29</v>
      </c>
      <c r="BV426" s="3">
        <f>[1]monsters!$O426</f>
        <v>38.229999999999997</v>
      </c>
      <c r="BW426" s="3">
        <f>[1]monsters!$P426</f>
        <v>2194.29</v>
      </c>
      <c r="BX426" s="3">
        <f>[1]monsters!$Q426</f>
        <v>219.43</v>
      </c>
      <c r="BY426" s="3">
        <f>[1]monsters!$R426</f>
        <v>47.79</v>
      </c>
      <c r="BZ426" s="3">
        <f>[1]monsters!$S426</f>
        <v>4.78</v>
      </c>
      <c r="CA426" s="3">
        <f>[1]monsters!$K426</f>
        <v>1.6</v>
      </c>
      <c r="CB426" s="12">
        <f>[1]monsters!$D426</f>
        <v>5</v>
      </c>
      <c r="CC426" s="12">
        <f t="shared" ca="1" si="46"/>
        <v>0.1</v>
      </c>
      <c r="CD426" s="12">
        <f t="shared" ca="1" si="47"/>
        <v>57.6590168350168</v>
      </c>
      <c r="CE426" s="12">
        <f t="shared" ca="1" si="48"/>
        <v>5.7659016835016796</v>
      </c>
      <c r="CS426" s="33"/>
      <c r="CT426" s="33"/>
      <c r="CU426" s="33"/>
      <c r="CV426" s="32"/>
      <c r="CW426" s="32"/>
      <c r="CX426" s="32"/>
      <c r="CY426" s="34"/>
      <c r="CZ426" s="34"/>
      <c r="DA426" s="34"/>
      <c r="DB426" s="33"/>
      <c r="DC426" s="33"/>
      <c r="DD426" s="33"/>
      <c r="DE426" s="33"/>
      <c r="DF426" s="33"/>
      <c r="DG426" s="33"/>
      <c r="DH426" s="34"/>
      <c r="DI426" s="34"/>
      <c r="DJ426" s="34"/>
      <c r="DK426" s="33"/>
      <c r="DL426" s="33"/>
      <c r="DM426" s="33"/>
      <c r="DN426" s="12">
        <v>1504015</v>
      </c>
      <c r="DS426" s="21"/>
      <c r="DT426" s="21"/>
      <c r="DU426" s="21"/>
    </row>
    <row r="427" spans="72:125" ht="13.5" customHeight="1">
      <c r="BT427" s="12">
        <v>1101015</v>
      </c>
      <c r="BU427" s="3">
        <f>[1]monsters!$N427</f>
        <v>62.4</v>
      </c>
      <c r="BV427" s="3">
        <f>[1]monsters!$O427</f>
        <v>6.24</v>
      </c>
      <c r="BW427" s="3">
        <f>[1]monsters!$P427</f>
        <v>1066.67</v>
      </c>
      <c r="BX427" s="3">
        <f>[1]monsters!$Q427</f>
        <v>106.67</v>
      </c>
      <c r="BY427" s="3">
        <f>[1]monsters!$R427</f>
        <v>12.48</v>
      </c>
      <c r="BZ427" s="3">
        <f>[1]monsters!$S427</f>
        <v>1.25</v>
      </c>
      <c r="CA427" s="3">
        <f>[1]monsters!$K427</f>
        <v>1.3</v>
      </c>
      <c r="CB427" s="12">
        <f>[1]monsters!$D427</f>
        <v>2</v>
      </c>
      <c r="CC427" s="12">
        <f t="shared" ca="1" si="46"/>
        <v>0.1</v>
      </c>
      <c r="CD427" s="12">
        <f t="shared" ca="1" si="47"/>
        <v>50.442020202020203</v>
      </c>
      <c r="CE427" s="12">
        <f t="shared" ca="1" si="48"/>
        <v>5.0442020202020199</v>
      </c>
      <c r="CS427" s="33"/>
      <c r="CT427" s="33"/>
      <c r="CU427" s="33"/>
      <c r="CV427" s="32"/>
      <c r="CW427" s="32"/>
      <c r="CX427" s="32"/>
      <c r="CY427" s="34"/>
      <c r="CZ427" s="34"/>
      <c r="DA427" s="34"/>
      <c r="DB427" s="33"/>
      <c r="DC427" s="33"/>
      <c r="DD427" s="33"/>
      <c r="DE427" s="33"/>
      <c r="DF427" s="33"/>
      <c r="DG427" s="33"/>
      <c r="DH427" s="34"/>
      <c r="DI427" s="34"/>
      <c r="DJ427" s="34"/>
      <c r="DK427" s="33"/>
      <c r="DL427" s="33"/>
      <c r="DM427" s="33"/>
      <c r="DN427" s="12">
        <v>1101015</v>
      </c>
      <c r="DS427" s="21"/>
      <c r="DT427" s="21"/>
      <c r="DU427" s="21"/>
    </row>
    <row r="428" spans="72:125" ht="13.5" customHeight="1">
      <c r="BT428" s="12">
        <v>1102015</v>
      </c>
      <c r="BU428" s="3">
        <f>[1]monsters!$N428</f>
        <v>83.2</v>
      </c>
      <c r="BV428" s="3">
        <f>[1]monsters!$O428</f>
        <v>8.32</v>
      </c>
      <c r="BW428" s="3">
        <f>[1]monsters!$P428</f>
        <v>800</v>
      </c>
      <c r="BX428" s="3">
        <f>[1]monsters!$Q428</f>
        <v>80</v>
      </c>
      <c r="BY428" s="3">
        <f>[1]monsters!$R428</f>
        <v>8.32</v>
      </c>
      <c r="BZ428" s="3">
        <f>[1]monsters!$S428</f>
        <v>0.83</v>
      </c>
      <c r="CA428" s="3">
        <f>[1]monsters!$K428</f>
        <v>1.3</v>
      </c>
      <c r="CB428" s="12">
        <f>[1]monsters!$D428</f>
        <v>4</v>
      </c>
      <c r="CC428" s="12">
        <f t="shared" ca="1" si="46"/>
        <v>0.1</v>
      </c>
      <c r="CD428" s="12">
        <f t="shared" ca="1" si="47"/>
        <v>46.662020202020202</v>
      </c>
      <c r="CE428" s="12">
        <f t="shared" ca="1" si="48"/>
        <v>4.6662020202020198</v>
      </c>
      <c r="CS428" s="33"/>
      <c r="CT428" s="33"/>
      <c r="CU428" s="33"/>
      <c r="CV428" s="32"/>
      <c r="CW428" s="32"/>
      <c r="CX428" s="32"/>
      <c r="CY428" s="34"/>
      <c r="CZ428" s="34"/>
      <c r="DA428" s="34"/>
      <c r="DB428" s="33"/>
      <c r="DC428" s="33"/>
      <c r="DD428" s="33"/>
      <c r="DE428" s="33"/>
      <c r="DF428" s="33"/>
      <c r="DG428" s="33"/>
      <c r="DH428" s="34"/>
      <c r="DI428" s="34"/>
      <c r="DJ428" s="34"/>
      <c r="DK428" s="33"/>
      <c r="DL428" s="33"/>
      <c r="DM428" s="33"/>
      <c r="DN428" s="12">
        <v>1102015</v>
      </c>
      <c r="DS428" s="21"/>
      <c r="DT428" s="21"/>
      <c r="DU428" s="21"/>
    </row>
    <row r="429" spans="72:125" ht="13.5" customHeight="1">
      <c r="BT429" s="12">
        <v>2206021</v>
      </c>
      <c r="BU429" s="3">
        <f>[1]monsters!$N429</f>
        <v>86.4</v>
      </c>
      <c r="BV429" s="3">
        <f>[1]monsters!$O429</f>
        <v>8.64</v>
      </c>
      <c r="BW429" s="3">
        <f>[1]monsters!$P429</f>
        <v>1066.67</v>
      </c>
      <c r="BX429" s="3">
        <f>[1]monsters!$Q429</f>
        <v>106.67</v>
      </c>
      <c r="BY429" s="3">
        <f>[1]monsters!$R429</f>
        <v>17.28</v>
      </c>
      <c r="BZ429" s="3">
        <f>[1]monsters!$S429</f>
        <v>1.73</v>
      </c>
      <c r="CA429" s="3">
        <f>[1]monsters!$K429</f>
        <v>1.8</v>
      </c>
      <c r="CB429" s="12">
        <f>[1]monsters!$D429</f>
        <v>2</v>
      </c>
      <c r="CC429" s="12">
        <f t="shared" ca="1" si="46"/>
        <v>0.1</v>
      </c>
      <c r="CD429" s="12">
        <f t="shared" ca="1" si="47"/>
        <v>56.0521777777778</v>
      </c>
      <c r="CE429" s="12">
        <f t="shared" ca="1" si="48"/>
        <v>5.6052177777777796</v>
      </c>
      <c r="CS429" s="33"/>
      <c r="CT429" s="33"/>
      <c r="CU429" s="33"/>
      <c r="CV429" s="32"/>
      <c r="CW429" s="32"/>
      <c r="CX429" s="32"/>
      <c r="CY429" s="34"/>
      <c r="CZ429" s="34"/>
      <c r="DA429" s="34"/>
      <c r="DB429" s="33"/>
      <c r="DC429" s="33"/>
      <c r="DD429" s="33"/>
      <c r="DE429" s="33"/>
      <c r="DF429" s="33"/>
      <c r="DG429" s="33"/>
      <c r="DH429" s="34"/>
      <c r="DI429" s="34"/>
      <c r="DJ429" s="34"/>
      <c r="DK429" s="33"/>
      <c r="DL429" s="33"/>
      <c r="DM429" s="33"/>
      <c r="DN429" s="12">
        <v>2206021</v>
      </c>
      <c r="DS429" s="21"/>
      <c r="DT429" s="21"/>
      <c r="DU429" s="21"/>
    </row>
    <row r="430" spans="72:125" ht="13.5" customHeight="1">
      <c r="BT430" s="12">
        <v>2406021</v>
      </c>
      <c r="BU430" s="3">
        <f>[1]monsters!$N430</f>
        <v>100</v>
      </c>
      <c r="BV430" s="3">
        <f>[1]monsters!$O430</f>
        <v>10</v>
      </c>
      <c r="BW430" s="3">
        <f>[1]monsters!$P430</f>
        <v>768</v>
      </c>
      <c r="BX430" s="3">
        <f>[1]monsters!$Q430</f>
        <v>76.8</v>
      </c>
      <c r="BY430" s="3">
        <f>[1]monsters!$R430</f>
        <v>10</v>
      </c>
      <c r="BZ430" s="3">
        <f>[1]monsters!$S430</f>
        <v>1</v>
      </c>
      <c r="CA430" s="3">
        <f>[1]monsters!$K430</f>
        <v>1.5</v>
      </c>
      <c r="CB430" s="12">
        <f>[1]monsters!$D430</f>
        <v>4</v>
      </c>
      <c r="CC430" s="12">
        <f t="shared" ca="1" si="46"/>
        <v>0.1</v>
      </c>
      <c r="CD430" s="12">
        <f t="shared" ca="1" si="47"/>
        <v>52.218620202020197</v>
      </c>
      <c r="CE430" s="12">
        <f t="shared" ca="1" si="48"/>
        <v>5.2218620202020203</v>
      </c>
      <c r="CS430" s="33"/>
      <c r="CT430" s="33"/>
      <c r="CU430" s="33"/>
      <c r="CV430" s="32"/>
      <c r="CW430" s="32"/>
      <c r="CX430" s="32"/>
      <c r="CY430" s="34"/>
      <c r="CZ430" s="34"/>
      <c r="DA430" s="34"/>
      <c r="DB430" s="33"/>
      <c r="DC430" s="33"/>
      <c r="DD430" s="33"/>
      <c r="DE430" s="33"/>
      <c r="DF430" s="33"/>
      <c r="DG430" s="33"/>
      <c r="DH430" s="34"/>
      <c r="DI430" s="34"/>
      <c r="DJ430" s="34"/>
      <c r="DK430" s="33"/>
      <c r="DL430" s="33"/>
      <c r="DM430" s="33"/>
      <c r="DN430" s="12">
        <v>2406021</v>
      </c>
      <c r="DS430" s="21"/>
      <c r="DT430" s="21"/>
      <c r="DU430" s="21"/>
    </row>
    <row r="431" spans="72:125" ht="13.5" customHeight="1">
      <c r="BT431" s="12">
        <v>2205021</v>
      </c>
      <c r="BU431" s="3">
        <f>[1]monsters!$N431</f>
        <v>76.27</v>
      </c>
      <c r="BV431" s="3">
        <f>[1]monsters!$O431</f>
        <v>7.63</v>
      </c>
      <c r="BW431" s="3">
        <f>[1]monsters!$P431</f>
        <v>872.73</v>
      </c>
      <c r="BX431" s="3">
        <f>[1]monsters!$Q431</f>
        <v>87.27</v>
      </c>
      <c r="BY431" s="3">
        <f>[1]monsters!$R431</f>
        <v>9.5299999999999994</v>
      </c>
      <c r="BZ431" s="3">
        <f>[1]monsters!$S431</f>
        <v>0.95</v>
      </c>
      <c r="CA431" s="3">
        <f>[1]monsters!$K431</f>
        <v>1.3</v>
      </c>
      <c r="CB431" s="12">
        <f>[1]monsters!$D431</f>
        <v>3</v>
      </c>
      <c r="CC431" s="12">
        <f t="shared" ca="1" si="46"/>
        <v>0.1</v>
      </c>
      <c r="CD431" s="12">
        <f t="shared" ca="1" si="47"/>
        <v>61.041777777777803</v>
      </c>
      <c r="CE431" s="12">
        <f t="shared" ca="1" si="48"/>
        <v>6.1041777777777799</v>
      </c>
      <c r="CS431" s="33"/>
      <c r="CT431" s="33"/>
      <c r="CU431" s="33"/>
      <c r="CV431" s="32"/>
      <c r="CW431" s="32"/>
      <c r="CX431" s="32"/>
      <c r="CY431" s="34"/>
      <c r="CZ431" s="34"/>
      <c r="DA431" s="34"/>
      <c r="DB431" s="33"/>
      <c r="DC431" s="33"/>
      <c r="DD431" s="33"/>
      <c r="DE431" s="33"/>
      <c r="DF431" s="33"/>
      <c r="DG431" s="33"/>
      <c r="DH431" s="34"/>
      <c r="DI431" s="34"/>
      <c r="DJ431" s="34"/>
      <c r="DK431" s="33"/>
      <c r="DL431" s="33"/>
      <c r="DM431" s="33"/>
      <c r="DN431" s="12">
        <v>2205021</v>
      </c>
      <c r="DS431" s="21"/>
      <c r="DT431" s="21"/>
      <c r="DU431" s="21"/>
    </row>
    <row r="432" spans="72:125" ht="13.5" customHeight="1">
      <c r="BT432" s="12">
        <v>2405021</v>
      </c>
      <c r="BU432" s="3">
        <f>[1]monsters!$N432</f>
        <v>105.6</v>
      </c>
      <c r="BV432" s="3">
        <f>[1]monsters!$O432</f>
        <v>10.56</v>
      </c>
      <c r="BW432" s="3">
        <f>[1]monsters!$P432</f>
        <v>872.73</v>
      </c>
      <c r="BX432" s="3">
        <f>[1]monsters!$Q432</f>
        <v>87.27</v>
      </c>
      <c r="BY432" s="3">
        <f>[1]monsters!$R432</f>
        <v>17.600000000000001</v>
      </c>
      <c r="BZ432" s="3">
        <f>[1]monsters!$S432</f>
        <v>1.76</v>
      </c>
      <c r="CA432" s="3">
        <f>[1]monsters!$K432</f>
        <v>1.8</v>
      </c>
      <c r="CB432" s="12">
        <f>[1]monsters!$D432</f>
        <v>5</v>
      </c>
      <c r="CC432" s="12">
        <f t="shared" ca="1" si="46"/>
        <v>0.1</v>
      </c>
      <c r="CD432" s="12">
        <f t="shared" ca="1" si="47"/>
        <v>54.5055202020202</v>
      </c>
      <c r="CE432" s="12">
        <f t="shared" ca="1" si="48"/>
        <v>5.4505520202020197</v>
      </c>
      <c r="CS432" s="33"/>
      <c r="CT432" s="33"/>
      <c r="CU432" s="33"/>
      <c r="CV432" s="32"/>
      <c r="CW432" s="32"/>
      <c r="CX432" s="32"/>
      <c r="CY432" s="34"/>
      <c r="CZ432" s="34"/>
      <c r="DA432" s="34"/>
      <c r="DB432" s="33"/>
      <c r="DC432" s="33"/>
      <c r="DD432" s="33"/>
      <c r="DE432" s="33"/>
      <c r="DF432" s="33"/>
      <c r="DG432" s="33"/>
      <c r="DH432" s="34"/>
      <c r="DI432" s="34"/>
      <c r="DJ432" s="34"/>
      <c r="DK432" s="33"/>
      <c r="DL432" s="33"/>
      <c r="DM432" s="33"/>
      <c r="DN432" s="12">
        <v>2405021</v>
      </c>
      <c r="DS432" s="21"/>
      <c r="DT432" s="21"/>
      <c r="DU432" s="21"/>
    </row>
    <row r="433" spans="72:125" ht="13.5" customHeight="1">
      <c r="BT433" s="12">
        <v>2203021</v>
      </c>
      <c r="BU433" s="3">
        <f>[1]monsters!$N433</f>
        <v>76.8</v>
      </c>
      <c r="BV433" s="3">
        <f>[1]monsters!$O433</f>
        <v>7.68</v>
      </c>
      <c r="BW433" s="3">
        <f>[1]monsters!$P433</f>
        <v>1066.67</v>
      </c>
      <c r="BX433" s="3">
        <f>[1]monsters!$Q433</f>
        <v>106.67</v>
      </c>
      <c r="BY433" s="3">
        <f>[1]monsters!$R433</f>
        <v>15.36</v>
      </c>
      <c r="BZ433" s="3">
        <f>[1]monsters!$S433</f>
        <v>1.54</v>
      </c>
      <c r="CA433" s="3">
        <f>[1]monsters!$K433</f>
        <v>1.6</v>
      </c>
      <c r="CB433" s="12">
        <f>[1]monsters!$D433</f>
        <v>2</v>
      </c>
      <c r="CC433" s="12">
        <f t="shared" ca="1" si="46"/>
        <v>0.1</v>
      </c>
      <c r="CD433" s="12">
        <f t="shared" ca="1" si="47"/>
        <v>49.399377777777801</v>
      </c>
      <c r="CE433" s="12">
        <f t="shared" ca="1" si="48"/>
        <v>4.9399377777777804</v>
      </c>
      <c r="CS433" s="33"/>
      <c r="CT433" s="33"/>
      <c r="CU433" s="33"/>
      <c r="CV433" s="32"/>
      <c r="CW433" s="32"/>
      <c r="CX433" s="32"/>
      <c r="CY433" s="34"/>
      <c r="CZ433" s="34"/>
      <c r="DA433" s="34"/>
      <c r="DB433" s="33"/>
      <c r="DC433" s="33"/>
      <c r="DD433" s="33"/>
      <c r="DE433" s="33"/>
      <c r="DF433" s="33"/>
      <c r="DG433" s="33"/>
      <c r="DH433" s="34"/>
      <c r="DI433" s="34"/>
      <c r="DJ433" s="34"/>
      <c r="DK433" s="33"/>
      <c r="DL433" s="33"/>
      <c r="DM433" s="33"/>
      <c r="DN433" s="12">
        <v>2203021</v>
      </c>
      <c r="DS433" s="21"/>
      <c r="DT433" s="21"/>
      <c r="DU433" s="21"/>
    </row>
    <row r="434" spans="72:125" ht="13.5" customHeight="1">
      <c r="BT434" s="12">
        <v>2403021</v>
      </c>
      <c r="BU434" s="3">
        <f>[1]monsters!$N434</f>
        <v>97.07</v>
      </c>
      <c r="BV434" s="3">
        <f>[1]monsters!$O434</f>
        <v>9.7100000000000009</v>
      </c>
      <c r="BW434" s="3">
        <f>[1]monsters!$P434</f>
        <v>738.46</v>
      </c>
      <c r="BX434" s="3">
        <f>[1]monsters!$Q434</f>
        <v>73.849999999999994</v>
      </c>
      <c r="BY434" s="3">
        <f>[1]monsters!$R434</f>
        <v>9.7100000000000009</v>
      </c>
      <c r="BZ434" s="3">
        <f>[1]monsters!$S434</f>
        <v>0.97</v>
      </c>
      <c r="CA434" s="3">
        <f>[1]monsters!$K434</f>
        <v>1.4000000000000001</v>
      </c>
      <c r="CB434" s="12">
        <f>[1]monsters!$D434</f>
        <v>4</v>
      </c>
      <c r="CC434" s="12">
        <f t="shared" ca="1" si="46"/>
        <v>0.1</v>
      </c>
      <c r="CD434" s="12">
        <f t="shared" ca="1" si="47"/>
        <v>45.357920202020203</v>
      </c>
      <c r="CE434" s="12">
        <f t="shared" ca="1" si="48"/>
        <v>4.5357920202020203</v>
      </c>
      <c r="CS434" s="33"/>
      <c r="CT434" s="33"/>
      <c r="CU434" s="33"/>
      <c r="CV434" s="32"/>
      <c r="CW434" s="32"/>
      <c r="CX434" s="32"/>
      <c r="CY434" s="34"/>
      <c r="CZ434" s="34"/>
      <c r="DA434" s="34"/>
      <c r="DB434" s="33"/>
      <c r="DC434" s="33"/>
      <c r="DD434" s="33"/>
      <c r="DE434" s="33"/>
      <c r="DF434" s="33"/>
      <c r="DG434" s="33"/>
      <c r="DH434" s="34"/>
      <c r="DI434" s="34"/>
      <c r="DJ434" s="34"/>
      <c r="DK434" s="33"/>
      <c r="DL434" s="33"/>
      <c r="DM434" s="33"/>
      <c r="DN434" s="12">
        <v>2403021</v>
      </c>
      <c r="DS434" s="21"/>
      <c r="DT434" s="21"/>
      <c r="DU434" s="21"/>
    </row>
    <row r="435" spans="72:125" ht="13.5" customHeight="1">
      <c r="BT435" s="12">
        <v>2204021</v>
      </c>
      <c r="BU435" s="3">
        <f>[1]monsters!$N435</f>
        <v>67.2</v>
      </c>
      <c r="BV435" s="3">
        <f>[1]monsters!$O435</f>
        <v>6.72</v>
      </c>
      <c r="BW435" s="3">
        <f>[1]monsters!$P435</f>
        <v>1066.67</v>
      </c>
      <c r="BX435" s="3">
        <f>[1]monsters!$Q435</f>
        <v>106.67</v>
      </c>
      <c r="BY435" s="3">
        <f>[1]monsters!$R435</f>
        <v>13.44</v>
      </c>
      <c r="BZ435" s="3">
        <f>[1]monsters!$S435</f>
        <v>1.34</v>
      </c>
      <c r="CA435" s="3">
        <f>[1]monsters!$K435</f>
        <v>1.4000000000000001</v>
      </c>
      <c r="CB435" s="12">
        <f>[1]monsters!$D435</f>
        <v>2</v>
      </c>
      <c r="CC435" s="12">
        <f t="shared" ca="1" si="46"/>
        <v>0.1</v>
      </c>
      <c r="CD435" s="12">
        <f t="shared" ca="1" si="47"/>
        <v>51.062577777777797</v>
      </c>
      <c r="CE435" s="12">
        <f t="shared" ca="1" si="48"/>
        <v>5.1062577777777802</v>
      </c>
      <c r="CS435" s="33"/>
      <c r="CT435" s="33"/>
      <c r="CU435" s="33"/>
      <c r="CV435" s="32"/>
      <c r="CW435" s="32"/>
      <c r="CX435" s="32"/>
      <c r="CY435" s="34"/>
      <c r="CZ435" s="34"/>
      <c r="DA435" s="34"/>
      <c r="DB435" s="33"/>
      <c r="DC435" s="33"/>
      <c r="DD435" s="33"/>
      <c r="DE435" s="33"/>
      <c r="DF435" s="33"/>
      <c r="DG435" s="33"/>
      <c r="DH435" s="34"/>
      <c r="DI435" s="34"/>
      <c r="DJ435" s="34"/>
      <c r="DK435" s="34"/>
      <c r="DL435" s="34"/>
      <c r="DM435" s="34"/>
      <c r="DN435" s="12">
        <v>2204021</v>
      </c>
      <c r="DS435" s="21"/>
      <c r="DT435" s="21"/>
      <c r="DU435" s="21"/>
    </row>
    <row r="436" spans="72:125" ht="13.5" customHeight="1">
      <c r="BT436" s="12">
        <v>2404021</v>
      </c>
      <c r="BU436" s="3">
        <f>[1]monsters!$N436</f>
        <v>110.93</v>
      </c>
      <c r="BV436" s="3">
        <f>[1]monsters!$O436</f>
        <v>11.09</v>
      </c>
      <c r="BW436" s="3">
        <f>[1]monsters!$P436</f>
        <v>738.46</v>
      </c>
      <c r="BX436" s="3">
        <f>[1]monsters!$Q436</f>
        <v>73.849999999999994</v>
      </c>
      <c r="BY436" s="3">
        <f>[1]monsters!$R436</f>
        <v>11.09</v>
      </c>
      <c r="BZ436" s="3">
        <f>[1]monsters!$S436</f>
        <v>1.1100000000000001</v>
      </c>
      <c r="CA436" s="3">
        <f>[1]monsters!$K436</f>
        <v>1.6</v>
      </c>
      <c r="CB436" s="12">
        <f>[1]monsters!$D436</f>
        <v>4</v>
      </c>
      <c r="CC436" s="12">
        <f t="shared" ca="1" si="46"/>
        <v>0.1</v>
      </c>
      <c r="CD436" s="12">
        <f t="shared" ca="1" si="47"/>
        <v>54.5055202020202</v>
      </c>
      <c r="CE436" s="12">
        <f t="shared" ca="1" si="48"/>
        <v>5.4505520202020197</v>
      </c>
      <c r="CS436" s="33"/>
      <c r="CT436" s="33"/>
      <c r="CU436" s="33"/>
      <c r="CV436" s="32"/>
      <c r="CW436" s="32"/>
      <c r="CX436" s="32"/>
      <c r="CY436" s="34"/>
      <c r="CZ436" s="34"/>
      <c r="DA436" s="34"/>
      <c r="DB436" s="33"/>
      <c r="DC436" s="33"/>
      <c r="DD436" s="33"/>
      <c r="DE436" s="33"/>
      <c r="DF436" s="33"/>
      <c r="DG436" s="33"/>
      <c r="DH436" s="34"/>
      <c r="DI436" s="34"/>
      <c r="DJ436" s="34"/>
      <c r="DK436" s="34"/>
      <c r="DL436" s="34"/>
      <c r="DM436" s="34"/>
      <c r="DN436" s="12">
        <v>2404021</v>
      </c>
      <c r="DS436" s="21"/>
      <c r="DT436" s="21"/>
      <c r="DU436" s="21"/>
    </row>
    <row r="437" spans="72:125" ht="13.5" customHeight="1">
      <c r="BT437" s="12">
        <v>2303021</v>
      </c>
      <c r="BU437" s="3">
        <f>[1]monsters!$N437</f>
        <v>102.4</v>
      </c>
      <c r="BV437" s="3">
        <f>[1]monsters!$O437</f>
        <v>10.24</v>
      </c>
      <c r="BW437" s="3">
        <f>[1]monsters!$P437</f>
        <v>800</v>
      </c>
      <c r="BX437" s="3">
        <f>[1]monsters!$Q437</f>
        <v>80</v>
      </c>
      <c r="BY437" s="3">
        <f>[1]monsters!$R437</f>
        <v>17.07</v>
      </c>
      <c r="BZ437" s="3">
        <f>[1]monsters!$S437</f>
        <v>1.71</v>
      </c>
      <c r="CA437" s="3">
        <f>[1]monsters!$K437</f>
        <v>1.6</v>
      </c>
      <c r="CB437" s="12">
        <f>[1]monsters!$D437</f>
        <v>5</v>
      </c>
      <c r="CC437" s="12">
        <f t="shared" ca="1" si="46"/>
        <v>0.1</v>
      </c>
      <c r="CD437" s="12">
        <f t="shared" ca="1" si="47"/>
        <v>49.015658024691298</v>
      </c>
      <c r="CE437" s="12">
        <f t="shared" ca="1" si="48"/>
        <v>4.9015658024691398</v>
      </c>
      <c r="CS437" s="33"/>
      <c r="CT437" s="33"/>
      <c r="CU437" s="33"/>
      <c r="CV437" s="32"/>
      <c r="CW437" s="32"/>
      <c r="CX437" s="32"/>
      <c r="CY437" s="34"/>
      <c r="CZ437" s="34"/>
      <c r="DA437" s="34"/>
      <c r="DB437" s="33"/>
      <c r="DC437" s="33"/>
      <c r="DD437" s="33"/>
      <c r="DE437" s="33"/>
      <c r="DF437" s="33"/>
      <c r="DG437" s="33"/>
      <c r="DH437" s="34"/>
      <c r="DI437" s="34"/>
      <c r="DJ437" s="34"/>
      <c r="DK437" s="34"/>
      <c r="DL437" s="34"/>
      <c r="DM437" s="34"/>
      <c r="DN437" s="12">
        <v>2303021</v>
      </c>
      <c r="DS437" s="21"/>
      <c r="DT437" s="21"/>
      <c r="DU437" s="21"/>
    </row>
    <row r="438" spans="72:125" ht="13.5" customHeight="1">
      <c r="BT438" s="12">
        <v>2304021</v>
      </c>
      <c r="BU438" s="3">
        <f>[1]monsters!$N438</f>
        <v>85.87</v>
      </c>
      <c r="BV438" s="3">
        <f>[1]monsters!$O438</f>
        <v>8.59</v>
      </c>
      <c r="BW438" s="3">
        <f>[1]monsters!$P438</f>
        <v>834.78</v>
      </c>
      <c r="BX438" s="3">
        <f>[1]monsters!$Q438</f>
        <v>83.48</v>
      </c>
      <c r="BY438" s="3">
        <f>[1]monsters!$R438</f>
        <v>10.73</v>
      </c>
      <c r="BZ438" s="3">
        <f>[1]monsters!$S438</f>
        <v>1.07</v>
      </c>
      <c r="CA438" s="3">
        <f>[1]monsters!$K438</f>
        <v>1.4000000000000001</v>
      </c>
      <c r="CB438" s="12">
        <f>[1]monsters!$D438</f>
        <v>3</v>
      </c>
      <c r="CC438" s="12">
        <f t="shared" ca="1" si="46"/>
        <v>0.1</v>
      </c>
      <c r="CD438" s="12">
        <f t="shared" ca="1" si="47"/>
        <v>50.886758024691296</v>
      </c>
      <c r="CE438" s="12">
        <f t="shared" ca="1" si="48"/>
        <v>5.0886758024691296</v>
      </c>
      <c r="CS438" s="33"/>
      <c r="CT438" s="33"/>
      <c r="CU438" s="33"/>
      <c r="CV438" s="32"/>
      <c r="CW438" s="32"/>
      <c r="CX438" s="32"/>
      <c r="CY438" s="34"/>
      <c r="CZ438" s="34"/>
      <c r="DA438" s="34"/>
      <c r="DB438" s="33"/>
      <c r="DC438" s="33"/>
      <c r="DD438" s="33"/>
      <c r="DE438" s="33"/>
      <c r="DF438" s="33"/>
      <c r="DG438" s="33"/>
      <c r="DH438" s="34"/>
      <c r="DI438" s="34"/>
      <c r="DJ438" s="34"/>
      <c r="DK438" s="34"/>
      <c r="DL438" s="34"/>
      <c r="DM438" s="34"/>
      <c r="DN438" s="12">
        <v>2304021</v>
      </c>
      <c r="DS438" s="21"/>
      <c r="DT438" s="21"/>
      <c r="DU438" s="21"/>
    </row>
    <row r="439" spans="72:125" ht="13.5" customHeight="1">
      <c r="BT439" s="12">
        <v>2503021</v>
      </c>
      <c r="BU439" s="3">
        <f>[1]monsters!$N439</f>
        <v>62.4</v>
      </c>
      <c r="BV439" s="3">
        <f>[1]monsters!$O439</f>
        <v>6.24</v>
      </c>
      <c r="BW439" s="3">
        <f>[1]monsters!$P439</f>
        <v>1066.67</v>
      </c>
      <c r="BX439" s="3">
        <f>[1]monsters!$Q439</f>
        <v>106.67</v>
      </c>
      <c r="BY439" s="3">
        <f>[1]monsters!$R439</f>
        <v>12.48</v>
      </c>
      <c r="BZ439" s="3">
        <f>[1]monsters!$S439</f>
        <v>1.25</v>
      </c>
      <c r="CA439" s="3">
        <f>[1]monsters!$K439</f>
        <v>1.3</v>
      </c>
      <c r="CB439" s="12">
        <f>[1]monsters!$D439</f>
        <v>2</v>
      </c>
      <c r="CC439" s="12">
        <f t="shared" ca="1" si="46"/>
        <v>0.1</v>
      </c>
      <c r="CD439" s="12">
        <f t="shared" ca="1" si="47"/>
        <v>58.4353185185185</v>
      </c>
      <c r="CE439" s="12">
        <f t="shared" ca="1" si="48"/>
        <v>5.84353185185185</v>
      </c>
      <c r="CS439" s="33"/>
      <c r="CT439" s="33"/>
      <c r="CU439" s="33"/>
      <c r="CV439" s="32"/>
      <c r="CW439" s="32"/>
      <c r="CX439" s="32"/>
      <c r="CY439" s="34"/>
      <c r="CZ439" s="34"/>
      <c r="DA439" s="34"/>
      <c r="DB439" s="33"/>
      <c r="DC439" s="33"/>
      <c r="DD439" s="33"/>
      <c r="DE439" s="33"/>
      <c r="DF439" s="33"/>
      <c r="DG439" s="33"/>
      <c r="DH439" s="34"/>
      <c r="DI439" s="34"/>
      <c r="DJ439" s="34"/>
      <c r="DK439" s="34"/>
      <c r="DL439" s="34"/>
      <c r="DM439" s="34"/>
      <c r="DN439" s="12">
        <v>2503021</v>
      </c>
      <c r="DS439" s="21"/>
      <c r="DT439" s="21"/>
      <c r="DU439" s="21"/>
    </row>
    <row r="440" spans="72:125" ht="13.5" customHeight="1">
      <c r="BT440" s="12">
        <v>2504021</v>
      </c>
      <c r="BU440" s="3">
        <f>[1]monsters!$N440</f>
        <v>83.2</v>
      </c>
      <c r="BV440" s="3">
        <f>[1]monsters!$O440</f>
        <v>8.32</v>
      </c>
      <c r="BW440" s="3">
        <f>[1]monsters!$P440</f>
        <v>800</v>
      </c>
      <c r="BX440" s="3">
        <f>[1]monsters!$Q440</f>
        <v>80</v>
      </c>
      <c r="BY440" s="3">
        <f>[1]monsters!$R440</f>
        <v>8.32</v>
      </c>
      <c r="BZ440" s="3">
        <f>[1]monsters!$S440</f>
        <v>0.83</v>
      </c>
      <c r="CA440" s="3">
        <f>[1]monsters!$K440</f>
        <v>1.3</v>
      </c>
      <c r="CB440" s="12">
        <f>[1]monsters!$D440</f>
        <v>4</v>
      </c>
      <c r="CC440" s="12">
        <f t="shared" ca="1" si="46"/>
        <v>0.1</v>
      </c>
      <c r="CD440" s="12">
        <f t="shared" ca="1" si="47"/>
        <v>63.424918518518503</v>
      </c>
      <c r="CE440" s="12">
        <f t="shared" ca="1" si="48"/>
        <v>6.3424918518518503</v>
      </c>
      <c r="CS440" s="33"/>
      <c r="CT440" s="33"/>
      <c r="CU440" s="33"/>
      <c r="CV440" s="32"/>
      <c r="CW440" s="32"/>
      <c r="CX440" s="32"/>
      <c r="CY440" s="34"/>
      <c r="CZ440" s="34"/>
      <c r="DA440" s="34"/>
      <c r="DB440" s="33"/>
      <c r="DC440" s="33"/>
      <c r="DD440" s="33"/>
      <c r="DE440" s="33"/>
      <c r="DF440" s="33"/>
      <c r="DG440" s="33"/>
      <c r="DH440" s="34"/>
      <c r="DI440" s="34"/>
      <c r="DJ440" s="34"/>
      <c r="DK440" s="34"/>
      <c r="DL440" s="34"/>
      <c r="DM440" s="34"/>
      <c r="DN440" s="12">
        <v>2504021</v>
      </c>
      <c r="DS440" s="21"/>
      <c r="DT440" s="21"/>
      <c r="DU440" s="21"/>
    </row>
    <row r="441" spans="72:125" ht="13.5" customHeight="1">
      <c r="BT441" s="12">
        <v>2101021</v>
      </c>
      <c r="BU441" s="3">
        <f>[1]monsters!$N441</f>
        <v>86.4</v>
      </c>
      <c r="BV441" s="3">
        <f>[1]monsters!$O441</f>
        <v>8.64</v>
      </c>
      <c r="BW441" s="3">
        <f>[1]monsters!$P441</f>
        <v>1066.67</v>
      </c>
      <c r="BX441" s="3">
        <f>[1]monsters!$Q441</f>
        <v>106.67</v>
      </c>
      <c r="BY441" s="3">
        <f>[1]monsters!$R441</f>
        <v>17.28</v>
      </c>
      <c r="BZ441" s="3">
        <f>[1]monsters!$S441</f>
        <v>1.73</v>
      </c>
      <c r="CA441" s="3">
        <f>[1]monsters!$K441</f>
        <v>1.8</v>
      </c>
      <c r="CB441" s="12">
        <f>[1]monsters!$D441</f>
        <v>2</v>
      </c>
      <c r="CC441" s="12">
        <f t="shared" ca="1" si="46"/>
        <v>0.1</v>
      </c>
      <c r="CD441" s="12">
        <f t="shared" ca="1" si="47"/>
        <v>55.486222222222203</v>
      </c>
      <c r="CE441" s="12">
        <f t="shared" ca="1" si="48"/>
        <v>5.5486222222222201</v>
      </c>
      <c r="CS441" s="33"/>
      <c r="CT441" s="33"/>
      <c r="CU441" s="33"/>
      <c r="CV441" s="32"/>
      <c r="CW441" s="32"/>
      <c r="CX441" s="32"/>
      <c r="CY441" s="34"/>
      <c r="CZ441" s="34"/>
      <c r="DA441" s="34"/>
      <c r="DB441" s="33"/>
      <c r="DC441" s="33"/>
      <c r="DD441" s="33"/>
      <c r="DE441" s="33"/>
      <c r="DF441" s="33"/>
      <c r="DG441" s="33"/>
      <c r="DH441" s="34"/>
      <c r="DI441" s="34"/>
      <c r="DJ441" s="34"/>
      <c r="DK441" s="34"/>
      <c r="DL441" s="34"/>
      <c r="DM441" s="34"/>
      <c r="DN441" s="12">
        <v>2101021</v>
      </c>
      <c r="DS441" s="21"/>
      <c r="DT441" s="21"/>
      <c r="DU441" s="21"/>
    </row>
    <row r="442" spans="72:125" ht="13.5" customHeight="1">
      <c r="BT442" s="12">
        <v>2102021</v>
      </c>
      <c r="BU442" s="3">
        <f>[1]monsters!$N442</f>
        <v>100</v>
      </c>
      <c r="BV442" s="3">
        <f>[1]monsters!$O442</f>
        <v>10</v>
      </c>
      <c r="BW442" s="3">
        <f>[1]monsters!$P442</f>
        <v>768</v>
      </c>
      <c r="BX442" s="3">
        <f>[1]monsters!$Q442</f>
        <v>76.8</v>
      </c>
      <c r="BY442" s="3">
        <f>[1]monsters!$R442</f>
        <v>10</v>
      </c>
      <c r="BZ442" s="3">
        <f>[1]monsters!$S442</f>
        <v>1</v>
      </c>
      <c r="CA442" s="3">
        <f>[1]monsters!$K442</f>
        <v>1.5</v>
      </c>
      <c r="CB442" s="12">
        <f>[1]monsters!$D442</f>
        <v>4</v>
      </c>
      <c r="CC442" s="12">
        <f t="shared" ca="1" si="46"/>
        <v>0.1</v>
      </c>
      <c r="CD442" s="12">
        <f t="shared" ca="1" si="47"/>
        <v>51.328222222222202</v>
      </c>
      <c r="CE442" s="12">
        <f t="shared" ca="1" si="48"/>
        <v>5.1328222222222202</v>
      </c>
      <c r="CS442" s="33"/>
      <c r="CT442" s="33"/>
      <c r="CU442" s="33"/>
      <c r="CV442" s="32"/>
      <c r="CW442" s="32"/>
      <c r="CX442" s="32"/>
      <c r="CY442" s="34"/>
      <c r="CZ442" s="34"/>
      <c r="DA442" s="34"/>
      <c r="DB442" s="33"/>
      <c r="DC442" s="33"/>
      <c r="DD442" s="33"/>
      <c r="DE442" s="33"/>
      <c r="DF442" s="33"/>
      <c r="DG442" s="33"/>
      <c r="DH442" s="34"/>
      <c r="DI442" s="34"/>
      <c r="DJ442" s="34"/>
      <c r="DK442" s="34"/>
      <c r="DL442" s="34"/>
      <c r="DM442" s="34"/>
      <c r="DN442" s="12">
        <v>2102021</v>
      </c>
      <c r="DS442" s="21"/>
      <c r="DT442" s="21"/>
      <c r="DU442" s="21"/>
    </row>
    <row r="443" spans="72:125" ht="13.5" customHeight="1">
      <c r="BT443" s="12">
        <v>2206022</v>
      </c>
      <c r="BU443" s="3">
        <f>[1]monsters!$N443</f>
        <v>76.27</v>
      </c>
      <c r="BV443" s="3">
        <f>[1]monsters!$O443</f>
        <v>7.63</v>
      </c>
      <c r="BW443" s="3">
        <f>[1]monsters!$P443</f>
        <v>872.73</v>
      </c>
      <c r="BX443" s="3">
        <f>[1]monsters!$Q443</f>
        <v>87.27</v>
      </c>
      <c r="BY443" s="3">
        <f>[1]monsters!$R443</f>
        <v>9.5299999999999994</v>
      </c>
      <c r="BZ443" s="3">
        <f>[1]monsters!$S443</f>
        <v>0.95</v>
      </c>
      <c r="CA443" s="3">
        <f>[1]monsters!$K443</f>
        <v>1.3</v>
      </c>
      <c r="CB443" s="12">
        <f>[1]monsters!$D443</f>
        <v>3</v>
      </c>
      <c r="CC443" s="12">
        <f t="shared" ca="1" si="46"/>
        <v>0.1</v>
      </c>
      <c r="CD443" s="12">
        <f t="shared" ca="1" si="47"/>
        <v>56.0521777777778</v>
      </c>
      <c r="CE443" s="12">
        <f t="shared" ca="1" si="48"/>
        <v>5.6052177777777796</v>
      </c>
      <c r="CS443" s="33"/>
      <c r="CT443" s="33"/>
      <c r="CU443" s="33"/>
      <c r="CV443" s="32"/>
      <c r="CW443" s="32"/>
      <c r="CX443" s="32"/>
      <c r="CY443" s="34"/>
      <c r="CZ443" s="34"/>
      <c r="DA443" s="34"/>
      <c r="DB443" s="33"/>
      <c r="DC443" s="33"/>
      <c r="DD443" s="33"/>
      <c r="DE443" s="33"/>
      <c r="DF443" s="33"/>
      <c r="DG443" s="33"/>
      <c r="DH443" s="34"/>
      <c r="DI443" s="34"/>
      <c r="DJ443" s="34"/>
      <c r="DK443" s="34"/>
      <c r="DL443" s="34"/>
      <c r="DM443" s="34"/>
      <c r="DN443" s="12">
        <v>2206022</v>
      </c>
      <c r="DS443" s="21"/>
      <c r="DT443" s="21"/>
      <c r="DU443" s="21"/>
    </row>
    <row r="444" spans="72:125" ht="13.5" customHeight="1">
      <c r="BT444" s="12">
        <v>2406022</v>
      </c>
      <c r="BU444" s="3">
        <f>[1]monsters!$N444</f>
        <v>105.6</v>
      </c>
      <c r="BV444" s="3">
        <f>[1]monsters!$O444</f>
        <v>10.56</v>
      </c>
      <c r="BW444" s="3">
        <f>[1]monsters!$P444</f>
        <v>872.73</v>
      </c>
      <c r="BX444" s="3">
        <f>[1]monsters!$Q444</f>
        <v>87.27</v>
      </c>
      <c r="BY444" s="3">
        <f>[1]monsters!$R444</f>
        <v>17.600000000000001</v>
      </c>
      <c r="BZ444" s="3">
        <f>[1]monsters!$S444</f>
        <v>1.76</v>
      </c>
      <c r="CA444" s="3">
        <f>[1]monsters!$K444</f>
        <v>1.8</v>
      </c>
      <c r="CB444" s="12">
        <f>[1]monsters!$D444</f>
        <v>5</v>
      </c>
      <c r="CC444" s="12">
        <f t="shared" ca="1" si="46"/>
        <v>0.1</v>
      </c>
      <c r="CD444" s="12">
        <f t="shared" ca="1" si="47"/>
        <v>52.218620202020197</v>
      </c>
      <c r="CE444" s="12">
        <f t="shared" ca="1" si="48"/>
        <v>5.2218620202020203</v>
      </c>
      <c r="CS444" s="33"/>
      <c r="CT444" s="33"/>
      <c r="CU444" s="33"/>
      <c r="CV444" s="32"/>
      <c r="CW444" s="32"/>
      <c r="CX444" s="32"/>
      <c r="CY444" s="34"/>
      <c r="CZ444" s="34"/>
      <c r="DA444" s="34"/>
      <c r="DB444" s="33"/>
      <c r="DC444" s="33"/>
      <c r="DD444" s="33"/>
      <c r="DE444" s="33"/>
      <c r="DF444" s="33"/>
      <c r="DG444" s="33"/>
      <c r="DH444" s="34"/>
      <c r="DI444" s="34"/>
      <c r="DJ444" s="34"/>
      <c r="DK444" s="34"/>
      <c r="DL444" s="34"/>
      <c r="DM444" s="34"/>
      <c r="DN444" s="12">
        <v>2406022</v>
      </c>
      <c r="DS444" s="21"/>
      <c r="DT444" s="21"/>
      <c r="DU444" s="21"/>
    </row>
    <row r="445" spans="72:125" ht="13.5" customHeight="1">
      <c r="BT445" s="12">
        <v>2205022</v>
      </c>
      <c r="BU445" s="3">
        <f>[1]monsters!$N445</f>
        <v>76.8</v>
      </c>
      <c r="BV445" s="3">
        <f>[1]monsters!$O445</f>
        <v>7.68</v>
      </c>
      <c r="BW445" s="3">
        <f>[1]monsters!$P445</f>
        <v>1066.67</v>
      </c>
      <c r="BX445" s="3">
        <f>[1]monsters!$Q445</f>
        <v>106.67</v>
      </c>
      <c r="BY445" s="3">
        <f>[1]monsters!$R445</f>
        <v>15.36</v>
      </c>
      <c r="BZ445" s="3">
        <f>[1]monsters!$S445</f>
        <v>1.54</v>
      </c>
      <c r="CA445" s="3">
        <f>[1]monsters!$K445</f>
        <v>1.6</v>
      </c>
      <c r="CB445" s="12">
        <f>[1]monsters!$D445</f>
        <v>2</v>
      </c>
      <c r="CC445" s="12">
        <f t="shared" ca="1" si="46"/>
        <v>0.1</v>
      </c>
      <c r="CD445" s="12">
        <f t="shared" ca="1" si="47"/>
        <v>61.041777777777803</v>
      </c>
      <c r="CE445" s="12">
        <f t="shared" ca="1" si="48"/>
        <v>6.1041777777777799</v>
      </c>
      <c r="CS445" s="33"/>
      <c r="CT445" s="33"/>
      <c r="CU445" s="33"/>
      <c r="CV445" s="32"/>
      <c r="CW445" s="32"/>
      <c r="CX445" s="32"/>
      <c r="CY445" s="34"/>
      <c r="CZ445" s="34"/>
      <c r="DA445" s="34"/>
      <c r="DB445" s="33"/>
      <c r="DC445" s="33"/>
      <c r="DD445" s="33"/>
      <c r="DE445" s="33"/>
      <c r="DF445" s="33"/>
      <c r="DG445" s="33"/>
      <c r="DH445" s="34"/>
      <c r="DI445" s="34"/>
      <c r="DJ445" s="34"/>
      <c r="DK445" s="34"/>
      <c r="DL445" s="34"/>
      <c r="DM445" s="34"/>
      <c r="DN445" s="12">
        <v>2205022</v>
      </c>
      <c r="DS445" s="21"/>
      <c r="DT445" s="21"/>
      <c r="DU445" s="21"/>
    </row>
    <row r="446" spans="72:125" ht="13.5" customHeight="1">
      <c r="BT446" s="12">
        <v>2405022</v>
      </c>
      <c r="BU446" s="3">
        <f>[1]monsters!$N446</f>
        <v>97.07</v>
      </c>
      <c r="BV446" s="3">
        <f>[1]monsters!$O446</f>
        <v>9.7100000000000009</v>
      </c>
      <c r="BW446" s="3">
        <f>[1]monsters!$P446</f>
        <v>738.46</v>
      </c>
      <c r="BX446" s="3">
        <f>[1]monsters!$Q446</f>
        <v>73.849999999999994</v>
      </c>
      <c r="BY446" s="3">
        <f>[1]monsters!$R446</f>
        <v>9.7100000000000009</v>
      </c>
      <c r="BZ446" s="3">
        <f>[1]monsters!$S446</f>
        <v>0.97</v>
      </c>
      <c r="CA446" s="3">
        <f>[1]monsters!$K446</f>
        <v>1.4000000000000001</v>
      </c>
      <c r="CB446" s="12">
        <f>[1]monsters!$D446</f>
        <v>4</v>
      </c>
      <c r="CC446" s="12">
        <f t="shared" ca="1" si="46"/>
        <v>0.1</v>
      </c>
      <c r="CD446" s="12">
        <f t="shared" ca="1" si="47"/>
        <v>54.5055202020202</v>
      </c>
      <c r="CE446" s="12">
        <f t="shared" ca="1" si="48"/>
        <v>5.4505520202020197</v>
      </c>
      <c r="CS446" s="33"/>
      <c r="CT446" s="33"/>
      <c r="CU446" s="33"/>
      <c r="CV446" s="32"/>
      <c r="CW446" s="32"/>
      <c r="CX446" s="32"/>
      <c r="CY446" s="34"/>
      <c r="CZ446" s="34"/>
      <c r="DA446" s="34"/>
      <c r="DB446" s="33"/>
      <c r="DC446" s="33"/>
      <c r="DD446" s="33"/>
      <c r="DE446" s="33"/>
      <c r="DF446" s="33"/>
      <c r="DG446" s="33"/>
      <c r="DH446" s="34"/>
      <c r="DI446" s="34"/>
      <c r="DJ446" s="34"/>
      <c r="DK446" s="34"/>
      <c r="DL446" s="34"/>
      <c r="DM446" s="34"/>
      <c r="DN446" s="12">
        <v>2405022</v>
      </c>
      <c r="DS446" s="21"/>
      <c r="DT446" s="21"/>
      <c r="DU446" s="21"/>
    </row>
    <row r="447" spans="72:125" ht="13.5" customHeight="1">
      <c r="BT447" s="12">
        <v>2203022</v>
      </c>
      <c r="BU447" s="3">
        <f>[1]monsters!$N447</f>
        <v>67.2</v>
      </c>
      <c r="BV447" s="3">
        <f>[1]monsters!$O447</f>
        <v>6.72</v>
      </c>
      <c r="BW447" s="3">
        <f>[1]monsters!$P447</f>
        <v>1066.67</v>
      </c>
      <c r="BX447" s="3">
        <f>[1]monsters!$Q447</f>
        <v>106.67</v>
      </c>
      <c r="BY447" s="3">
        <f>[1]monsters!$R447</f>
        <v>13.44</v>
      </c>
      <c r="BZ447" s="3">
        <f>[1]monsters!$S447</f>
        <v>1.34</v>
      </c>
      <c r="CA447" s="3">
        <f>[1]monsters!$K447</f>
        <v>1.4000000000000001</v>
      </c>
      <c r="CB447" s="12">
        <f>[1]monsters!$D447</f>
        <v>2</v>
      </c>
      <c r="CC447" s="12">
        <f t="shared" ca="1" si="46"/>
        <v>0.1</v>
      </c>
      <c r="CD447" s="12">
        <f t="shared" ca="1" si="47"/>
        <v>49.399377777777801</v>
      </c>
      <c r="CE447" s="12">
        <f t="shared" ca="1" si="48"/>
        <v>4.9399377777777804</v>
      </c>
      <c r="CS447" s="33"/>
      <c r="CT447" s="33"/>
      <c r="CU447" s="33"/>
      <c r="CV447" s="32"/>
      <c r="CW447" s="32"/>
      <c r="CX447" s="32"/>
      <c r="CY447" s="34"/>
      <c r="CZ447" s="34"/>
      <c r="DA447" s="34"/>
      <c r="DB447" s="33"/>
      <c r="DC447" s="33"/>
      <c r="DD447" s="33"/>
      <c r="DE447" s="33"/>
      <c r="DF447" s="33"/>
      <c r="DG447" s="33"/>
      <c r="DH447" s="34"/>
      <c r="DI447" s="34"/>
      <c r="DJ447" s="34"/>
      <c r="DK447" s="34"/>
      <c r="DL447" s="34"/>
      <c r="DM447" s="34"/>
      <c r="DN447" s="12">
        <v>2203022</v>
      </c>
      <c r="DS447" s="21"/>
      <c r="DT447" s="21"/>
      <c r="DU447" s="21"/>
    </row>
    <row r="448" spans="72:125" ht="13.5" customHeight="1">
      <c r="BT448" s="12">
        <v>2403022</v>
      </c>
      <c r="BU448" s="3">
        <f>[1]monsters!$N448</f>
        <v>110.93</v>
      </c>
      <c r="BV448" s="3">
        <f>[1]monsters!$O448</f>
        <v>11.09</v>
      </c>
      <c r="BW448" s="3">
        <f>[1]monsters!$P448</f>
        <v>738.46</v>
      </c>
      <c r="BX448" s="3">
        <f>[1]monsters!$Q448</f>
        <v>73.849999999999994</v>
      </c>
      <c r="BY448" s="3">
        <f>[1]monsters!$R448</f>
        <v>11.09</v>
      </c>
      <c r="BZ448" s="3">
        <f>[1]monsters!$S448</f>
        <v>1.1100000000000001</v>
      </c>
      <c r="CA448" s="3">
        <f>[1]monsters!$K448</f>
        <v>1.6</v>
      </c>
      <c r="CB448" s="12">
        <f>[1]monsters!$D448</f>
        <v>4</v>
      </c>
      <c r="CC448" s="12">
        <f t="shared" ca="1" si="46"/>
        <v>0.1</v>
      </c>
      <c r="CD448" s="12">
        <f t="shared" ca="1" si="47"/>
        <v>45.357920202020203</v>
      </c>
      <c r="CE448" s="12">
        <f t="shared" ca="1" si="48"/>
        <v>4.5357920202020203</v>
      </c>
      <c r="CS448" s="33"/>
      <c r="CT448" s="33"/>
      <c r="CU448" s="33"/>
      <c r="CV448" s="32"/>
      <c r="CW448" s="32"/>
      <c r="CX448" s="32"/>
      <c r="CY448" s="34"/>
      <c r="CZ448" s="34"/>
      <c r="DA448" s="34"/>
      <c r="DB448" s="33"/>
      <c r="DC448" s="33"/>
      <c r="DD448" s="33"/>
      <c r="DE448" s="33"/>
      <c r="DF448" s="33"/>
      <c r="DG448" s="33"/>
      <c r="DH448" s="34"/>
      <c r="DI448" s="34"/>
      <c r="DJ448" s="34"/>
      <c r="DK448" s="34"/>
      <c r="DL448" s="34"/>
      <c r="DM448" s="34"/>
      <c r="DN448" s="12">
        <v>2403022</v>
      </c>
      <c r="DS448" s="21"/>
      <c r="DT448" s="21"/>
      <c r="DU448" s="21"/>
    </row>
    <row r="449" spans="72:125" ht="13.5" customHeight="1">
      <c r="BT449" s="12">
        <v>2204022</v>
      </c>
      <c r="BU449" s="3">
        <f>[1]monsters!$N449</f>
        <v>102.4</v>
      </c>
      <c r="BV449" s="3">
        <f>[1]monsters!$O449</f>
        <v>10.24</v>
      </c>
      <c r="BW449" s="3">
        <f>[1]monsters!$P449</f>
        <v>800</v>
      </c>
      <c r="BX449" s="3">
        <f>[1]monsters!$Q449</f>
        <v>80</v>
      </c>
      <c r="BY449" s="3">
        <f>[1]monsters!$R449</f>
        <v>17.07</v>
      </c>
      <c r="BZ449" s="3">
        <f>[1]monsters!$S449</f>
        <v>1.71</v>
      </c>
      <c r="CA449" s="3">
        <f>[1]monsters!$K449</f>
        <v>1.6</v>
      </c>
      <c r="CB449" s="12">
        <f>[1]monsters!$D449</f>
        <v>5</v>
      </c>
      <c r="CC449" s="12">
        <f t="shared" ca="1" si="46"/>
        <v>0.1</v>
      </c>
      <c r="CD449" s="12">
        <f t="shared" ca="1" si="47"/>
        <v>51.062577777777797</v>
      </c>
      <c r="CE449" s="12">
        <f t="shared" ca="1" si="48"/>
        <v>5.1062577777777802</v>
      </c>
      <c r="CS449" s="33"/>
      <c r="CT449" s="33"/>
      <c r="CU449" s="33"/>
      <c r="CV449" s="32"/>
      <c r="CW449" s="32"/>
      <c r="CX449" s="32"/>
      <c r="CY449" s="34"/>
      <c r="CZ449" s="34"/>
      <c r="DA449" s="34"/>
      <c r="DB449" s="33"/>
      <c r="DC449" s="33"/>
      <c r="DD449" s="33"/>
      <c r="DE449" s="33"/>
      <c r="DF449" s="33"/>
      <c r="DG449" s="33"/>
      <c r="DH449" s="34"/>
      <c r="DI449" s="34"/>
      <c r="DJ449" s="34"/>
      <c r="DK449" s="34"/>
      <c r="DL449" s="34"/>
      <c r="DM449" s="34"/>
      <c r="DN449" s="12">
        <v>2204022</v>
      </c>
      <c r="DS449" s="21"/>
      <c r="DT449" s="21"/>
      <c r="DU449" s="21"/>
    </row>
    <row r="450" spans="72:125" ht="13.5" customHeight="1">
      <c r="BT450" s="12">
        <v>2404022</v>
      </c>
      <c r="BU450" s="3">
        <f>[1]monsters!$N450</f>
        <v>85.87</v>
      </c>
      <c r="BV450" s="3">
        <f>[1]monsters!$O450</f>
        <v>8.59</v>
      </c>
      <c r="BW450" s="3">
        <f>[1]monsters!$P450</f>
        <v>834.78</v>
      </c>
      <c r="BX450" s="3">
        <f>[1]monsters!$Q450</f>
        <v>83.48</v>
      </c>
      <c r="BY450" s="3">
        <f>[1]monsters!$R450</f>
        <v>10.73</v>
      </c>
      <c r="BZ450" s="3">
        <f>[1]monsters!$S450</f>
        <v>1.07</v>
      </c>
      <c r="CA450" s="3">
        <f>[1]monsters!$K450</f>
        <v>1.4000000000000001</v>
      </c>
      <c r="CB450" s="12">
        <f>[1]monsters!$D450</f>
        <v>3</v>
      </c>
      <c r="CC450" s="12">
        <f t="shared" ca="1" si="46"/>
        <v>0.1</v>
      </c>
      <c r="CD450" s="12">
        <f t="shared" ca="1" si="47"/>
        <v>54.5055202020202</v>
      </c>
      <c r="CE450" s="12">
        <f t="shared" ca="1" si="48"/>
        <v>5.4505520202020197</v>
      </c>
      <c r="CS450" s="33"/>
      <c r="CT450" s="33"/>
      <c r="CU450" s="33"/>
      <c r="CV450" s="32"/>
      <c r="CW450" s="32"/>
      <c r="CX450" s="32"/>
      <c r="CY450" s="34"/>
      <c r="CZ450" s="34"/>
      <c r="DA450" s="34"/>
      <c r="DB450" s="33"/>
      <c r="DC450" s="33"/>
      <c r="DD450" s="33"/>
      <c r="DE450" s="33"/>
      <c r="DF450" s="33"/>
      <c r="DG450" s="33"/>
      <c r="DH450" s="34"/>
      <c r="DI450" s="34"/>
      <c r="DJ450" s="34"/>
      <c r="DK450" s="34"/>
      <c r="DL450" s="34"/>
      <c r="DM450" s="34"/>
      <c r="DN450" s="12">
        <v>2404022</v>
      </c>
      <c r="DS450" s="21"/>
      <c r="DT450" s="21"/>
      <c r="DU450" s="21"/>
    </row>
    <row r="451" spans="72:125" ht="13.5" customHeight="1">
      <c r="BT451" s="12">
        <v>2303022</v>
      </c>
      <c r="BU451" s="3">
        <f>[1]monsters!$N451</f>
        <v>62.4</v>
      </c>
      <c r="BV451" s="3">
        <f>[1]monsters!$O451</f>
        <v>6.24</v>
      </c>
      <c r="BW451" s="3">
        <f>[1]monsters!$P451</f>
        <v>1066.67</v>
      </c>
      <c r="BX451" s="3">
        <f>[1]monsters!$Q451</f>
        <v>106.67</v>
      </c>
      <c r="BY451" s="3">
        <f>[1]monsters!$R451</f>
        <v>12.48</v>
      </c>
      <c r="BZ451" s="3">
        <f>[1]monsters!$S451</f>
        <v>1.25</v>
      </c>
      <c r="CA451" s="3">
        <f>[1]monsters!$K451</f>
        <v>1.3</v>
      </c>
      <c r="CB451" s="12">
        <f>[1]monsters!$D451</f>
        <v>2</v>
      </c>
      <c r="CC451" s="12">
        <f t="shared" ca="1" si="46"/>
        <v>0.1</v>
      </c>
      <c r="CD451" s="12">
        <f t="shared" ca="1" si="47"/>
        <v>49.015658024691298</v>
      </c>
      <c r="CE451" s="12">
        <f t="shared" ca="1" si="48"/>
        <v>4.9015658024691398</v>
      </c>
      <c r="CS451" s="33"/>
      <c r="CT451" s="33"/>
      <c r="CU451" s="33"/>
      <c r="CV451" s="32"/>
      <c r="CW451" s="32"/>
      <c r="CX451" s="32"/>
      <c r="CY451" s="34"/>
      <c r="CZ451" s="34"/>
      <c r="DA451" s="34"/>
      <c r="DB451" s="33"/>
      <c r="DC451" s="33"/>
      <c r="DD451" s="33"/>
      <c r="DE451" s="33"/>
      <c r="DF451" s="33"/>
      <c r="DG451" s="33"/>
      <c r="DH451" s="34"/>
      <c r="DI451" s="34"/>
      <c r="DJ451" s="34"/>
      <c r="DK451" s="34"/>
      <c r="DL451" s="34"/>
      <c r="DM451" s="34"/>
      <c r="DN451" s="12">
        <v>2303022</v>
      </c>
      <c r="DS451" s="21"/>
      <c r="DT451" s="21"/>
      <c r="DU451" s="21"/>
    </row>
    <row r="452" spans="72:125" ht="13.5" customHeight="1">
      <c r="BT452" s="12">
        <v>2304022</v>
      </c>
      <c r="BU452" s="3">
        <f>[1]monsters!$N452</f>
        <v>83.2</v>
      </c>
      <c r="BV452" s="3">
        <f>[1]monsters!$O452</f>
        <v>8.32</v>
      </c>
      <c r="BW452" s="3">
        <f>[1]monsters!$P452</f>
        <v>800</v>
      </c>
      <c r="BX452" s="3">
        <f>[1]monsters!$Q452</f>
        <v>80</v>
      </c>
      <c r="BY452" s="3">
        <f>[1]monsters!$R452</f>
        <v>8.32</v>
      </c>
      <c r="BZ452" s="3">
        <f>[1]monsters!$S452</f>
        <v>0.83</v>
      </c>
      <c r="CA452" s="3">
        <f>[1]monsters!$K452</f>
        <v>1.3</v>
      </c>
      <c r="CB452" s="12">
        <f>[1]monsters!$D452</f>
        <v>4</v>
      </c>
      <c r="CC452" s="12">
        <f t="shared" ref="CC452:CC515" ca="1" si="49">INDEX($CK$5:$CK$10,MATCH($CC452,$CJ$5:$CJ$10))</f>
        <v>0.1</v>
      </c>
      <c r="CD452" s="12">
        <f t="shared" ca="1" si="47"/>
        <v>50.886758024691296</v>
      </c>
      <c r="CE452" s="12">
        <f t="shared" ca="1" si="48"/>
        <v>5.0886758024691296</v>
      </c>
      <c r="CS452" s="33"/>
      <c r="CT452" s="33"/>
      <c r="CU452" s="33"/>
      <c r="CV452" s="32"/>
      <c r="CW452" s="32"/>
      <c r="CX452" s="32"/>
      <c r="CY452" s="34"/>
      <c r="CZ452" s="34"/>
      <c r="DA452" s="34"/>
      <c r="DB452" s="33"/>
      <c r="DC452" s="33"/>
      <c r="DD452" s="33"/>
      <c r="DE452" s="33"/>
      <c r="DF452" s="33"/>
      <c r="DG452" s="33"/>
      <c r="DH452" s="34"/>
      <c r="DI452" s="34"/>
      <c r="DJ452" s="34"/>
      <c r="DK452" s="34"/>
      <c r="DL452" s="34"/>
      <c r="DM452" s="34"/>
      <c r="DN452" s="12">
        <v>2304022</v>
      </c>
      <c r="DS452" s="21"/>
      <c r="DT452" s="21"/>
      <c r="DU452" s="21"/>
    </row>
    <row r="453" spans="72:125" ht="13.5" customHeight="1">
      <c r="BT453" s="12">
        <v>2503022</v>
      </c>
      <c r="BU453" s="3">
        <f>[1]monsters!$N453</f>
        <v>86.4</v>
      </c>
      <c r="BV453" s="3">
        <f>[1]monsters!$O453</f>
        <v>8.64</v>
      </c>
      <c r="BW453" s="3">
        <f>[1]monsters!$P453</f>
        <v>1066.67</v>
      </c>
      <c r="BX453" s="3">
        <f>[1]monsters!$Q453</f>
        <v>106.67</v>
      </c>
      <c r="BY453" s="3">
        <f>[1]monsters!$R453</f>
        <v>17.28</v>
      </c>
      <c r="BZ453" s="3">
        <f>[1]monsters!$S453</f>
        <v>1.73</v>
      </c>
      <c r="CA453" s="3">
        <f>[1]monsters!$K453</f>
        <v>1.8</v>
      </c>
      <c r="CB453" s="12">
        <f>[1]monsters!$D453</f>
        <v>2</v>
      </c>
      <c r="CC453" s="12">
        <f t="shared" ca="1" si="49"/>
        <v>0.1</v>
      </c>
      <c r="CD453" s="12">
        <f t="shared" ref="CD453:CD516" ca="1" si="50">(BW453/33/(1-CC453)/(1-0)+BU453*(1+0.5*0.1)*0.9)</f>
        <v>58.4353185185185</v>
      </c>
      <c r="CE453" s="12">
        <f t="shared" ref="CE453:CE516" ca="1" si="51">(BW453/33/(1-CC453)/(1-0)+BU453*(1+0.5*0.1)*0.9)*0.1</f>
        <v>5.84353185185185</v>
      </c>
      <c r="CS453" s="33"/>
      <c r="CT453" s="33"/>
      <c r="CU453" s="33"/>
      <c r="CV453" s="32"/>
      <c r="CW453" s="32"/>
      <c r="CX453" s="32"/>
      <c r="CY453" s="34"/>
      <c r="CZ453" s="34"/>
      <c r="DA453" s="34"/>
      <c r="DB453" s="33"/>
      <c r="DC453" s="33"/>
      <c r="DD453" s="33"/>
      <c r="DE453" s="33"/>
      <c r="DF453" s="33"/>
      <c r="DG453" s="33"/>
      <c r="DH453" s="34"/>
      <c r="DI453" s="34"/>
      <c r="DJ453" s="34"/>
      <c r="DK453" s="34"/>
      <c r="DL453" s="34"/>
      <c r="DM453" s="34"/>
      <c r="DN453" s="12">
        <v>2503022</v>
      </c>
      <c r="DS453" s="21"/>
      <c r="DT453" s="21"/>
      <c r="DU453" s="21"/>
    </row>
    <row r="454" spans="72:125" ht="13.5" customHeight="1">
      <c r="BT454" s="12">
        <v>2504022</v>
      </c>
      <c r="BU454" s="3">
        <f>[1]monsters!$N454</f>
        <v>100</v>
      </c>
      <c r="BV454" s="3">
        <f>[1]monsters!$O454</f>
        <v>10</v>
      </c>
      <c r="BW454" s="3">
        <f>[1]monsters!$P454</f>
        <v>768</v>
      </c>
      <c r="BX454" s="3">
        <f>[1]monsters!$Q454</f>
        <v>76.8</v>
      </c>
      <c r="BY454" s="3">
        <f>[1]monsters!$R454</f>
        <v>10</v>
      </c>
      <c r="BZ454" s="3">
        <f>[1]monsters!$S454</f>
        <v>1</v>
      </c>
      <c r="CA454" s="3">
        <f>[1]monsters!$K454</f>
        <v>1.5</v>
      </c>
      <c r="CB454" s="12">
        <f>[1]monsters!$D454</f>
        <v>4</v>
      </c>
      <c r="CC454" s="12">
        <f t="shared" ca="1" si="49"/>
        <v>0.1</v>
      </c>
      <c r="CD454" s="12">
        <f t="shared" ca="1" si="50"/>
        <v>63.424918518518503</v>
      </c>
      <c r="CE454" s="12">
        <f t="shared" ca="1" si="51"/>
        <v>6.3424918518518503</v>
      </c>
      <c r="CS454" s="33"/>
      <c r="CT454" s="33"/>
      <c r="CU454" s="33"/>
      <c r="CV454" s="32"/>
      <c r="CW454" s="32"/>
      <c r="CX454" s="32"/>
      <c r="CY454" s="34"/>
      <c r="CZ454" s="34"/>
      <c r="DA454" s="34"/>
      <c r="DB454" s="33"/>
      <c r="DC454" s="33"/>
      <c r="DD454" s="33"/>
      <c r="DE454" s="33"/>
      <c r="DF454" s="33"/>
      <c r="DG454" s="33"/>
      <c r="DH454" s="34"/>
      <c r="DI454" s="34"/>
      <c r="DJ454" s="34"/>
      <c r="DK454" s="34"/>
      <c r="DL454" s="34"/>
      <c r="DM454" s="34"/>
      <c r="DN454" s="12">
        <v>2504022</v>
      </c>
      <c r="DS454" s="21"/>
      <c r="DT454" s="21"/>
      <c r="DU454" s="21"/>
    </row>
    <row r="455" spans="72:125" ht="13.5" customHeight="1">
      <c r="BT455" s="12">
        <v>2101022</v>
      </c>
      <c r="BU455" s="3">
        <f>[1]monsters!$N455</f>
        <v>76.27</v>
      </c>
      <c r="BV455" s="3">
        <f>[1]monsters!$O455</f>
        <v>7.63</v>
      </c>
      <c r="BW455" s="3">
        <f>[1]monsters!$P455</f>
        <v>872.73</v>
      </c>
      <c r="BX455" s="3">
        <f>[1]monsters!$Q455</f>
        <v>87.27</v>
      </c>
      <c r="BY455" s="3">
        <f>[1]monsters!$R455</f>
        <v>9.5299999999999994</v>
      </c>
      <c r="BZ455" s="3">
        <f>[1]monsters!$S455</f>
        <v>0.95</v>
      </c>
      <c r="CA455" s="3">
        <f>[1]monsters!$K455</f>
        <v>1.3</v>
      </c>
      <c r="CB455" s="12">
        <f>[1]monsters!$D455</f>
        <v>3</v>
      </c>
      <c r="CC455" s="12">
        <f t="shared" ca="1" si="49"/>
        <v>0.1</v>
      </c>
      <c r="CD455" s="12">
        <f t="shared" ca="1" si="50"/>
        <v>55.486222222222203</v>
      </c>
      <c r="CE455" s="12">
        <f t="shared" ca="1" si="51"/>
        <v>5.5486222222222201</v>
      </c>
      <c r="CS455" s="33"/>
      <c r="CT455" s="33"/>
      <c r="CU455" s="33"/>
      <c r="CV455" s="32"/>
      <c r="CW455" s="32"/>
      <c r="CX455" s="32"/>
      <c r="CY455" s="34"/>
      <c r="CZ455" s="34"/>
      <c r="DA455" s="34"/>
      <c r="DB455" s="33"/>
      <c r="DC455" s="33"/>
      <c r="DD455" s="33"/>
      <c r="DE455" s="33"/>
      <c r="DF455" s="33"/>
      <c r="DG455" s="33"/>
      <c r="DH455" s="34"/>
      <c r="DI455" s="34"/>
      <c r="DJ455" s="34"/>
      <c r="DK455" s="34"/>
      <c r="DL455" s="34"/>
      <c r="DM455" s="34"/>
      <c r="DN455" s="12">
        <v>2101022</v>
      </c>
      <c r="DS455" s="21"/>
      <c r="DT455" s="21"/>
      <c r="DU455" s="21"/>
    </row>
    <row r="456" spans="72:125" ht="13.5" customHeight="1">
      <c r="BT456" s="12">
        <v>2102022</v>
      </c>
      <c r="BU456" s="3">
        <f>[1]monsters!$N456</f>
        <v>105.6</v>
      </c>
      <c r="BV456" s="3">
        <f>[1]monsters!$O456</f>
        <v>10.56</v>
      </c>
      <c r="BW456" s="3">
        <f>[1]monsters!$P456</f>
        <v>872.73</v>
      </c>
      <c r="BX456" s="3">
        <f>[1]monsters!$Q456</f>
        <v>87.27</v>
      </c>
      <c r="BY456" s="3">
        <f>[1]monsters!$R456</f>
        <v>17.600000000000001</v>
      </c>
      <c r="BZ456" s="3">
        <f>[1]monsters!$S456</f>
        <v>1.76</v>
      </c>
      <c r="CA456" s="3">
        <f>[1]monsters!$K456</f>
        <v>1.8</v>
      </c>
      <c r="CB456" s="12">
        <f>[1]monsters!$D456</f>
        <v>5</v>
      </c>
      <c r="CC456" s="12">
        <f t="shared" ca="1" si="49"/>
        <v>0.1</v>
      </c>
      <c r="CD456" s="12">
        <f t="shared" ca="1" si="50"/>
        <v>51.328222222222202</v>
      </c>
      <c r="CE456" s="12">
        <f t="shared" ca="1" si="51"/>
        <v>5.1328222222222202</v>
      </c>
      <c r="CS456" s="33"/>
      <c r="CT456" s="33"/>
      <c r="CU456" s="33"/>
      <c r="CV456" s="32"/>
      <c r="CW456" s="32"/>
      <c r="CX456" s="32"/>
      <c r="CY456" s="34"/>
      <c r="CZ456" s="34"/>
      <c r="DA456" s="34"/>
      <c r="DB456" s="33"/>
      <c r="DC456" s="33"/>
      <c r="DD456" s="33"/>
      <c r="DE456" s="33"/>
      <c r="DF456" s="33"/>
      <c r="DG456" s="33"/>
      <c r="DH456" s="34"/>
      <c r="DI456" s="34"/>
      <c r="DJ456" s="34"/>
      <c r="DK456" s="34"/>
      <c r="DL456" s="34"/>
      <c r="DM456" s="34"/>
      <c r="DN456" s="12">
        <v>2102022</v>
      </c>
      <c r="DS456" s="21"/>
      <c r="DT456" s="21"/>
      <c r="DU456" s="21"/>
    </row>
    <row r="457" spans="72:125" ht="13.5" customHeight="1">
      <c r="BT457" s="12">
        <v>2206023</v>
      </c>
      <c r="BU457" s="3">
        <f>[1]monsters!$N457</f>
        <v>76.8</v>
      </c>
      <c r="BV457" s="3">
        <f>[1]monsters!$O457</f>
        <v>7.68</v>
      </c>
      <c r="BW457" s="3">
        <f>[1]monsters!$P457</f>
        <v>1066.67</v>
      </c>
      <c r="BX457" s="3">
        <f>[1]monsters!$Q457</f>
        <v>106.67</v>
      </c>
      <c r="BY457" s="3">
        <f>[1]monsters!$R457</f>
        <v>15.36</v>
      </c>
      <c r="BZ457" s="3">
        <f>[1]monsters!$S457</f>
        <v>1.54</v>
      </c>
      <c r="CA457" s="3">
        <f>[1]monsters!$K457</f>
        <v>1.6</v>
      </c>
      <c r="CB457" s="12">
        <f>[1]monsters!$D457</f>
        <v>2</v>
      </c>
      <c r="CC457" s="12">
        <f t="shared" ca="1" si="49"/>
        <v>0.1</v>
      </c>
      <c r="CD457" s="12">
        <f t="shared" ca="1" si="50"/>
        <v>56.0521777777778</v>
      </c>
      <c r="CE457" s="12">
        <f t="shared" ca="1" si="51"/>
        <v>5.6052177777777796</v>
      </c>
      <c r="CS457" s="33"/>
      <c r="CT457" s="33"/>
      <c r="CU457" s="33"/>
      <c r="CV457" s="32"/>
      <c r="CW457" s="32"/>
      <c r="CX457" s="32"/>
      <c r="CY457" s="34"/>
      <c r="CZ457" s="34"/>
      <c r="DA457" s="34"/>
      <c r="DB457" s="33"/>
      <c r="DC457" s="33"/>
      <c r="DD457" s="33"/>
      <c r="DE457" s="33"/>
      <c r="DF457" s="33"/>
      <c r="DG457" s="33"/>
      <c r="DH457" s="34"/>
      <c r="DI457" s="34"/>
      <c r="DJ457" s="34"/>
      <c r="DK457" s="34"/>
      <c r="DL457" s="34"/>
      <c r="DM457" s="34"/>
      <c r="DN457" s="12">
        <v>2206023</v>
      </c>
      <c r="DS457" s="21"/>
      <c r="DT457" s="21"/>
      <c r="DU457" s="21"/>
    </row>
    <row r="458" spans="72:125" ht="13.5" customHeight="1">
      <c r="BT458" s="12">
        <v>2406023</v>
      </c>
      <c r="BU458" s="3">
        <f>[1]monsters!$N458</f>
        <v>97.07</v>
      </c>
      <c r="BV458" s="3">
        <f>[1]monsters!$O458</f>
        <v>9.7100000000000009</v>
      </c>
      <c r="BW458" s="3">
        <f>[1]monsters!$P458</f>
        <v>738.46</v>
      </c>
      <c r="BX458" s="3">
        <f>[1]monsters!$Q458</f>
        <v>73.849999999999994</v>
      </c>
      <c r="BY458" s="3">
        <f>[1]monsters!$R458</f>
        <v>9.7100000000000009</v>
      </c>
      <c r="BZ458" s="3">
        <f>[1]monsters!$S458</f>
        <v>0.97</v>
      </c>
      <c r="CA458" s="3">
        <f>[1]monsters!$K458</f>
        <v>1.4000000000000001</v>
      </c>
      <c r="CB458" s="12">
        <f>[1]monsters!$D458</f>
        <v>4</v>
      </c>
      <c r="CC458" s="12">
        <f t="shared" ca="1" si="49"/>
        <v>0.1</v>
      </c>
      <c r="CD458" s="12">
        <f t="shared" ca="1" si="50"/>
        <v>52.218620202020197</v>
      </c>
      <c r="CE458" s="12">
        <f t="shared" ca="1" si="51"/>
        <v>5.2218620202020203</v>
      </c>
      <c r="CS458" s="33"/>
      <c r="CT458" s="33"/>
      <c r="CU458" s="33"/>
      <c r="CV458" s="32"/>
      <c r="CW458" s="32"/>
      <c r="CX458" s="32"/>
      <c r="CY458" s="34"/>
      <c r="CZ458" s="34"/>
      <c r="DA458" s="34"/>
      <c r="DB458" s="33"/>
      <c r="DC458" s="33"/>
      <c r="DD458" s="33"/>
      <c r="DE458" s="33"/>
      <c r="DF458" s="33"/>
      <c r="DG458" s="33"/>
      <c r="DH458" s="34"/>
      <c r="DI458" s="34"/>
      <c r="DJ458" s="34"/>
      <c r="DK458" s="34"/>
      <c r="DL458" s="34"/>
      <c r="DM458" s="34"/>
      <c r="DN458" s="12">
        <v>2406023</v>
      </c>
      <c r="DS458" s="21"/>
      <c r="DT458" s="21"/>
      <c r="DU458" s="21"/>
    </row>
    <row r="459" spans="72:125" ht="13.5" customHeight="1">
      <c r="BT459" s="12">
        <v>2205023</v>
      </c>
      <c r="BU459" s="3">
        <f>[1]monsters!$N459</f>
        <v>67.2</v>
      </c>
      <c r="BV459" s="3">
        <f>[1]monsters!$O459</f>
        <v>6.72</v>
      </c>
      <c r="BW459" s="3">
        <f>[1]monsters!$P459</f>
        <v>1066.67</v>
      </c>
      <c r="BX459" s="3">
        <f>[1]monsters!$Q459</f>
        <v>106.67</v>
      </c>
      <c r="BY459" s="3">
        <f>[1]monsters!$R459</f>
        <v>13.44</v>
      </c>
      <c r="BZ459" s="3">
        <f>[1]monsters!$S459</f>
        <v>1.34</v>
      </c>
      <c r="CA459" s="3">
        <f>[1]monsters!$K459</f>
        <v>1.4000000000000001</v>
      </c>
      <c r="CB459" s="12">
        <f>[1]monsters!$D459</f>
        <v>2</v>
      </c>
      <c r="CC459" s="12">
        <f t="shared" ca="1" si="49"/>
        <v>0.1</v>
      </c>
      <c r="CD459" s="12">
        <f t="shared" ca="1" si="50"/>
        <v>61.041777777777803</v>
      </c>
      <c r="CE459" s="12">
        <f t="shared" ca="1" si="51"/>
        <v>6.1041777777777799</v>
      </c>
      <c r="CS459" s="33"/>
      <c r="CT459" s="33"/>
      <c r="CU459" s="33"/>
      <c r="CV459" s="32"/>
      <c r="CW459" s="32"/>
      <c r="CX459" s="32"/>
      <c r="CY459" s="34"/>
      <c r="CZ459" s="34"/>
      <c r="DA459" s="34"/>
      <c r="DB459" s="33"/>
      <c r="DC459" s="33"/>
      <c r="DD459" s="33"/>
      <c r="DE459" s="33"/>
      <c r="DF459" s="33"/>
      <c r="DG459" s="33"/>
      <c r="DH459" s="34"/>
      <c r="DI459" s="34"/>
      <c r="DJ459" s="34"/>
      <c r="DK459" s="34"/>
      <c r="DL459" s="34"/>
      <c r="DM459" s="34"/>
      <c r="DN459" s="12">
        <v>2205023</v>
      </c>
      <c r="DS459" s="21"/>
      <c r="DT459" s="21"/>
      <c r="DU459" s="21"/>
    </row>
    <row r="460" spans="72:125" ht="13.5" customHeight="1">
      <c r="BT460" s="12">
        <v>2405023</v>
      </c>
      <c r="BU460" s="3">
        <f>[1]monsters!$N460</f>
        <v>110.93</v>
      </c>
      <c r="BV460" s="3">
        <f>[1]monsters!$O460</f>
        <v>11.09</v>
      </c>
      <c r="BW460" s="3">
        <f>[1]monsters!$P460</f>
        <v>738.46</v>
      </c>
      <c r="BX460" s="3">
        <f>[1]monsters!$Q460</f>
        <v>73.849999999999994</v>
      </c>
      <c r="BY460" s="3">
        <f>[1]monsters!$R460</f>
        <v>11.09</v>
      </c>
      <c r="BZ460" s="3">
        <f>[1]monsters!$S460</f>
        <v>1.1100000000000001</v>
      </c>
      <c r="CA460" s="3">
        <f>[1]monsters!$K460</f>
        <v>1.6</v>
      </c>
      <c r="CB460" s="12">
        <f>[1]monsters!$D460</f>
        <v>4</v>
      </c>
      <c r="CC460" s="12">
        <f t="shared" ca="1" si="49"/>
        <v>0.1</v>
      </c>
      <c r="CD460" s="12">
        <f t="shared" ca="1" si="50"/>
        <v>54.5055202020202</v>
      </c>
      <c r="CE460" s="12">
        <f t="shared" ca="1" si="51"/>
        <v>5.4505520202020197</v>
      </c>
      <c r="CS460" s="33"/>
      <c r="CT460" s="33"/>
      <c r="CU460" s="33"/>
      <c r="CV460" s="32"/>
      <c r="CW460" s="32"/>
      <c r="CX460" s="32"/>
      <c r="CY460" s="34"/>
      <c r="CZ460" s="34"/>
      <c r="DA460" s="34"/>
      <c r="DB460" s="33"/>
      <c r="DC460" s="33"/>
      <c r="DD460" s="33"/>
      <c r="DE460" s="33"/>
      <c r="DF460" s="33"/>
      <c r="DG460" s="33"/>
      <c r="DH460" s="34"/>
      <c r="DI460" s="34"/>
      <c r="DJ460" s="34"/>
      <c r="DK460" s="34"/>
      <c r="DL460" s="34"/>
      <c r="DM460" s="34"/>
      <c r="DN460" s="12">
        <v>2405023</v>
      </c>
      <c r="DS460" s="21"/>
      <c r="DT460" s="21"/>
      <c r="DU460" s="21"/>
    </row>
    <row r="461" spans="72:125" ht="13.5" customHeight="1">
      <c r="BT461" s="12">
        <v>2203023</v>
      </c>
      <c r="BU461" s="3">
        <f>[1]monsters!$N461</f>
        <v>102.4</v>
      </c>
      <c r="BV461" s="3">
        <f>[1]monsters!$O461</f>
        <v>10.24</v>
      </c>
      <c r="BW461" s="3">
        <f>[1]monsters!$P461</f>
        <v>800</v>
      </c>
      <c r="BX461" s="3">
        <f>[1]monsters!$Q461</f>
        <v>80</v>
      </c>
      <c r="BY461" s="3">
        <f>[1]monsters!$R461</f>
        <v>17.07</v>
      </c>
      <c r="BZ461" s="3">
        <f>[1]monsters!$S461</f>
        <v>1.71</v>
      </c>
      <c r="CA461" s="3">
        <f>[1]monsters!$K461</f>
        <v>1.6</v>
      </c>
      <c r="CB461" s="12">
        <f>[1]monsters!$D461</f>
        <v>5</v>
      </c>
      <c r="CC461" s="12">
        <f t="shared" ca="1" si="49"/>
        <v>0.1</v>
      </c>
      <c r="CD461" s="12">
        <f t="shared" ca="1" si="50"/>
        <v>49.399377777777801</v>
      </c>
      <c r="CE461" s="12">
        <f t="shared" ca="1" si="51"/>
        <v>4.9399377777777804</v>
      </c>
      <c r="CS461" s="33"/>
      <c r="CT461" s="33"/>
      <c r="CU461" s="33"/>
      <c r="CV461" s="32"/>
      <c r="CW461" s="32"/>
      <c r="CX461" s="32"/>
      <c r="CY461" s="34"/>
      <c r="CZ461" s="34"/>
      <c r="DA461" s="34"/>
      <c r="DB461" s="33"/>
      <c r="DC461" s="33"/>
      <c r="DD461" s="33"/>
      <c r="DE461" s="33"/>
      <c r="DF461" s="33"/>
      <c r="DG461" s="33"/>
      <c r="DH461" s="34"/>
      <c r="DI461" s="34"/>
      <c r="DJ461" s="34"/>
      <c r="DK461" s="34"/>
      <c r="DL461" s="34"/>
      <c r="DM461" s="34"/>
      <c r="DN461" s="12">
        <v>2203023</v>
      </c>
      <c r="DS461" s="21"/>
      <c r="DT461" s="21"/>
      <c r="DU461" s="21"/>
    </row>
    <row r="462" spans="72:125" ht="13.5" customHeight="1">
      <c r="BT462" s="12">
        <v>2403023</v>
      </c>
      <c r="BU462" s="3">
        <f>[1]monsters!$N462</f>
        <v>85.87</v>
      </c>
      <c r="BV462" s="3">
        <f>[1]monsters!$O462</f>
        <v>8.59</v>
      </c>
      <c r="BW462" s="3">
        <f>[1]monsters!$P462</f>
        <v>834.78</v>
      </c>
      <c r="BX462" s="3">
        <f>[1]monsters!$Q462</f>
        <v>83.48</v>
      </c>
      <c r="BY462" s="3">
        <f>[1]monsters!$R462</f>
        <v>10.73</v>
      </c>
      <c r="BZ462" s="3">
        <f>[1]monsters!$S462</f>
        <v>1.07</v>
      </c>
      <c r="CA462" s="3">
        <f>[1]monsters!$K462</f>
        <v>1.4000000000000001</v>
      </c>
      <c r="CB462" s="12">
        <f>[1]monsters!$D462</f>
        <v>3</v>
      </c>
      <c r="CC462" s="12">
        <f t="shared" ca="1" si="49"/>
        <v>0.1</v>
      </c>
      <c r="CD462" s="12">
        <f t="shared" ca="1" si="50"/>
        <v>45.357920202020203</v>
      </c>
      <c r="CE462" s="12">
        <f t="shared" ca="1" si="51"/>
        <v>4.5357920202020203</v>
      </c>
      <c r="CS462" s="33"/>
      <c r="CT462" s="33"/>
      <c r="CU462" s="33"/>
      <c r="CV462" s="32"/>
      <c r="CW462" s="32"/>
      <c r="CX462" s="32"/>
      <c r="CY462" s="34"/>
      <c r="CZ462" s="34"/>
      <c r="DA462" s="34"/>
      <c r="DB462" s="33"/>
      <c r="DC462" s="33"/>
      <c r="DD462" s="33"/>
      <c r="DE462" s="33"/>
      <c r="DF462" s="33"/>
      <c r="DG462" s="33"/>
      <c r="DH462" s="34"/>
      <c r="DI462" s="34"/>
      <c r="DJ462" s="34"/>
      <c r="DK462" s="34"/>
      <c r="DL462" s="34"/>
      <c r="DM462" s="34"/>
      <c r="DN462" s="12">
        <v>2403023</v>
      </c>
      <c r="DS462" s="21"/>
      <c r="DT462" s="21"/>
      <c r="DU462" s="21"/>
    </row>
    <row r="463" spans="72:125" ht="13.5" customHeight="1">
      <c r="BT463" s="12">
        <v>2204023</v>
      </c>
      <c r="BU463" s="3">
        <f>[1]monsters!$N463</f>
        <v>62.4</v>
      </c>
      <c r="BV463" s="3">
        <f>[1]monsters!$O463</f>
        <v>6.24</v>
      </c>
      <c r="BW463" s="3">
        <f>[1]monsters!$P463</f>
        <v>1066.67</v>
      </c>
      <c r="BX463" s="3">
        <f>[1]monsters!$Q463</f>
        <v>106.67</v>
      </c>
      <c r="BY463" s="3">
        <f>[1]monsters!$R463</f>
        <v>12.48</v>
      </c>
      <c r="BZ463" s="3">
        <f>[1]monsters!$S463</f>
        <v>1.25</v>
      </c>
      <c r="CA463" s="3">
        <f>[1]monsters!$K463</f>
        <v>1.3</v>
      </c>
      <c r="CB463" s="12">
        <f>[1]monsters!$D463</f>
        <v>2</v>
      </c>
      <c r="CC463" s="12">
        <f t="shared" ca="1" si="49"/>
        <v>0.1</v>
      </c>
      <c r="CD463" s="12">
        <f t="shared" ca="1" si="50"/>
        <v>51.062577777777797</v>
      </c>
      <c r="CE463" s="12">
        <f t="shared" ca="1" si="51"/>
        <v>5.1062577777777802</v>
      </c>
      <c r="CS463" s="33"/>
      <c r="CT463" s="33"/>
      <c r="CU463" s="33"/>
      <c r="CV463" s="32"/>
      <c r="CW463" s="32"/>
      <c r="CX463" s="32"/>
      <c r="CY463" s="34"/>
      <c r="CZ463" s="34"/>
      <c r="DA463" s="34"/>
      <c r="DB463" s="33"/>
      <c r="DC463" s="33"/>
      <c r="DD463" s="33"/>
      <c r="DE463" s="33"/>
      <c r="DF463" s="33"/>
      <c r="DG463" s="33"/>
      <c r="DH463" s="34"/>
      <c r="DI463" s="34"/>
      <c r="DJ463" s="34"/>
      <c r="DK463" s="34"/>
      <c r="DL463" s="34"/>
      <c r="DM463" s="34"/>
      <c r="DN463" s="12">
        <v>2204023</v>
      </c>
      <c r="DS463" s="21"/>
      <c r="DT463" s="21"/>
      <c r="DU463" s="21"/>
    </row>
    <row r="464" spans="72:125" ht="13.5" customHeight="1">
      <c r="BT464" s="12">
        <v>2404023</v>
      </c>
      <c r="BU464" s="3">
        <f>[1]monsters!$N464</f>
        <v>83.2</v>
      </c>
      <c r="BV464" s="3">
        <f>[1]monsters!$O464</f>
        <v>8.32</v>
      </c>
      <c r="BW464" s="3">
        <f>[1]monsters!$P464</f>
        <v>800</v>
      </c>
      <c r="BX464" s="3">
        <f>[1]monsters!$Q464</f>
        <v>80</v>
      </c>
      <c r="BY464" s="3">
        <f>[1]monsters!$R464</f>
        <v>8.32</v>
      </c>
      <c r="BZ464" s="3">
        <f>[1]monsters!$S464</f>
        <v>0.83</v>
      </c>
      <c r="CA464" s="3">
        <f>[1]monsters!$K464</f>
        <v>1.3</v>
      </c>
      <c r="CB464" s="12">
        <f>[1]monsters!$D464</f>
        <v>4</v>
      </c>
      <c r="CC464" s="12">
        <f t="shared" ca="1" si="49"/>
        <v>0.1</v>
      </c>
      <c r="CD464" s="12">
        <f t="shared" ca="1" si="50"/>
        <v>54.5055202020202</v>
      </c>
      <c r="CE464" s="12">
        <f t="shared" ca="1" si="51"/>
        <v>5.4505520202020197</v>
      </c>
      <c r="CS464" s="33"/>
      <c r="CT464" s="33"/>
      <c r="CU464" s="33"/>
      <c r="CV464" s="32"/>
      <c r="CW464" s="32"/>
      <c r="CX464" s="32"/>
      <c r="CY464" s="34"/>
      <c r="CZ464" s="34"/>
      <c r="DA464" s="34"/>
      <c r="DB464" s="33"/>
      <c r="DC464" s="33"/>
      <c r="DD464" s="33"/>
      <c r="DE464" s="33"/>
      <c r="DF464" s="33"/>
      <c r="DG464" s="33"/>
      <c r="DH464" s="34"/>
      <c r="DI464" s="34"/>
      <c r="DJ464" s="34"/>
      <c r="DK464" s="34"/>
      <c r="DL464" s="34"/>
      <c r="DM464" s="34"/>
      <c r="DN464" s="12">
        <v>2404023</v>
      </c>
      <c r="DS464" s="21"/>
      <c r="DT464" s="21"/>
      <c r="DU464" s="21"/>
    </row>
    <row r="465" spans="72:125" ht="13.5" customHeight="1">
      <c r="BT465" s="12">
        <v>2303023</v>
      </c>
      <c r="BU465" s="3">
        <f>[1]monsters!$N465</f>
        <v>86.4</v>
      </c>
      <c r="BV465" s="3">
        <f>[1]monsters!$O465</f>
        <v>8.64</v>
      </c>
      <c r="BW465" s="3">
        <f>[1]monsters!$P465</f>
        <v>1066.67</v>
      </c>
      <c r="BX465" s="3">
        <f>[1]monsters!$Q465</f>
        <v>106.67</v>
      </c>
      <c r="BY465" s="3">
        <f>[1]monsters!$R465</f>
        <v>17.28</v>
      </c>
      <c r="BZ465" s="3">
        <f>[1]monsters!$S465</f>
        <v>1.73</v>
      </c>
      <c r="CA465" s="3">
        <f>[1]monsters!$K465</f>
        <v>1.8</v>
      </c>
      <c r="CB465" s="12">
        <f>[1]monsters!$D465</f>
        <v>2</v>
      </c>
      <c r="CC465" s="12">
        <f t="shared" ca="1" si="49"/>
        <v>0.1</v>
      </c>
      <c r="CD465" s="12">
        <f t="shared" ca="1" si="50"/>
        <v>49.015658024691298</v>
      </c>
      <c r="CE465" s="12">
        <f t="shared" ca="1" si="51"/>
        <v>4.9015658024691398</v>
      </c>
      <c r="CS465" s="33"/>
      <c r="CT465" s="33"/>
      <c r="CU465" s="33"/>
      <c r="CV465" s="32"/>
      <c r="CW465" s="32"/>
      <c r="CX465" s="32"/>
      <c r="CY465" s="34"/>
      <c r="CZ465" s="34"/>
      <c r="DA465" s="34"/>
      <c r="DB465" s="33"/>
      <c r="DC465" s="33"/>
      <c r="DD465" s="33"/>
      <c r="DE465" s="33"/>
      <c r="DF465" s="33"/>
      <c r="DG465" s="33"/>
      <c r="DH465" s="34"/>
      <c r="DI465" s="34"/>
      <c r="DJ465" s="34"/>
      <c r="DK465" s="34"/>
      <c r="DL465" s="34"/>
      <c r="DM465" s="34"/>
      <c r="DN465" s="12">
        <v>2303023</v>
      </c>
      <c r="DS465" s="21"/>
      <c r="DT465" s="21"/>
      <c r="DU465" s="21"/>
    </row>
    <row r="466" spans="72:125" ht="13.5" customHeight="1">
      <c r="BT466" s="12">
        <v>2304023</v>
      </c>
      <c r="BU466" s="3">
        <f>[1]monsters!$N466</f>
        <v>100</v>
      </c>
      <c r="BV466" s="3">
        <f>[1]monsters!$O466</f>
        <v>10</v>
      </c>
      <c r="BW466" s="3">
        <f>[1]monsters!$P466</f>
        <v>768</v>
      </c>
      <c r="BX466" s="3">
        <f>[1]monsters!$Q466</f>
        <v>76.8</v>
      </c>
      <c r="BY466" s="3">
        <f>[1]monsters!$R466</f>
        <v>10</v>
      </c>
      <c r="BZ466" s="3">
        <f>[1]monsters!$S466</f>
        <v>1</v>
      </c>
      <c r="CA466" s="3">
        <f>[1]monsters!$K466</f>
        <v>1.5</v>
      </c>
      <c r="CB466" s="12">
        <f>[1]monsters!$D466</f>
        <v>4</v>
      </c>
      <c r="CC466" s="12">
        <f t="shared" ca="1" si="49"/>
        <v>0.1</v>
      </c>
      <c r="CD466" s="12">
        <f t="shared" ca="1" si="50"/>
        <v>50.886758024691296</v>
      </c>
      <c r="CE466" s="12">
        <f t="shared" ca="1" si="51"/>
        <v>5.0886758024691296</v>
      </c>
      <c r="CS466" s="33"/>
      <c r="CT466" s="33"/>
      <c r="CU466" s="33"/>
      <c r="CV466" s="32"/>
      <c r="CW466" s="32"/>
      <c r="CX466" s="32"/>
      <c r="CY466" s="34"/>
      <c r="CZ466" s="34"/>
      <c r="DA466" s="34"/>
      <c r="DB466" s="33"/>
      <c r="DC466" s="33"/>
      <c r="DD466" s="33"/>
      <c r="DE466" s="33"/>
      <c r="DF466" s="33"/>
      <c r="DG466" s="33"/>
      <c r="DH466" s="34"/>
      <c r="DI466" s="34"/>
      <c r="DJ466" s="34"/>
      <c r="DK466" s="34"/>
      <c r="DL466" s="34"/>
      <c r="DM466" s="34"/>
      <c r="DN466" s="12">
        <v>2304023</v>
      </c>
      <c r="DS466" s="21"/>
      <c r="DT466" s="21"/>
      <c r="DU466" s="21"/>
    </row>
    <row r="467" spans="72:125" ht="13.5" customHeight="1">
      <c r="BT467" s="12">
        <v>2503023</v>
      </c>
      <c r="BU467" s="3">
        <f>[1]monsters!$N467</f>
        <v>76.27</v>
      </c>
      <c r="BV467" s="3">
        <f>[1]monsters!$O467</f>
        <v>7.63</v>
      </c>
      <c r="BW467" s="3">
        <f>[1]monsters!$P467</f>
        <v>872.73</v>
      </c>
      <c r="BX467" s="3">
        <f>[1]monsters!$Q467</f>
        <v>87.27</v>
      </c>
      <c r="BY467" s="3">
        <f>[1]monsters!$R467</f>
        <v>9.5299999999999994</v>
      </c>
      <c r="BZ467" s="3">
        <f>[1]monsters!$S467</f>
        <v>0.95</v>
      </c>
      <c r="CA467" s="3">
        <f>[1]monsters!$K467</f>
        <v>1.3</v>
      </c>
      <c r="CB467" s="12">
        <f>[1]monsters!$D467</f>
        <v>3</v>
      </c>
      <c r="CC467" s="12">
        <f t="shared" ca="1" si="49"/>
        <v>0.1</v>
      </c>
      <c r="CD467" s="12">
        <f t="shared" ca="1" si="50"/>
        <v>58.4353185185185</v>
      </c>
      <c r="CE467" s="12">
        <f t="shared" ca="1" si="51"/>
        <v>5.84353185185185</v>
      </c>
      <c r="CS467" s="33"/>
      <c r="CT467" s="33"/>
      <c r="CU467" s="33"/>
      <c r="CV467" s="32"/>
      <c r="CW467" s="32"/>
      <c r="CX467" s="32"/>
      <c r="CY467" s="34"/>
      <c r="CZ467" s="34"/>
      <c r="DA467" s="34"/>
      <c r="DB467" s="33"/>
      <c r="DC467" s="33"/>
      <c r="DD467" s="33"/>
      <c r="DE467" s="33"/>
      <c r="DF467" s="33"/>
      <c r="DG467" s="33"/>
      <c r="DH467" s="34"/>
      <c r="DI467" s="34"/>
      <c r="DJ467" s="34"/>
      <c r="DK467" s="34"/>
      <c r="DL467" s="34"/>
      <c r="DM467" s="34"/>
      <c r="DN467" s="12">
        <v>2503023</v>
      </c>
      <c r="DS467" s="21"/>
      <c r="DT467" s="21"/>
      <c r="DU467" s="21"/>
    </row>
    <row r="468" spans="72:125" ht="13.5" customHeight="1">
      <c r="BT468" s="12">
        <v>2504023</v>
      </c>
      <c r="BU468" s="3">
        <f>[1]monsters!$N468</f>
        <v>105.6</v>
      </c>
      <c r="BV468" s="3">
        <f>[1]monsters!$O468</f>
        <v>10.56</v>
      </c>
      <c r="BW468" s="3">
        <f>[1]monsters!$P468</f>
        <v>872.73</v>
      </c>
      <c r="BX468" s="3">
        <f>[1]monsters!$Q468</f>
        <v>87.27</v>
      </c>
      <c r="BY468" s="3">
        <f>[1]monsters!$R468</f>
        <v>17.600000000000001</v>
      </c>
      <c r="BZ468" s="3">
        <f>[1]monsters!$S468</f>
        <v>1.76</v>
      </c>
      <c r="CA468" s="3">
        <f>[1]monsters!$K468</f>
        <v>1.8</v>
      </c>
      <c r="CB468" s="12">
        <f>[1]monsters!$D468</f>
        <v>5</v>
      </c>
      <c r="CC468" s="12">
        <f t="shared" ca="1" si="49"/>
        <v>0.1</v>
      </c>
      <c r="CD468" s="12">
        <f t="shared" ca="1" si="50"/>
        <v>63.424918518518503</v>
      </c>
      <c r="CE468" s="12">
        <f t="shared" ca="1" si="51"/>
        <v>6.3424918518518503</v>
      </c>
      <c r="CS468" s="33"/>
      <c r="CT468" s="33"/>
      <c r="CU468" s="33"/>
      <c r="CV468" s="32"/>
      <c r="CW468" s="32"/>
      <c r="CX468" s="32"/>
      <c r="CY468" s="34"/>
      <c r="CZ468" s="34"/>
      <c r="DA468" s="34"/>
      <c r="DB468" s="33"/>
      <c r="DC468" s="33"/>
      <c r="DD468" s="33"/>
      <c r="DE468" s="33"/>
      <c r="DF468" s="33"/>
      <c r="DG468" s="33"/>
      <c r="DH468" s="34"/>
      <c r="DI468" s="34"/>
      <c r="DJ468" s="34"/>
      <c r="DK468" s="34"/>
      <c r="DL468" s="34"/>
      <c r="DM468" s="34"/>
      <c r="DN468" s="12">
        <v>2504023</v>
      </c>
      <c r="DS468" s="21"/>
      <c r="DT468" s="21"/>
      <c r="DU468" s="21"/>
    </row>
    <row r="469" spans="72:125" ht="13.5" customHeight="1">
      <c r="BT469" s="12">
        <v>2101023</v>
      </c>
      <c r="BU469" s="3">
        <f>[1]monsters!$N469</f>
        <v>76.8</v>
      </c>
      <c r="BV469" s="3">
        <f>[1]monsters!$O469</f>
        <v>7.68</v>
      </c>
      <c r="BW469" s="3">
        <f>[1]monsters!$P469</f>
        <v>1066.67</v>
      </c>
      <c r="BX469" s="3">
        <f>[1]monsters!$Q469</f>
        <v>106.67</v>
      </c>
      <c r="BY469" s="3">
        <f>[1]monsters!$R469</f>
        <v>15.36</v>
      </c>
      <c r="BZ469" s="3">
        <f>[1]monsters!$S469</f>
        <v>1.54</v>
      </c>
      <c r="CA469" s="3">
        <f>[1]monsters!$K469</f>
        <v>1.6</v>
      </c>
      <c r="CB469" s="12">
        <f>[1]monsters!$D469</f>
        <v>2</v>
      </c>
      <c r="CC469" s="12">
        <f t="shared" ca="1" si="49"/>
        <v>0.1</v>
      </c>
      <c r="CD469" s="12">
        <f t="shared" ca="1" si="50"/>
        <v>55.486222222222203</v>
      </c>
      <c r="CE469" s="12">
        <f t="shared" ca="1" si="51"/>
        <v>5.5486222222222201</v>
      </c>
      <c r="CS469" s="33"/>
      <c r="CT469" s="33"/>
      <c r="CU469" s="33"/>
      <c r="CV469" s="32"/>
      <c r="CW469" s="32"/>
      <c r="CX469" s="32"/>
      <c r="CY469" s="34"/>
      <c r="CZ469" s="34"/>
      <c r="DA469" s="34"/>
      <c r="DB469" s="33"/>
      <c r="DC469" s="33"/>
      <c r="DD469" s="33"/>
      <c r="DE469" s="33"/>
      <c r="DF469" s="33"/>
      <c r="DG469" s="33"/>
      <c r="DH469" s="34"/>
      <c r="DI469" s="34"/>
      <c r="DJ469" s="34"/>
      <c r="DK469" s="34"/>
      <c r="DL469" s="34"/>
      <c r="DM469" s="34"/>
      <c r="DN469" s="12">
        <v>2101023</v>
      </c>
      <c r="DS469" s="21"/>
      <c r="DT469" s="21"/>
      <c r="DU469" s="21"/>
    </row>
    <row r="470" spans="72:125" ht="13.5" customHeight="1">
      <c r="BT470" s="12">
        <v>2102023</v>
      </c>
      <c r="BU470" s="3">
        <f>[1]monsters!$N470</f>
        <v>97.07</v>
      </c>
      <c r="BV470" s="3">
        <f>[1]monsters!$O470</f>
        <v>9.7100000000000009</v>
      </c>
      <c r="BW470" s="3">
        <f>[1]monsters!$P470</f>
        <v>738.46</v>
      </c>
      <c r="BX470" s="3">
        <f>[1]monsters!$Q470</f>
        <v>73.849999999999994</v>
      </c>
      <c r="BY470" s="3">
        <f>[1]monsters!$R470</f>
        <v>9.7100000000000009</v>
      </c>
      <c r="BZ470" s="3">
        <f>[1]monsters!$S470</f>
        <v>0.97</v>
      </c>
      <c r="CA470" s="3">
        <f>[1]monsters!$K470</f>
        <v>1.4000000000000001</v>
      </c>
      <c r="CB470" s="12">
        <f>[1]monsters!$D470</f>
        <v>4</v>
      </c>
      <c r="CC470" s="12">
        <f t="shared" ca="1" si="49"/>
        <v>0.1</v>
      </c>
      <c r="CD470" s="12">
        <f t="shared" ca="1" si="50"/>
        <v>51.328222222222202</v>
      </c>
      <c r="CE470" s="12">
        <f t="shared" ca="1" si="51"/>
        <v>5.1328222222222202</v>
      </c>
      <c r="CS470" s="33"/>
      <c r="CT470" s="33"/>
      <c r="CU470" s="33"/>
      <c r="CV470" s="32"/>
      <c r="CW470" s="32"/>
      <c r="CX470" s="32"/>
      <c r="CY470" s="34"/>
      <c r="CZ470" s="34"/>
      <c r="DA470" s="34"/>
      <c r="DB470" s="33"/>
      <c r="DC470" s="33"/>
      <c r="DD470" s="33"/>
      <c r="DE470" s="33"/>
      <c r="DF470" s="33"/>
      <c r="DG470" s="33"/>
      <c r="DH470" s="34"/>
      <c r="DI470" s="34"/>
      <c r="DJ470" s="34"/>
      <c r="DK470" s="34"/>
      <c r="DL470" s="34"/>
      <c r="DM470" s="34"/>
      <c r="DN470" s="12">
        <v>2102023</v>
      </c>
      <c r="DS470" s="21"/>
      <c r="DT470" s="21"/>
      <c r="DU470" s="21"/>
    </row>
    <row r="471" spans="72:125" ht="13.5" customHeight="1">
      <c r="BT471" s="12">
        <v>2206024</v>
      </c>
      <c r="BU471" s="3">
        <f>[1]monsters!$N471</f>
        <v>67.2</v>
      </c>
      <c r="BV471" s="3">
        <f>[1]monsters!$O471</f>
        <v>6.72</v>
      </c>
      <c r="BW471" s="3">
        <f>[1]monsters!$P471</f>
        <v>1066.67</v>
      </c>
      <c r="BX471" s="3">
        <f>[1]monsters!$Q471</f>
        <v>106.67</v>
      </c>
      <c r="BY471" s="3">
        <f>[1]monsters!$R471</f>
        <v>13.44</v>
      </c>
      <c r="BZ471" s="3">
        <f>[1]monsters!$S471</f>
        <v>1.34</v>
      </c>
      <c r="CA471" s="3">
        <f>[1]monsters!$K471</f>
        <v>1.4000000000000001</v>
      </c>
      <c r="CB471" s="12">
        <f>[1]monsters!$D471</f>
        <v>2</v>
      </c>
      <c r="CC471" s="12">
        <f t="shared" ca="1" si="49"/>
        <v>0.1</v>
      </c>
      <c r="CD471" s="12">
        <f t="shared" ca="1" si="50"/>
        <v>56.0521777777778</v>
      </c>
      <c r="CE471" s="12">
        <f t="shared" ca="1" si="51"/>
        <v>5.6052177777777796</v>
      </c>
      <c r="CS471" s="33"/>
      <c r="CT471" s="33"/>
      <c r="CU471" s="33"/>
      <c r="CV471" s="32"/>
      <c r="CW471" s="32"/>
      <c r="CX471" s="32"/>
      <c r="CY471" s="34"/>
      <c r="CZ471" s="34"/>
      <c r="DA471" s="34"/>
      <c r="DB471" s="33"/>
      <c r="DC471" s="33"/>
      <c r="DD471" s="33"/>
      <c r="DE471" s="33"/>
      <c r="DF471" s="33"/>
      <c r="DG471" s="33"/>
      <c r="DH471" s="34"/>
      <c r="DI471" s="34"/>
      <c r="DJ471" s="34"/>
      <c r="DK471" s="34"/>
      <c r="DL471" s="34"/>
      <c r="DM471" s="34"/>
      <c r="DN471" s="12">
        <v>2206024</v>
      </c>
      <c r="DS471" s="21"/>
      <c r="DT471" s="21"/>
      <c r="DU471" s="21"/>
    </row>
    <row r="472" spans="72:125" ht="13.5" customHeight="1">
      <c r="BT472" s="12">
        <v>2406024</v>
      </c>
      <c r="BU472" s="3">
        <f>[1]monsters!$N472</f>
        <v>110.93</v>
      </c>
      <c r="BV472" s="3">
        <f>[1]monsters!$O472</f>
        <v>11.09</v>
      </c>
      <c r="BW472" s="3">
        <f>[1]monsters!$P472</f>
        <v>738.46</v>
      </c>
      <c r="BX472" s="3">
        <f>[1]monsters!$Q472</f>
        <v>73.849999999999994</v>
      </c>
      <c r="BY472" s="3">
        <f>[1]monsters!$R472</f>
        <v>11.09</v>
      </c>
      <c r="BZ472" s="3">
        <f>[1]monsters!$S472</f>
        <v>1.1100000000000001</v>
      </c>
      <c r="CA472" s="3">
        <f>[1]monsters!$K472</f>
        <v>1.6</v>
      </c>
      <c r="CB472" s="12">
        <f>[1]monsters!$D472</f>
        <v>4</v>
      </c>
      <c r="CC472" s="12">
        <f t="shared" ca="1" si="49"/>
        <v>0.1</v>
      </c>
      <c r="CD472" s="12">
        <f t="shared" ca="1" si="50"/>
        <v>52.218620202020197</v>
      </c>
      <c r="CE472" s="12">
        <f t="shared" ca="1" si="51"/>
        <v>5.2218620202020203</v>
      </c>
      <c r="CS472" s="33"/>
      <c r="CT472" s="33"/>
      <c r="CU472" s="33"/>
      <c r="CV472" s="32"/>
      <c r="CW472" s="32"/>
      <c r="CX472" s="32"/>
      <c r="CY472" s="34"/>
      <c r="CZ472" s="34"/>
      <c r="DA472" s="34"/>
      <c r="DB472" s="33"/>
      <c r="DC472" s="33"/>
      <c r="DD472" s="33"/>
      <c r="DE472" s="33"/>
      <c r="DF472" s="33"/>
      <c r="DG472" s="33"/>
      <c r="DH472" s="34"/>
      <c r="DI472" s="34"/>
      <c r="DJ472" s="34"/>
      <c r="DK472" s="34"/>
      <c r="DL472" s="34"/>
      <c r="DM472" s="34"/>
      <c r="DN472" s="12">
        <v>2406024</v>
      </c>
      <c r="DS472" s="21"/>
      <c r="DT472" s="21"/>
      <c r="DU472" s="21"/>
    </row>
    <row r="473" spans="72:125" ht="13.5" customHeight="1">
      <c r="BT473" s="12">
        <v>2205024</v>
      </c>
      <c r="BU473" s="3">
        <f>[1]monsters!$N473</f>
        <v>102.4</v>
      </c>
      <c r="BV473" s="3">
        <f>[1]monsters!$O473</f>
        <v>10.24</v>
      </c>
      <c r="BW473" s="3">
        <f>[1]monsters!$P473</f>
        <v>800</v>
      </c>
      <c r="BX473" s="3">
        <f>[1]monsters!$Q473</f>
        <v>80</v>
      </c>
      <c r="BY473" s="3">
        <f>[1]monsters!$R473</f>
        <v>17.07</v>
      </c>
      <c r="BZ473" s="3">
        <f>[1]monsters!$S473</f>
        <v>1.71</v>
      </c>
      <c r="CA473" s="3">
        <f>[1]monsters!$K473</f>
        <v>1.6</v>
      </c>
      <c r="CB473" s="12">
        <f>[1]monsters!$D473</f>
        <v>5</v>
      </c>
      <c r="CC473" s="12">
        <f t="shared" ca="1" si="49"/>
        <v>0.1</v>
      </c>
      <c r="CD473" s="12">
        <f t="shared" ca="1" si="50"/>
        <v>61.041777777777803</v>
      </c>
      <c r="CE473" s="12">
        <f t="shared" ca="1" si="51"/>
        <v>6.1041777777777799</v>
      </c>
      <c r="CS473" s="33"/>
      <c r="CT473" s="33"/>
      <c r="CU473" s="33"/>
      <c r="CV473" s="32"/>
      <c r="CW473" s="32"/>
      <c r="CX473" s="32"/>
      <c r="CY473" s="34"/>
      <c r="CZ473" s="34"/>
      <c r="DA473" s="34"/>
      <c r="DB473" s="33"/>
      <c r="DC473" s="33"/>
      <c r="DD473" s="33"/>
      <c r="DE473" s="33"/>
      <c r="DF473" s="33"/>
      <c r="DG473" s="33"/>
      <c r="DH473" s="34"/>
      <c r="DI473" s="34"/>
      <c r="DJ473" s="34"/>
      <c r="DK473" s="34"/>
      <c r="DL473" s="34"/>
      <c r="DM473" s="34"/>
      <c r="DN473" s="12">
        <v>2205024</v>
      </c>
      <c r="DS473" s="21"/>
      <c r="DT473" s="21"/>
      <c r="DU473" s="21"/>
    </row>
    <row r="474" spans="72:125" ht="13.5" customHeight="1">
      <c r="BT474" s="12">
        <v>2405024</v>
      </c>
      <c r="BU474" s="3">
        <f>[1]monsters!$N474</f>
        <v>85.87</v>
      </c>
      <c r="BV474" s="3">
        <f>[1]monsters!$O474</f>
        <v>8.59</v>
      </c>
      <c r="BW474" s="3">
        <f>[1]monsters!$P474</f>
        <v>834.78</v>
      </c>
      <c r="BX474" s="3">
        <f>[1]monsters!$Q474</f>
        <v>83.48</v>
      </c>
      <c r="BY474" s="3">
        <f>[1]monsters!$R474</f>
        <v>10.73</v>
      </c>
      <c r="BZ474" s="3">
        <f>[1]monsters!$S474</f>
        <v>1.07</v>
      </c>
      <c r="CA474" s="3">
        <f>[1]monsters!$K474</f>
        <v>1.4000000000000001</v>
      </c>
      <c r="CB474" s="12">
        <f>[1]monsters!$D474</f>
        <v>3</v>
      </c>
      <c r="CC474" s="12">
        <f t="shared" ca="1" si="49"/>
        <v>0.1</v>
      </c>
      <c r="CD474" s="12">
        <f t="shared" ca="1" si="50"/>
        <v>54.5055202020202</v>
      </c>
      <c r="CE474" s="12">
        <f t="shared" ca="1" si="51"/>
        <v>5.4505520202020197</v>
      </c>
      <c r="CS474" s="33"/>
      <c r="CT474" s="33"/>
      <c r="CU474" s="33"/>
      <c r="CV474" s="32"/>
      <c r="CW474" s="32"/>
      <c r="CX474" s="32"/>
      <c r="CY474" s="34"/>
      <c r="CZ474" s="34"/>
      <c r="DA474" s="34"/>
      <c r="DB474" s="33"/>
      <c r="DC474" s="33"/>
      <c r="DD474" s="33"/>
      <c r="DE474" s="33"/>
      <c r="DF474" s="33"/>
      <c r="DG474" s="33"/>
      <c r="DH474" s="34"/>
      <c r="DI474" s="34"/>
      <c r="DJ474" s="34"/>
      <c r="DK474" s="34"/>
      <c r="DL474" s="34"/>
      <c r="DM474" s="34"/>
      <c r="DN474" s="12">
        <v>2405024</v>
      </c>
      <c r="DS474" s="21"/>
      <c r="DT474" s="21"/>
      <c r="DU474" s="21"/>
    </row>
    <row r="475" spans="72:125" ht="13.5" customHeight="1">
      <c r="BT475" s="12">
        <v>2203024</v>
      </c>
      <c r="BU475" s="3">
        <f>[1]monsters!$N475</f>
        <v>62.4</v>
      </c>
      <c r="BV475" s="3">
        <f>[1]monsters!$O475</f>
        <v>6.24</v>
      </c>
      <c r="BW475" s="3">
        <f>[1]monsters!$P475</f>
        <v>1066.67</v>
      </c>
      <c r="BX475" s="3">
        <f>[1]monsters!$Q475</f>
        <v>106.67</v>
      </c>
      <c r="BY475" s="3">
        <f>[1]monsters!$R475</f>
        <v>12.48</v>
      </c>
      <c r="BZ475" s="3">
        <f>[1]monsters!$S475</f>
        <v>1.25</v>
      </c>
      <c r="CA475" s="3">
        <f>[1]monsters!$K475</f>
        <v>1.3</v>
      </c>
      <c r="CB475" s="12">
        <f>[1]monsters!$D475</f>
        <v>2</v>
      </c>
      <c r="CC475" s="12">
        <f t="shared" ca="1" si="49"/>
        <v>0.1</v>
      </c>
      <c r="CD475" s="12">
        <f t="shared" ca="1" si="50"/>
        <v>49.399377777777801</v>
      </c>
      <c r="CE475" s="12">
        <f t="shared" ca="1" si="51"/>
        <v>4.9399377777777804</v>
      </c>
      <c r="CS475" s="33"/>
      <c r="CT475" s="33"/>
      <c r="CU475" s="33"/>
      <c r="CV475" s="32"/>
      <c r="CW475" s="32"/>
      <c r="CX475" s="32"/>
      <c r="CY475" s="34"/>
      <c r="CZ475" s="34"/>
      <c r="DA475" s="34"/>
      <c r="DB475" s="33"/>
      <c r="DC475" s="33"/>
      <c r="DD475" s="33"/>
      <c r="DE475" s="33"/>
      <c r="DF475" s="33"/>
      <c r="DG475" s="33"/>
      <c r="DH475" s="34"/>
      <c r="DI475" s="34"/>
      <c r="DJ475" s="34"/>
      <c r="DK475" s="34"/>
      <c r="DL475" s="34"/>
      <c r="DM475" s="34"/>
      <c r="DN475" s="12">
        <v>2203024</v>
      </c>
      <c r="DS475" s="21"/>
      <c r="DT475" s="21"/>
      <c r="DU475" s="21"/>
    </row>
    <row r="476" spans="72:125" ht="13.5" customHeight="1">
      <c r="BT476" s="12">
        <v>2403024</v>
      </c>
      <c r="BU476" s="3">
        <f>[1]monsters!$N476</f>
        <v>83.2</v>
      </c>
      <c r="BV476" s="3">
        <f>[1]monsters!$O476</f>
        <v>8.32</v>
      </c>
      <c r="BW476" s="3">
        <f>[1]monsters!$P476</f>
        <v>800</v>
      </c>
      <c r="BX476" s="3">
        <f>[1]monsters!$Q476</f>
        <v>80</v>
      </c>
      <c r="BY476" s="3">
        <f>[1]monsters!$R476</f>
        <v>8.32</v>
      </c>
      <c r="BZ476" s="3">
        <f>[1]monsters!$S476</f>
        <v>0.83</v>
      </c>
      <c r="CA476" s="3">
        <f>[1]monsters!$K476</f>
        <v>1.3</v>
      </c>
      <c r="CB476" s="12">
        <f>[1]monsters!$D476</f>
        <v>4</v>
      </c>
      <c r="CC476" s="12">
        <f t="shared" ca="1" si="49"/>
        <v>0.1</v>
      </c>
      <c r="CD476" s="12">
        <f t="shared" ca="1" si="50"/>
        <v>45.357920202020203</v>
      </c>
      <c r="CE476" s="12">
        <f t="shared" ca="1" si="51"/>
        <v>4.5357920202020203</v>
      </c>
      <c r="CS476" s="33"/>
      <c r="CT476" s="33"/>
      <c r="CU476" s="33"/>
      <c r="CV476" s="32"/>
      <c r="CW476" s="32"/>
      <c r="CX476" s="32"/>
      <c r="CY476" s="34"/>
      <c r="CZ476" s="34"/>
      <c r="DA476" s="34"/>
      <c r="DB476" s="33"/>
      <c r="DC476" s="33"/>
      <c r="DD476" s="33"/>
      <c r="DE476" s="33"/>
      <c r="DF476" s="33"/>
      <c r="DG476" s="33"/>
      <c r="DH476" s="34"/>
      <c r="DI476" s="34"/>
      <c r="DJ476" s="34"/>
      <c r="DK476" s="34"/>
      <c r="DL476" s="34"/>
      <c r="DM476" s="34"/>
      <c r="DN476" s="12">
        <v>2403024</v>
      </c>
      <c r="DS476" s="21"/>
      <c r="DT476" s="21"/>
      <c r="DU476" s="21"/>
    </row>
    <row r="477" spans="72:125" ht="13.5" customHeight="1">
      <c r="BT477" s="12">
        <v>2204024</v>
      </c>
      <c r="BU477" s="3">
        <f>[1]monsters!$N477</f>
        <v>86.4</v>
      </c>
      <c r="BV477" s="3">
        <f>[1]monsters!$O477</f>
        <v>8.64</v>
      </c>
      <c r="BW477" s="3">
        <f>[1]monsters!$P477</f>
        <v>1066.67</v>
      </c>
      <c r="BX477" s="3">
        <f>[1]monsters!$Q477</f>
        <v>106.67</v>
      </c>
      <c r="BY477" s="3">
        <f>[1]monsters!$R477</f>
        <v>17.28</v>
      </c>
      <c r="BZ477" s="3">
        <f>[1]monsters!$S477</f>
        <v>1.73</v>
      </c>
      <c r="CA477" s="3">
        <f>[1]monsters!$K477</f>
        <v>1.8</v>
      </c>
      <c r="CB477" s="12">
        <f>[1]monsters!$D477</f>
        <v>2</v>
      </c>
      <c r="CC477" s="12">
        <f t="shared" ca="1" si="49"/>
        <v>0.1</v>
      </c>
      <c r="CD477" s="12">
        <f t="shared" ca="1" si="50"/>
        <v>51.062577777777797</v>
      </c>
      <c r="CE477" s="12">
        <f t="shared" ca="1" si="51"/>
        <v>5.1062577777777802</v>
      </c>
      <c r="CS477" s="33"/>
      <c r="CT477" s="33"/>
      <c r="CU477" s="33"/>
      <c r="CV477" s="32"/>
      <c r="CW477" s="32"/>
      <c r="CX477" s="32"/>
      <c r="CY477" s="34"/>
      <c r="CZ477" s="34"/>
      <c r="DA477" s="34"/>
      <c r="DB477" s="33"/>
      <c r="DC477" s="33"/>
      <c r="DD477" s="33"/>
      <c r="DE477" s="33"/>
      <c r="DF477" s="33"/>
      <c r="DG477" s="33"/>
      <c r="DH477" s="34"/>
      <c r="DI477" s="34"/>
      <c r="DJ477" s="34"/>
      <c r="DK477" s="34"/>
      <c r="DL477" s="34"/>
      <c r="DM477" s="34"/>
      <c r="DN477" s="12">
        <v>2204024</v>
      </c>
      <c r="DS477" s="21"/>
      <c r="DT477" s="21"/>
      <c r="DU477" s="21"/>
    </row>
    <row r="478" spans="72:125" ht="13.5" customHeight="1">
      <c r="BT478" s="12">
        <v>2404024</v>
      </c>
      <c r="BU478" s="3">
        <f>[1]monsters!$N478</f>
        <v>100</v>
      </c>
      <c r="BV478" s="3">
        <f>[1]monsters!$O478</f>
        <v>10</v>
      </c>
      <c r="BW478" s="3">
        <f>[1]monsters!$P478</f>
        <v>768</v>
      </c>
      <c r="BX478" s="3">
        <f>[1]monsters!$Q478</f>
        <v>76.8</v>
      </c>
      <c r="BY478" s="3">
        <f>[1]monsters!$R478</f>
        <v>10</v>
      </c>
      <c r="BZ478" s="3">
        <f>[1]monsters!$S478</f>
        <v>1</v>
      </c>
      <c r="CA478" s="3">
        <f>[1]monsters!$K478</f>
        <v>1.5</v>
      </c>
      <c r="CB478" s="12">
        <f>[1]monsters!$D478</f>
        <v>4</v>
      </c>
      <c r="CC478" s="12">
        <f t="shared" ca="1" si="49"/>
        <v>0.1</v>
      </c>
      <c r="CD478" s="12">
        <f t="shared" ca="1" si="50"/>
        <v>54.5055202020202</v>
      </c>
      <c r="CE478" s="12">
        <f t="shared" ca="1" si="51"/>
        <v>5.4505520202020197</v>
      </c>
      <c r="CS478" s="33"/>
      <c r="CT478" s="33"/>
      <c r="CU478" s="33"/>
      <c r="CV478" s="32"/>
      <c r="CW478" s="32"/>
      <c r="CX478" s="32"/>
      <c r="CY478" s="34"/>
      <c r="CZ478" s="34"/>
      <c r="DA478" s="34"/>
      <c r="DB478" s="33"/>
      <c r="DC478" s="33"/>
      <c r="DD478" s="33"/>
      <c r="DE478" s="33"/>
      <c r="DF478" s="33"/>
      <c r="DG478" s="33"/>
      <c r="DH478" s="34"/>
      <c r="DI478" s="34"/>
      <c r="DJ478" s="34"/>
      <c r="DK478" s="34"/>
      <c r="DL478" s="34"/>
      <c r="DM478" s="34"/>
      <c r="DN478" s="12">
        <v>2404024</v>
      </c>
      <c r="DS478" s="21"/>
      <c r="DT478" s="21"/>
      <c r="DU478" s="21"/>
    </row>
    <row r="479" spans="72:125" ht="13.5" customHeight="1">
      <c r="BT479" s="12">
        <v>2303024</v>
      </c>
      <c r="BU479" s="3">
        <f>[1]monsters!$N479</f>
        <v>76.27</v>
      </c>
      <c r="BV479" s="3">
        <f>[1]monsters!$O479</f>
        <v>7.63</v>
      </c>
      <c r="BW479" s="3">
        <f>[1]monsters!$P479</f>
        <v>872.73</v>
      </c>
      <c r="BX479" s="3">
        <f>[1]monsters!$Q479</f>
        <v>87.27</v>
      </c>
      <c r="BY479" s="3">
        <f>[1]monsters!$R479</f>
        <v>9.5299999999999994</v>
      </c>
      <c r="BZ479" s="3">
        <f>[1]monsters!$S479</f>
        <v>0.95</v>
      </c>
      <c r="CA479" s="3">
        <f>[1]monsters!$K479</f>
        <v>1.3</v>
      </c>
      <c r="CB479" s="12">
        <f>[1]monsters!$D479</f>
        <v>3</v>
      </c>
      <c r="CC479" s="12">
        <f t="shared" ca="1" si="49"/>
        <v>0.1</v>
      </c>
      <c r="CD479" s="12">
        <f t="shared" ca="1" si="50"/>
        <v>49.015658024691298</v>
      </c>
      <c r="CE479" s="12">
        <f t="shared" ca="1" si="51"/>
        <v>4.9015658024691398</v>
      </c>
      <c r="CS479" s="33"/>
      <c r="CT479" s="33"/>
      <c r="CU479" s="33"/>
      <c r="CV479" s="32"/>
      <c r="CW479" s="32"/>
      <c r="CX479" s="32"/>
      <c r="CY479" s="34"/>
      <c r="CZ479" s="34"/>
      <c r="DA479" s="34"/>
      <c r="DB479" s="33"/>
      <c r="DC479" s="33"/>
      <c r="DD479" s="33"/>
      <c r="DE479" s="33"/>
      <c r="DF479" s="33"/>
      <c r="DG479" s="33"/>
      <c r="DH479" s="34"/>
      <c r="DI479" s="34"/>
      <c r="DJ479" s="34"/>
      <c r="DK479" s="34"/>
      <c r="DL479" s="34"/>
      <c r="DM479" s="34"/>
      <c r="DN479" s="12">
        <v>2303024</v>
      </c>
      <c r="DS479" s="21"/>
      <c r="DT479" s="21"/>
      <c r="DU479" s="21"/>
    </row>
    <row r="480" spans="72:125" ht="13.5" customHeight="1">
      <c r="BT480" s="12">
        <v>2304024</v>
      </c>
      <c r="BU480" s="3">
        <f>[1]monsters!$N480</f>
        <v>105.6</v>
      </c>
      <c r="BV480" s="3">
        <f>[1]monsters!$O480</f>
        <v>10.56</v>
      </c>
      <c r="BW480" s="3">
        <f>[1]monsters!$P480</f>
        <v>872.73</v>
      </c>
      <c r="BX480" s="3">
        <f>[1]monsters!$Q480</f>
        <v>87.27</v>
      </c>
      <c r="BY480" s="3">
        <f>[1]monsters!$R480</f>
        <v>17.600000000000001</v>
      </c>
      <c r="BZ480" s="3">
        <f>[1]monsters!$S480</f>
        <v>1.76</v>
      </c>
      <c r="CA480" s="3">
        <f>[1]monsters!$K480</f>
        <v>1.8</v>
      </c>
      <c r="CB480" s="12">
        <f>[1]monsters!$D480</f>
        <v>5</v>
      </c>
      <c r="CC480" s="12">
        <f t="shared" ca="1" si="49"/>
        <v>0.1</v>
      </c>
      <c r="CD480" s="12">
        <f t="shared" ca="1" si="50"/>
        <v>50.886758024691296</v>
      </c>
      <c r="CE480" s="12">
        <f t="shared" ca="1" si="51"/>
        <v>5.0886758024691296</v>
      </c>
      <c r="CS480" s="33"/>
      <c r="CT480" s="33"/>
      <c r="CU480" s="33"/>
      <c r="CV480" s="32"/>
      <c r="CW480" s="32"/>
      <c r="CX480" s="32"/>
      <c r="CY480" s="34"/>
      <c r="CZ480" s="34"/>
      <c r="DA480" s="34"/>
      <c r="DB480" s="33"/>
      <c r="DC480" s="33"/>
      <c r="DD480" s="33"/>
      <c r="DE480" s="33"/>
      <c r="DF480" s="33"/>
      <c r="DG480" s="33"/>
      <c r="DH480" s="34"/>
      <c r="DI480" s="34"/>
      <c r="DJ480" s="34"/>
      <c r="DK480" s="34"/>
      <c r="DL480" s="34"/>
      <c r="DM480" s="34"/>
      <c r="DN480" s="12">
        <v>2304024</v>
      </c>
      <c r="DS480" s="21"/>
      <c r="DT480" s="21"/>
      <c r="DU480" s="21"/>
    </row>
    <row r="481" spans="72:125" ht="13.5" customHeight="1">
      <c r="BT481" s="12">
        <v>2503024</v>
      </c>
      <c r="BU481" s="3">
        <f>[1]monsters!$N481</f>
        <v>76.8</v>
      </c>
      <c r="BV481" s="3">
        <f>[1]monsters!$O481</f>
        <v>7.68</v>
      </c>
      <c r="BW481" s="3">
        <f>[1]monsters!$P481</f>
        <v>1066.67</v>
      </c>
      <c r="BX481" s="3">
        <f>[1]monsters!$Q481</f>
        <v>106.67</v>
      </c>
      <c r="BY481" s="3">
        <f>[1]monsters!$R481</f>
        <v>15.36</v>
      </c>
      <c r="BZ481" s="3">
        <f>[1]monsters!$S481</f>
        <v>1.54</v>
      </c>
      <c r="CA481" s="3">
        <f>[1]monsters!$K481</f>
        <v>1.6</v>
      </c>
      <c r="CB481" s="12">
        <f>[1]monsters!$D481</f>
        <v>2</v>
      </c>
      <c r="CC481" s="12">
        <f t="shared" ca="1" si="49"/>
        <v>0.1</v>
      </c>
      <c r="CD481" s="12">
        <f t="shared" ca="1" si="50"/>
        <v>58.4353185185185</v>
      </c>
      <c r="CE481" s="12">
        <f t="shared" ca="1" si="51"/>
        <v>5.84353185185185</v>
      </c>
      <c r="CS481" s="33"/>
      <c r="CT481" s="33"/>
      <c r="CU481" s="33"/>
      <c r="CV481" s="32"/>
      <c r="CW481" s="32"/>
      <c r="CX481" s="32"/>
      <c r="CY481" s="34"/>
      <c r="CZ481" s="34"/>
      <c r="DA481" s="34"/>
      <c r="DB481" s="33"/>
      <c r="DC481" s="33"/>
      <c r="DD481" s="33"/>
      <c r="DE481" s="33"/>
      <c r="DF481" s="33"/>
      <c r="DG481" s="33"/>
      <c r="DH481" s="34"/>
      <c r="DI481" s="34"/>
      <c r="DJ481" s="34"/>
      <c r="DK481" s="34"/>
      <c r="DL481" s="34"/>
      <c r="DM481" s="34"/>
      <c r="DN481" s="12">
        <v>2503024</v>
      </c>
      <c r="DS481" s="21"/>
      <c r="DT481" s="21"/>
      <c r="DU481" s="21"/>
    </row>
    <row r="482" spans="72:125" ht="13.5" customHeight="1">
      <c r="BT482" s="12">
        <v>2504024</v>
      </c>
      <c r="BU482" s="3">
        <f>[1]monsters!$N482</f>
        <v>97.07</v>
      </c>
      <c r="BV482" s="3">
        <f>[1]monsters!$O482</f>
        <v>9.7100000000000009</v>
      </c>
      <c r="BW482" s="3">
        <f>[1]monsters!$P482</f>
        <v>738.46</v>
      </c>
      <c r="BX482" s="3">
        <f>[1]monsters!$Q482</f>
        <v>73.849999999999994</v>
      </c>
      <c r="BY482" s="3">
        <f>[1]monsters!$R482</f>
        <v>9.7100000000000009</v>
      </c>
      <c r="BZ482" s="3">
        <f>[1]monsters!$S482</f>
        <v>0.97</v>
      </c>
      <c r="CA482" s="3">
        <f>[1]monsters!$K482</f>
        <v>1.4000000000000001</v>
      </c>
      <c r="CB482" s="12">
        <f>[1]monsters!$D482</f>
        <v>4</v>
      </c>
      <c r="CC482" s="12">
        <f t="shared" ca="1" si="49"/>
        <v>0.1</v>
      </c>
      <c r="CD482" s="12">
        <f t="shared" ca="1" si="50"/>
        <v>63.424918518518503</v>
      </c>
      <c r="CE482" s="12">
        <f t="shared" ca="1" si="51"/>
        <v>6.3424918518518503</v>
      </c>
      <c r="CS482" s="33"/>
      <c r="CT482" s="33"/>
      <c r="CU482" s="33"/>
      <c r="CV482" s="32"/>
      <c r="CW482" s="32"/>
      <c r="CX482" s="32"/>
      <c r="CY482" s="34"/>
      <c r="CZ482" s="34"/>
      <c r="DA482" s="34"/>
      <c r="DB482" s="33"/>
      <c r="DC482" s="33"/>
      <c r="DD482" s="33"/>
      <c r="DE482" s="33"/>
      <c r="DF482" s="33"/>
      <c r="DG482" s="33"/>
      <c r="DH482" s="34"/>
      <c r="DI482" s="34"/>
      <c r="DJ482" s="34"/>
      <c r="DK482" s="34"/>
      <c r="DL482" s="34"/>
      <c r="DM482" s="34"/>
      <c r="DN482" s="12">
        <v>2504024</v>
      </c>
      <c r="DS482" s="21"/>
      <c r="DT482" s="21"/>
      <c r="DU482" s="21"/>
    </row>
    <row r="483" spans="72:125" ht="13.5" customHeight="1">
      <c r="BT483" s="12">
        <v>2101024</v>
      </c>
      <c r="BU483" s="3">
        <f>[1]monsters!$N483</f>
        <v>67.2</v>
      </c>
      <c r="BV483" s="3">
        <f>[1]monsters!$O483</f>
        <v>6.72</v>
      </c>
      <c r="BW483" s="3">
        <f>[1]monsters!$P483</f>
        <v>1066.67</v>
      </c>
      <c r="BX483" s="3">
        <f>[1]monsters!$Q483</f>
        <v>106.67</v>
      </c>
      <c r="BY483" s="3">
        <f>[1]monsters!$R483</f>
        <v>13.44</v>
      </c>
      <c r="BZ483" s="3">
        <f>[1]monsters!$S483</f>
        <v>1.34</v>
      </c>
      <c r="CA483" s="3">
        <f>[1]monsters!$K483</f>
        <v>1.4000000000000001</v>
      </c>
      <c r="CB483" s="12">
        <f>[1]monsters!$D483</f>
        <v>2</v>
      </c>
      <c r="CC483" s="12">
        <f t="shared" ca="1" si="49"/>
        <v>0.1</v>
      </c>
      <c r="CD483" s="12">
        <f t="shared" ca="1" si="50"/>
        <v>55.486222222222203</v>
      </c>
      <c r="CE483" s="12">
        <f t="shared" ca="1" si="51"/>
        <v>5.5486222222222201</v>
      </c>
      <c r="CS483" s="33"/>
      <c r="CT483" s="33"/>
      <c r="CU483" s="33"/>
      <c r="CV483" s="32"/>
      <c r="CW483" s="32"/>
      <c r="CX483" s="32"/>
      <c r="CY483" s="34"/>
      <c r="CZ483" s="34"/>
      <c r="DA483" s="34"/>
      <c r="DB483" s="33"/>
      <c r="DC483" s="33"/>
      <c r="DD483" s="33"/>
      <c r="DE483" s="33"/>
      <c r="DF483" s="33"/>
      <c r="DG483" s="33"/>
      <c r="DH483" s="34"/>
      <c r="DI483" s="34"/>
      <c r="DJ483" s="34"/>
      <c r="DK483" s="34"/>
      <c r="DL483" s="34"/>
      <c r="DM483" s="34"/>
      <c r="DN483" s="12">
        <v>2101024</v>
      </c>
      <c r="DS483" s="21"/>
      <c r="DT483" s="21"/>
      <c r="DU483" s="21"/>
    </row>
    <row r="484" spans="72:125" ht="13.5" customHeight="1">
      <c r="BT484" s="12">
        <v>2102024</v>
      </c>
      <c r="BU484" s="3">
        <f>[1]monsters!$N484</f>
        <v>110.93</v>
      </c>
      <c r="BV484" s="3">
        <f>[1]monsters!$O484</f>
        <v>11.09</v>
      </c>
      <c r="BW484" s="3">
        <f>[1]monsters!$P484</f>
        <v>738.46</v>
      </c>
      <c r="BX484" s="3">
        <f>[1]monsters!$Q484</f>
        <v>73.849999999999994</v>
      </c>
      <c r="BY484" s="3">
        <f>[1]monsters!$R484</f>
        <v>11.09</v>
      </c>
      <c r="BZ484" s="3">
        <f>[1]monsters!$S484</f>
        <v>1.1100000000000001</v>
      </c>
      <c r="CA484" s="3">
        <f>[1]monsters!$K484</f>
        <v>1.6</v>
      </c>
      <c r="CB484" s="12">
        <f>[1]monsters!$D484</f>
        <v>4</v>
      </c>
      <c r="CC484" s="12">
        <f t="shared" ca="1" si="49"/>
        <v>0.1</v>
      </c>
      <c r="CD484" s="12">
        <f t="shared" ca="1" si="50"/>
        <v>51.328222222222202</v>
      </c>
      <c r="CE484" s="12">
        <f t="shared" ca="1" si="51"/>
        <v>5.1328222222222202</v>
      </c>
      <c r="CS484" s="33"/>
      <c r="CT484" s="33"/>
      <c r="CU484" s="33"/>
      <c r="CV484" s="32"/>
      <c r="CW484" s="32"/>
      <c r="CX484" s="32"/>
      <c r="CY484" s="34"/>
      <c r="CZ484" s="34"/>
      <c r="DA484" s="34"/>
      <c r="DB484" s="33"/>
      <c r="DC484" s="33"/>
      <c r="DD484" s="33"/>
      <c r="DE484" s="33"/>
      <c r="DF484" s="33"/>
      <c r="DG484" s="33"/>
      <c r="DH484" s="34"/>
      <c r="DI484" s="34"/>
      <c r="DJ484" s="34"/>
      <c r="DK484" s="34"/>
      <c r="DL484" s="34"/>
      <c r="DM484" s="34"/>
      <c r="DN484" s="12">
        <v>2102024</v>
      </c>
      <c r="DS484" s="21"/>
      <c r="DT484" s="21"/>
      <c r="DU484" s="21"/>
    </row>
    <row r="485" spans="72:125" ht="13.5" customHeight="1">
      <c r="BT485" s="12">
        <v>2206025</v>
      </c>
      <c r="BU485" s="3">
        <f>[1]monsters!$N485</f>
        <v>102.4</v>
      </c>
      <c r="BV485" s="3">
        <f>[1]monsters!$O485</f>
        <v>10.24</v>
      </c>
      <c r="BW485" s="3">
        <f>[1]monsters!$P485</f>
        <v>800</v>
      </c>
      <c r="BX485" s="3">
        <f>[1]monsters!$Q485</f>
        <v>80</v>
      </c>
      <c r="BY485" s="3">
        <f>[1]monsters!$R485</f>
        <v>17.07</v>
      </c>
      <c r="BZ485" s="3">
        <f>[1]monsters!$S485</f>
        <v>1.71</v>
      </c>
      <c r="CA485" s="3">
        <f>[1]monsters!$K485</f>
        <v>1.6</v>
      </c>
      <c r="CB485" s="12">
        <f>[1]monsters!$D485</f>
        <v>5</v>
      </c>
      <c r="CC485" s="12">
        <f t="shared" ca="1" si="49"/>
        <v>0.1</v>
      </c>
      <c r="CD485" s="12">
        <f t="shared" ca="1" si="50"/>
        <v>56.0521777777778</v>
      </c>
      <c r="CE485" s="12">
        <f t="shared" ca="1" si="51"/>
        <v>5.6052177777777796</v>
      </c>
      <c r="CS485" s="33"/>
      <c r="CT485" s="33"/>
      <c r="CU485" s="33"/>
      <c r="CV485" s="32"/>
      <c r="CW485" s="32"/>
      <c r="CX485" s="32"/>
      <c r="CY485" s="34"/>
      <c r="CZ485" s="34"/>
      <c r="DA485" s="34"/>
      <c r="DB485" s="33"/>
      <c r="DC485" s="33"/>
      <c r="DD485" s="33"/>
      <c r="DE485" s="33"/>
      <c r="DF485" s="33"/>
      <c r="DG485" s="33"/>
      <c r="DH485" s="34"/>
      <c r="DI485" s="34"/>
      <c r="DJ485" s="34"/>
      <c r="DK485" s="34"/>
      <c r="DL485" s="34"/>
      <c r="DM485" s="34"/>
      <c r="DN485" s="12">
        <v>2206025</v>
      </c>
      <c r="DS485" s="21"/>
      <c r="DT485" s="21"/>
      <c r="DU485" s="21"/>
    </row>
    <row r="486" spans="72:125" ht="13.5" customHeight="1">
      <c r="BT486" s="12">
        <v>2406025</v>
      </c>
      <c r="BU486" s="3">
        <f>[1]monsters!$N486</f>
        <v>85.87</v>
      </c>
      <c r="BV486" s="3">
        <f>[1]monsters!$O486</f>
        <v>8.59</v>
      </c>
      <c r="BW486" s="3">
        <f>[1]monsters!$P486</f>
        <v>834.78</v>
      </c>
      <c r="BX486" s="3">
        <f>[1]monsters!$Q486</f>
        <v>83.48</v>
      </c>
      <c r="BY486" s="3">
        <f>[1]monsters!$R486</f>
        <v>10.73</v>
      </c>
      <c r="BZ486" s="3">
        <f>[1]monsters!$S486</f>
        <v>1.07</v>
      </c>
      <c r="CA486" s="3">
        <f>[1]monsters!$K486</f>
        <v>1.4000000000000001</v>
      </c>
      <c r="CB486" s="12">
        <f>[1]monsters!$D486</f>
        <v>3</v>
      </c>
      <c r="CC486" s="12">
        <f t="shared" ca="1" si="49"/>
        <v>0.1</v>
      </c>
      <c r="CD486" s="12">
        <f t="shared" ca="1" si="50"/>
        <v>52.218620202020197</v>
      </c>
      <c r="CE486" s="12">
        <f t="shared" ca="1" si="51"/>
        <v>5.2218620202020203</v>
      </c>
      <c r="CS486" s="33"/>
      <c r="CT486" s="33"/>
      <c r="CU486" s="33"/>
      <c r="CV486" s="32"/>
      <c r="CW486" s="32"/>
      <c r="CX486" s="32"/>
      <c r="CY486" s="34"/>
      <c r="CZ486" s="34"/>
      <c r="DA486" s="34"/>
      <c r="DB486" s="33"/>
      <c r="DC486" s="33"/>
      <c r="DD486" s="33"/>
      <c r="DE486" s="33"/>
      <c r="DF486" s="33"/>
      <c r="DG486" s="33"/>
      <c r="DH486" s="34"/>
      <c r="DI486" s="34"/>
      <c r="DJ486" s="34"/>
      <c r="DK486" s="34"/>
      <c r="DL486" s="34"/>
      <c r="DM486" s="34"/>
      <c r="DN486" s="12">
        <v>2406025</v>
      </c>
      <c r="DS486" s="21"/>
      <c r="DT486" s="21"/>
      <c r="DU486" s="21"/>
    </row>
    <row r="487" spans="72:125" ht="13.5" customHeight="1">
      <c r="BT487" s="12">
        <v>2205025</v>
      </c>
      <c r="BU487" s="3">
        <f>[1]monsters!$N487</f>
        <v>74.88</v>
      </c>
      <c r="BV487" s="3">
        <f>[1]monsters!$O487</f>
        <v>7.49</v>
      </c>
      <c r="BW487" s="3">
        <f>[1]monsters!$P487</f>
        <v>1280</v>
      </c>
      <c r="BX487" s="3">
        <f>[1]monsters!$Q487</f>
        <v>128</v>
      </c>
      <c r="BY487" s="3">
        <f>[1]monsters!$R487</f>
        <v>14.98</v>
      </c>
      <c r="BZ487" s="3">
        <f>[1]monsters!$S487</f>
        <v>1.5</v>
      </c>
      <c r="CA487" s="3">
        <f>[1]monsters!$K487</f>
        <v>1.3</v>
      </c>
      <c r="CB487" s="12">
        <f>[1]monsters!$D487</f>
        <v>2</v>
      </c>
      <c r="CC487" s="12">
        <f t="shared" ca="1" si="49"/>
        <v>0.1</v>
      </c>
      <c r="CD487" s="12">
        <f t="shared" ca="1" si="50"/>
        <v>61.041777777777803</v>
      </c>
      <c r="CE487" s="12">
        <f t="shared" ca="1" si="51"/>
        <v>6.1041777777777799</v>
      </c>
      <c r="CS487" s="33"/>
      <c r="CT487" s="33"/>
      <c r="CU487" s="33"/>
      <c r="CV487" s="32"/>
      <c r="CW487" s="32"/>
      <c r="CX487" s="32"/>
      <c r="CY487" s="34"/>
      <c r="CZ487" s="34"/>
      <c r="DA487" s="34"/>
      <c r="DB487" s="33"/>
      <c r="DC487" s="33"/>
      <c r="DD487" s="33"/>
      <c r="DE487" s="33"/>
      <c r="DF487" s="33"/>
      <c r="DG487" s="33"/>
      <c r="DH487" s="34"/>
      <c r="DI487" s="34"/>
      <c r="DJ487" s="34"/>
      <c r="DK487" s="34"/>
      <c r="DL487" s="34"/>
      <c r="DM487" s="34"/>
      <c r="DN487" s="12">
        <v>2205025</v>
      </c>
      <c r="DS487" s="21"/>
      <c r="DT487" s="21"/>
      <c r="DU487" s="21"/>
    </row>
    <row r="488" spans="72:125" ht="13.5" customHeight="1">
      <c r="BT488" s="12">
        <v>2405025</v>
      </c>
      <c r="BU488" s="3">
        <f>[1]monsters!$N488</f>
        <v>99.84</v>
      </c>
      <c r="BV488" s="3">
        <f>[1]monsters!$O488</f>
        <v>9.98</v>
      </c>
      <c r="BW488" s="3">
        <f>[1]monsters!$P488</f>
        <v>960</v>
      </c>
      <c r="BX488" s="3">
        <f>[1]monsters!$Q488</f>
        <v>96</v>
      </c>
      <c r="BY488" s="3">
        <f>[1]monsters!$R488</f>
        <v>9.98</v>
      </c>
      <c r="BZ488" s="3">
        <f>[1]monsters!$S488</f>
        <v>1</v>
      </c>
      <c r="CA488" s="3">
        <f>[1]monsters!$K488</f>
        <v>1.3</v>
      </c>
      <c r="CB488" s="12">
        <f>[1]monsters!$D488</f>
        <v>4</v>
      </c>
      <c r="CC488" s="12">
        <f t="shared" ca="1" si="49"/>
        <v>0.1</v>
      </c>
      <c r="CD488" s="12">
        <f t="shared" ca="1" si="50"/>
        <v>54.5055202020202</v>
      </c>
      <c r="CE488" s="12">
        <f t="shared" ca="1" si="51"/>
        <v>5.4505520202020197</v>
      </c>
      <c r="CS488" s="33"/>
      <c r="CT488" s="33"/>
      <c r="CU488" s="33"/>
      <c r="CV488" s="32"/>
      <c r="CW488" s="32"/>
      <c r="CX488" s="32"/>
      <c r="CY488" s="34"/>
      <c r="CZ488" s="34"/>
      <c r="DA488" s="34"/>
      <c r="DB488" s="33"/>
      <c r="DC488" s="33"/>
      <c r="DD488" s="33"/>
      <c r="DE488" s="33"/>
      <c r="DF488" s="33"/>
      <c r="DG488" s="33"/>
      <c r="DH488" s="34"/>
      <c r="DI488" s="34"/>
      <c r="DJ488" s="34"/>
      <c r="DK488" s="34"/>
      <c r="DL488" s="34"/>
      <c r="DM488" s="34"/>
      <c r="DN488" s="12">
        <v>2405025</v>
      </c>
      <c r="DS488" s="21"/>
      <c r="DT488" s="21"/>
      <c r="DU488" s="21"/>
    </row>
    <row r="489" spans="72:125" ht="13.5" customHeight="1">
      <c r="BT489" s="12">
        <v>2203025</v>
      </c>
      <c r="BU489" s="3">
        <f>[1]monsters!$N489</f>
        <v>103.68</v>
      </c>
      <c r="BV489" s="3">
        <f>[1]monsters!$O489</f>
        <v>10.37</v>
      </c>
      <c r="BW489" s="3">
        <f>[1]monsters!$P489</f>
        <v>1280</v>
      </c>
      <c r="BX489" s="3">
        <f>[1]monsters!$Q489</f>
        <v>128</v>
      </c>
      <c r="BY489" s="3">
        <f>[1]monsters!$R489</f>
        <v>20.74</v>
      </c>
      <c r="BZ489" s="3">
        <f>[1]monsters!$S489</f>
        <v>2.0699999999999998</v>
      </c>
      <c r="CA489" s="3">
        <f>[1]monsters!$K489</f>
        <v>1.8</v>
      </c>
      <c r="CB489" s="12">
        <f>[1]monsters!$D489</f>
        <v>2</v>
      </c>
      <c r="CC489" s="12">
        <f t="shared" ca="1" si="49"/>
        <v>0.1</v>
      </c>
      <c r="CD489" s="12">
        <f t="shared" ca="1" si="50"/>
        <v>49.399377777777801</v>
      </c>
      <c r="CE489" s="12">
        <f t="shared" ca="1" si="51"/>
        <v>4.9399377777777804</v>
      </c>
      <c r="CS489" s="33"/>
      <c r="CT489" s="33"/>
      <c r="CU489" s="33"/>
      <c r="CV489" s="32"/>
      <c r="CW489" s="32"/>
      <c r="CX489" s="32"/>
      <c r="CY489" s="34"/>
      <c r="CZ489" s="34"/>
      <c r="DA489" s="34"/>
      <c r="DB489" s="33"/>
      <c r="DC489" s="33"/>
      <c r="DD489" s="33"/>
      <c r="DE489" s="33"/>
      <c r="DF489" s="33"/>
      <c r="DG489" s="33"/>
      <c r="DH489" s="34"/>
      <c r="DI489" s="34"/>
      <c r="DJ489" s="34"/>
      <c r="DK489" s="34"/>
      <c r="DL489" s="34"/>
      <c r="DM489" s="34"/>
      <c r="DN489" s="12">
        <v>2203025</v>
      </c>
      <c r="DS489" s="21"/>
      <c r="DT489" s="21"/>
      <c r="DU489" s="21"/>
    </row>
    <row r="490" spans="72:125" ht="13.5" customHeight="1">
      <c r="BT490" s="12">
        <v>2403025</v>
      </c>
      <c r="BU490" s="3">
        <f>[1]monsters!$N490</f>
        <v>120</v>
      </c>
      <c r="BV490" s="3">
        <f>[1]monsters!$O490</f>
        <v>12</v>
      </c>
      <c r="BW490" s="3">
        <f>[1]monsters!$P490</f>
        <v>921.6</v>
      </c>
      <c r="BX490" s="3">
        <f>[1]monsters!$Q490</f>
        <v>92.16</v>
      </c>
      <c r="BY490" s="3">
        <f>[1]monsters!$R490</f>
        <v>12</v>
      </c>
      <c r="BZ490" s="3">
        <f>[1]monsters!$S490</f>
        <v>1.2</v>
      </c>
      <c r="CA490" s="3">
        <f>[1]monsters!$K490</f>
        <v>1.5</v>
      </c>
      <c r="CB490" s="12">
        <f>[1]monsters!$D490</f>
        <v>4</v>
      </c>
      <c r="CC490" s="12">
        <f t="shared" ca="1" si="49"/>
        <v>0.1</v>
      </c>
      <c r="CD490" s="12">
        <f t="shared" ca="1" si="50"/>
        <v>45.357920202020203</v>
      </c>
      <c r="CE490" s="12">
        <f t="shared" ca="1" si="51"/>
        <v>4.5357920202020203</v>
      </c>
      <c r="CS490" s="33"/>
      <c r="CT490" s="33"/>
      <c r="CU490" s="33"/>
      <c r="CV490" s="32"/>
      <c r="CW490" s="32"/>
      <c r="CX490" s="32"/>
      <c r="CY490" s="34"/>
      <c r="CZ490" s="34"/>
      <c r="DA490" s="34"/>
      <c r="DB490" s="33"/>
      <c r="DC490" s="33"/>
      <c r="DD490" s="33"/>
      <c r="DE490" s="33"/>
      <c r="DF490" s="33"/>
      <c r="DG490" s="33"/>
      <c r="DH490" s="34"/>
      <c r="DI490" s="34"/>
      <c r="DJ490" s="34"/>
      <c r="DK490" s="34"/>
      <c r="DL490" s="34"/>
      <c r="DM490" s="34"/>
      <c r="DN490" s="12">
        <v>2403025</v>
      </c>
      <c r="DS490" s="21"/>
      <c r="DT490" s="21"/>
      <c r="DU490" s="21"/>
    </row>
    <row r="491" spans="72:125" ht="13.5" customHeight="1">
      <c r="BT491" s="12">
        <v>2204025</v>
      </c>
      <c r="BU491" s="3">
        <f>[1]monsters!$N491</f>
        <v>91.52</v>
      </c>
      <c r="BV491" s="3">
        <f>[1]monsters!$O491</f>
        <v>9.15</v>
      </c>
      <c r="BW491" s="3">
        <f>[1]monsters!$P491</f>
        <v>1047.27</v>
      </c>
      <c r="BX491" s="3">
        <f>[1]monsters!$Q491</f>
        <v>104.73</v>
      </c>
      <c r="BY491" s="3">
        <f>[1]monsters!$R491</f>
        <v>11.44</v>
      </c>
      <c r="BZ491" s="3">
        <f>[1]monsters!$S491</f>
        <v>1.1399999999999999</v>
      </c>
      <c r="CA491" s="3">
        <f>[1]monsters!$K491</f>
        <v>1.3</v>
      </c>
      <c r="CB491" s="12">
        <f>[1]monsters!$D491</f>
        <v>3</v>
      </c>
      <c r="CC491" s="12">
        <f t="shared" ca="1" si="49"/>
        <v>0.1</v>
      </c>
      <c r="CD491" s="12">
        <f t="shared" ca="1" si="50"/>
        <v>51.062577777777797</v>
      </c>
      <c r="CE491" s="12">
        <f t="shared" ca="1" si="51"/>
        <v>5.1062577777777802</v>
      </c>
      <c r="CS491" s="33"/>
      <c r="CT491" s="33"/>
      <c r="CU491" s="33"/>
      <c r="CV491" s="32"/>
      <c r="CW491" s="32"/>
      <c r="CX491" s="32"/>
      <c r="CY491" s="34"/>
      <c r="CZ491" s="34"/>
      <c r="DA491" s="34"/>
      <c r="DB491" s="33"/>
      <c r="DC491" s="33"/>
      <c r="DD491" s="33"/>
      <c r="DE491" s="33"/>
      <c r="DF491" s="33"/>
      <c r="DG491" s="33"/>
      <c r="DH491" s="34"/>
      <c r="DI491" s="34"/>
      <c r="DJ491" s="34"/>
      <c r="DK491" s="34"/>
      <c r="DL491" s="34"/>
      <c r="DM491" s="34"/>
      <c r="DN491" s="12">
        <v>2204025</v>
      </c>
      <c r="DS491" s="21"/>
      <c r="DT491" s="21"/>
      <c r="DU491" s="21"/>
    </row>
    <row r="492" spans="72:125" ht="13.5" customHeight="1">
      <c r="BT492" s="12">
        <v>2404025</v>
      </c>
      <c r="BU492" s="3">
        <f>[1]monsters!$N492</f>
        <v>126.72</v>
      </c>
      <c r="BV492" s="3">
        <f>[1]monsters!$O492</f>
        <v>12.67</v>
      </c>
      <c r="BW492" s="3">
        <f>[1]monsters!$P492</f>
        <v>1047.27</v>
      </c>
      <c r="BX492" s="3">
        <f>[1]monsters!$Q492</f>
        <v>104.73</v>
      </c>
      <c r="BY492" s="3">
        <f>[1]monsters!$R492</f>
        <v>21.12</v>
      </c>
      <c r="BZ492" s="3">
        <f>[1]monsters!$S492</f>
        <v>2.11</v>
      </c>
      <c r="CA492" s="3">
        <f>[1]monsters!$K492</f>
        <v>1.8</v>
      </c>
      <c r="CB492" s="12">
        <f>[1]monsters!$D492</f>
        <v>5</v>
      </c>
      <c r="CC492" s="12">
        <f t="shared" ca="1" si="49"/>
        <v>0.1</v>
      </c>
      <c r="CD492" s="12">
        <f t="shared" ca="1" si="50"/>
        <v>54.5055202020202</v>
      </c>
      <c r="CE492" s="12">
        <f t="shared" ca="1" si="51"/>
        <v>5.4505520202020197</v>
      </c>
      <c r="CS492" s="33"/>
      <c r="CT492" s="33"/>
      <c r="CU492" s="33"/>
      <c r="CV492" s="32"/>
      <c r="CW492" s="32"/>
      <c r="CX492" s="32"/>
      <c r="CY492" s="34"/>
      <c r="CZ492" s="34"/>
      <c r="DA492" s="34"/>
      <c r="DB492" s="33"/>
      <c r="DC492" s="33"/>
      <c r="DD492" s="33"/>
      <c r="DE492" s="33"/>
      <c r="DF492" s="33"/>
      <c r="DG492" s="33"/>
      <c r="DH492" s="34"/>
      <c r="DI492" s="34"/>
      <c r="DJ492" s="34"/>
      <c r="DK492" s="34"/>
      <c r="DL492" s="34"/>
      <c r="DM492" s="34"/>
      <c r="DN492" s="12">
        <v>2404025</v>
      </c>
      <c r="DS492" s="21"/>
      <c r="DT492" s="21"/>
      <c r="DU492" s="21"/>
    </row>
    <row r="493" spans="72:125" ht="13.5" customHeight="1">
      <c r="BT493" s="12">
        <v>2303025</v>
      </c>
      <c r="BU493" s="3">
        <f>[1]monsters!$N493</f>
        <v>92.16</v>
      </c>
      <c r="BV493" s="3">
        <f>[1]monsters!$O493</f>
        <v>9.2200000000000006</v>
      </c>
      <c r="BW493" s="3">
        <f>[1]monsters!$P493</f>
        <v>1280</v>
      </c>
      <c r="BX493" s="3">
        <f>[1]monsters!$Q493</f>
        <v>128</v>
      </c>
      <c r="BY493" s="3">
        <f>[1]monsters!$R493</f>
        <v>18.43</v>
      </c>
      <c r="BZ493" s="3">
        <f>[1]monsters!$S493</f>
        <v>1.84</v>
      </c>
      <c r="CA493" s="3">
        <f>[1]monsters!$K493</f>
        <v>1.6</v>
      </c>
      <c r="CB493" s="12">
        <f>[1]monsters!$D493</f>
        <v>2</v>
      </c>
      <c r="CC493" s="12">
        <f t="shared" ca="1" si="49"/>
        <v>0.1</v>
      </c>
      <c r="CD493" s="12">
        <f t="shared" ca="1" si="50"/>
        <v>49.015658024691298</v>
      </c>
      <c r="CE493" s="12">
        <f t="shared" ca="1" si="51"/>
        <v>4.9015658024691398</v>
      </c>
      <c r="CS493" s="33"/>
      <c r="CT493" s="33"/>
      <c r="CU493" s="33"/>
      <c r="CV493" s="32"/>
      <c r="CW493" s="32"/>
      <c r="CX493" s="32"/>
      <c r="CY493" s="34"/>
      <c r="CZ493" s="34"/>
      <c r="DA493" s="34"/>
      <c r="DB493" s="33"/>
      <c r="DC493" s="33"/>
      <c r="DD493" s="33"/>
      <c r="DE493" s="33"/>
      <c r="DF493" s="33"/>
      <c r="DG493" s="33"/>
      <c r="DH493" s="34"/>
      <c r="DI493" s="34"/>
      <c r="DJ493" s="34"/>
      <c r="DK493" s="34"/>
      <c r="DL493" s="34"/>
      <c r="DM493" s="34"/>
      <c r="DN493" s="12">
        <v>2303025</v>
      </c>
      <c r="DS493" s="21"/>
      <c r="DT493" s="21"/>
      <c r="DU493" s="21"/>
    </row>
    <row r="494" spans="72:125" ht="13.5" customHeight="1">
      <c r="BT494" s="12">
        <v>2304025</v>
      </c>
      <c r="BU494" s="3">
        <f>[1]monsters!$N494</f>
        <v>116.48</v>
      </c>
      <c r="BV494" s="3">
        <f>[1]monsters!$O494</f>
        <v>11.65</v>
      </c>
      <c r="BW494" s="3">
        <f>[1]monsters!$P494</f>
        <v>886.15</v>
      </c>
      <c r="BX494" s="3">
        <f>[1]monsters!$Q494</f>
        <v>88.62</v>
      </c>
      <c r="BY494" s="3">
        <f>[1]monsters!$R494</f>
        <v>11.65</v>
      </c>
      <c r="BZ494" s="3">
        <f>[1]monsters!$S494</f>
        <v>1.1599999999999999</v>
      </c>
      <c r="CA494" s="3">
        <f>[1]monsters!$K494</f>
        <v>1.4000000000000001</v>
      </c>
      <c r="CB494" s="12">
        <f>[1]monsters!$D494</f>
        <v>4</v>
      </c>
      <c r="CC494" s="12">
        <f t="shared" ca="1" si="49"/>
        <v>0.1</v>
      </c>
      <c r="CD494" s="12">
        <f t="shared" ca="1" si="50"/>
        <v>50.886758024691296</v>
      </c>
      <c r="CE494" s="12">
        <f t="shared" ca="1" si="51"/>
        <v>5.0886758024691296</v>
      </c>
      <c r="CS494" s="33"/>
      <c r="CT494" s="33"/>
      <c r="CU494" s="33"/>
      <c r="CV494" s="32"/>
      <c r="CW494" s="32"/>
      <c r="CX494" s="32"/>
      <c r="CY494" s="34"/>
      <c r="CZ494" s="34"/>
      <c r="DA494" s="34"/>
      <c r="DB494" s="33"/>
      <c r="DC494" s="33"/>
      <c r="DD494" s="33"/>
      <c r="DE494" s="33"/>
      <c r="DF494" s="33"/>
      <c r="DG494" s="33"/>
      <c r="DH494" s="34"/>
      <c r="DI494" s="34"/>
      <c r="DJ494" s="34"/>
      <c r="DK494" s="34"/>
      <c r="DL494" s="34"/>
      <c r="DM494" s="34"/>
      <c r="DN494" s="12">
        <v>2304025</v>
      </c>
      <c r="DS494" s="21"/>
      <c r="DT494" s="21"/>
      <c r="DU494" s="21"/>
    </row>
    <row r="495" spans="72:125" ht="13.5" customHeight="1">
      <c r="BT495" s="12">
        <v>2503025</v>
      </c>
      <c r="BU495" s="3">
        <f>[1]monsters!$N495</f>
        <v>80.64</v>
      </c>
      <c r="BV495" s="3">
        <f>[1]monsters!$O495</f>
        <v>8.06</v>
      </c>
      <c r="BW495" s="3">
        <f>[1]monsters!$P495</f>
        <v>1280</v>
      </c>
      <c r="BX495" s="3">
        <f>[1]monsters!$Q495</f>
        <v>128</v>
      </c>
      <c r="BY495" s="3">
        <f>[1]monsters!$R495</f>
        <v>16.13</v>
      </c>
      <c r="BZ495" s="3">
        <f>[1]monsters!$S495</f>
        <v>1.61</v>
      </c>
      <c r="CA495" s="3">
        <f>[1]monsters!$K495</f>
        <v>1.4000000000000001</v>
      </c>
      <c r="CB495" s="12">
        <f>[1]monsters!$D495</f>
        <v>2</v>
      </c>
      <c r="CC495" s="12">
        <f t="shared" ca="1" si="49"/>
        <v>0.1</v>
      </c>
      <c r="CD495" s="12">
        <f t="shared" ca="1" si="50"/>
        <v>58.4353185185185</v>
      </c>
      <c r="CE495" s="12">
        <f t="shared" ca="1" si="51"/>
        <v>5.84353185185185</v>
      </c>
      <c r="CS495" s="33"/>
      <c r="CT495" s="33"/>
      <c r="CU495" s="33"/>
      <c r="CV495" s="32"/>
      <c r="CW495" s="32"/>
      <c r="CX495" s="32"/>
      <c r="CY495" s="34"/>
      <c r="CZ495" s="34"/>
      <c r="DA495" s="34"/>
      <c r="DB495" s="33"/>
      <c r="DC495" s="33"/>
      <c r="DD495" s="33"/>
      <c r="DE495" s="33"/>
      <c r="DF495" s="33"/>
      <c r="DG495" s="33"/>
      <c r="DH495" s="34"/>
      <c r="DI495" s="34"/>
      <c r="DJ495" s="34"/>
      <c r="DK495" s="34"/>
      <c r="DL495" s="34"/>
      <c r="DM495" s="34"/>
      <c r="DN495" s="12">
        <v>2503025</v>
      </c>
      <c r="DS495" s="21"/>
      <c r="DT495" s="21"/>
      <c r="DU495" s="21"/>
    </row>
    <row r="496" spans="72:125" ht="13.5" customHeight="1">
      <c r="BT496" s="12">
        <v>2504025</v>
      </c>
      <c r="BU496" s="3">
        <f>[1]monsters!$N496</f>
        <v>133.12</v>
      </c>
      <c r="BV496" s="3">
        <f>[1]monsters!$O496</f>
        <v>13.31</v>
      </c>
      <c r="BW496" s="3">
        <f>[1]monsters!$P496</f>
        <v>886.15</v>
      </c>
      <c r="BX496" s="3">
        <f>[1]monsters!$Q496</f>
        <v>88.62</v>
      </c>
      <c r="BY496" s="3">
        <f>[1]monsters!$R496</f>
        <v>13.31</v>
      </c>
      <c r="BZ496" s="3">
        <f>[1]monsters!$S496</f>
        <v>1.33</v>
      </c>
      <c r="CA496" s="3">
        <f>[1]monsters!$K496</f>
        <v>1.6</v>
      </c>
      <c r="CB496" s="12">
        <f>[1]monsters!$D496</f>
        <v>4</v>
      </c>
      <c r="CC496" s="12">
        <f t="shared" ca="1" si="49"/>
        <v>0.1</v>
      </c>
      <c r="CD496" s="12">
        <f t="shared" ca="1" si="50"/>
        <v>63.424918518518503</v>
      </c>
      <c r="CE496" s="12">
        <f t="shared" ca="1" si="51"/>
        <v>6.3424918518518503</v>
      </c>
      <c r="CS496" s="33"/>
      <c r="CT496" s="33"/>
      <c r="CU496" s="33"/>
      <c r="CV496" s="32"/>
      <c r="CW496" s="32"/>
      <c r="CX496" s="32"/>
      <c r="CY496" s="34"/>
      <c r="CZ496" s="34"/>
      <c r="DA496" s="34"/>
      <c r="DB496" s="33"/>
      <c r="DC496" s="33"/>
      <c r="DD496" s="33"/>
      <c r="DE496" s="33"/>
      <c r="DF496" s="33"/>
      <c r="DG496" s="33"/>
      <c r="DH496" s="34"/>
      <c r="DI496" s="34"/>
      <c r="DJ496" s="34"/>
      <c r="DK496" s="34"/>
      <c r="DL496" s="34"/>
      <c r="DM496" s="34"/>
      <c r="DN496" s="12">
        <v>2504025</v>
      </c>
      <c r="DS496" s="21"/>
      <c r="DT496" s="21"/>
      <c r="DU496" s="21"/>
    </row>
    <row r="497" spans="72:125" ht="13.5" customHeight="1">
      <c r="BT497" s="12">
        <v>2101025</v>
      </c>
      <c r="BU497" s="3">
        <f>[1]monsters!$N497</f>
        <v>122.88</v>
      </c>
      <c r="BV497" s="3">
        <f>[1]monsters!$O497</f>
        <v>12.29</v>
      </c>
      <c r="BW497" s="3">
        <f>[1]monsters!$P497</f>
        <v>960</v>
      </c>
      <c r="BX497" s="3">
        <f>[1]monsters!$Q497</f>
        <v>96</v>
      </c>
      <c r="BY497" s="3">
        <f>[1]monsters!$R497</f>
        <v>20.48</v>
      </c>
      <c r="BZ497" s="3">
        <f>[1]monsters!$S497</f>
        <v>2.0499999999999998</v>
      </c>
      <c r="CA497" s="3">
        <f>[1]monsters!$K497</f>
        <v>1.6</v>
      </c>
      <c r="CB497" s="12">
        <f>[1]monsters!$D497</f>
        <v>5</v>
      </c>
      <c r="CC497" s="12">
        <f t="shared" ca="1" si="49"/>
        <v>0.1</v>
      </c>
      <c r="CD497" s="12">
        <f t="shared" ca="1" si="50"/>
        <v>55.486222222222203</v>
      </c>
      <c r="CE497" s="12">
        <f t="shared" ca="1" si="51"/>
        <v>5.5486222222222201</v>
      </c>
      <c r="CS497" s="33"/>
      <c r="CT497" s="33"/>
      <c r="CU497" s="33"/>
      <c r="CV497" s="32"/>
      <c r="CW497" s="32"/>
      <c r="CX497" s="32"/>
      <c r="CY497" s="34"/>
      <c r="CZ497" s="34"/>
      <c r="DA497" s="34"/>
      <c r="DB497" s="33"/>
      <c r="DC497" s="33"/>
      <c r="DD497" s="33"/>
      <c r="DE497" s="33"/>
      <c r="DF497" s="33"/>
      <c r="DG497" s="33"/>
      <c r="DH497" s="34"/>
      <c r="DI497" s="34"/>
      <c r="DJ497" s="34"/>
      <c r="DK497" s="34"/>
      <c r="DL497" s="34"/>
      <c r="DM497" s="34"/>
      <c r="DN497" s="12">
        <v>2101025</v>
      </c>
      <c r="DS497" s="21"/>
      <c r="DT497" s="21"/>
      <c r="DU497" s="21"/>
    </row>
    <row r="498" spans="72:125" ht="13.5" customHeight="1">
      <c r="BT498" s="12">
        <v>2102025</v>
      </c>
      <c r="BU498" s="3">
        <f>[1]monsters!$N498</f>
        <v>103.04</v>
      </c>
      <c r="BV498" s="3">
        <f>[1]monsters!$O498</f>
        <v>10.3</v>
      </c>
      <c r="BW498" s="3">
        <f>[1]monsters!$P498</f>
        <v>1001.74</v>
      </c>
      <c r="BX498" s="3">
        <f>[1]monsters!$Q498</f>
        <v>100.17</v>
      </c>
      <c r="BY498" s="3">
        <f>[1]monsters!$R498</f>
        <v>12.88</v>
      </c>
      <c r="BZ498" s="3">
        <f>[1]monsters!$S498</f>
        <v>1.29</v>
      </c>
      <c r="CA498" s="3">
        <f>[1]monsters!$K498</f>
        <v>1.4000000000000001</v>
      </c>
      <c r="CB498" s="12">
        <f>[1]monsters!$D498</f>
        <v>3</v>
      </c>
      <c r="CC498" s="12">
        <f t="shared" ca="1" si="49"/>
        <v>0.1</v>
      </c>
      <c r="CD498" s="12">
        <f t="shared" ca="1" si="50"/>
        <v>51.328222222222202</v>
      </c>
      <c r="CE498" s="12">
        <f t="shared" ca="1" si="51"/>
        <v>5.1328222222222202</v>
      </c>
      <c r="CS498" s="33"/>
      <c r="CT498" s="33"/>
      <c r="CU498" s="33"/>
      <c r="CV498" s="32"/>
      <c r="CW498" s="32"/>
      <c r="CX498" s="32"/>
      <c r="CY498" s="34"/>
      <c r="CZ498" s="34"/>
      <c r="DA498" s="34"/>
      <c r="DB498" s="33"/>
      <c r="DC498" s="33"/>
      <c r="DD498" s="33"/>
      <c r="DE498" s="33"/>
      <c r="DF498" s="33"/>
      <c r="DG498" s="33"/>
      <c r="DH498" s="34"/>
      <c r="DI498" s="34"/>
      <c r="DJ498" s="34"/>
      <c r="DK498" s="34"/>
      <c r="DL498" s="34"/>
      <c r="DM498" s="34"/>
      <c r="DN498" s="12">
        <v>2102025</v>
      </c>
      <c r="DS498" s="21"/>
      <c r="DT498" s="21"/>
      <c r="DU498" s="21"/>
    </row>
    <row r="499" spans="72:125" ht="13.5" customHeight="1">
      <c r="BT499" s="12">
        <v>3206031</v>
      </c>
      <c r="BU499" s="3">
        <f>[1]monsters!$N499</f>
        <v>74.88</v>
      </c>
      <c r="BV499" s="3">
        <f>[1]monsters!$O499</f>
        <v>7.49</v>
      </c>
      <c r="BW499" s="3">
        <f>[1]monsters!$P499</f>
        <v>1280</v>
      </c>
      <c r="BX499" s="3">
        <f>[1]monsters!$Q499</f>
        <v>128</v>
      </c>
      <c r="BY499" s="3">
        <f>[1]monsters!$R499</f>
        <v>14.98</v>
      </c>
      <c r="BZ499" s="3">
        <f>[1]monsters!$S499</f>
        <v>1.5</v>
      </c>
      <c r="CA499" s="3">
        <f>[1]monsters!$K499</f>
        <v>1.3</v>
      </c>
      <c r="CB499" s="12">
        <f>[1]monsters!$D499</f>
        <v>2</v>
      </c>
      <c r="CC499" s="12">
        <f t="shared" ca="1" si="49"/>
        <v>0.1</v>
      </c>
      <c r="CD499" s="12">
        <f t="shared" ca="1" si="50"/>
        <v>61.147830303030297</v>
      </c>
      <c r="CE499" s="12">
        <f t="shared" ca="1" si="51"/>
        <v>6.1147830303030304</v>
      </c>
      <c r="CS499" s="33"/>
      <c r="CT499" s="33"/>
      <c r="CU499" s="33"/>
      <c r="CV499" s="32"/>
      <c r="CW499" s="32"/>
      <c r="CX499" s="32"/>
      <c r="CY499" s="34"/>
      <c r="CZ499" s="34"/>
      <c r="DA499" s="34"/>
      <c r="DB499" s="33"/>
      <c r="DC499" s="33"/>
      <c r="DD499" s="33"/>
      <c r="DE499" s="33"/>
      <c r="DF499" s="33"/>
      <c r="DG499" s="33"/>
      <c r="DH499" s="34"/>
      <c r="DI499" s="34"/>
      <c r="DJ499" s="34"/>
      <c r="DK499" s="34"/>
      <c r="DL499" s="34"/>
      <c r="DM499" s="34"/>
      <c r="DN499" s="12">
        <v>3206031</v>
      </c>
      <c r="DS499" s="21"/>
      <c r="DT499" s="21"/>
      <c r="DU499" s="21"/>
    </row>
    <row r="500" spans="72:125" ht="13.5" customHeight="1">
      <c r="BT500" s="12">
        <v>3406031</v>
      </c>
      <c r="BU500" s="3">
        <f>[1]monsters!$N500</f>
        <v>99.84</v>
      </c>
      <c r="BV500" s="3">
        <f>[1]monsters!$O500</f>
        <v>9.98</v>
      </c>
      <c r="BW500" s="3">
        <f>[1]monsters!$P500</f>
        <v>960</v>
      </c>
      <c r="BX500" s="3">
        <f>[1]monsters!$Q500</f>
        <v>96</v>
      </c>
      <c r="BY500" s="3">
        <f>[1]monsters!$R500</f>
        <v>9.98</v>
      </c>
      <c r="BZ500" s="3">
        <f>[1]monsters!$S500</f>
        <v>1</v>
      </c>
      <c r="CA500" s="3">
        <f>[1]monsters!$K500</f>
        <v>1.3</v>
      </c>
      <c r="CB500" s="12">
        <f>[1]monsters!$D500</f>
        <v>4</v>
      </c>
      <c r="CC500" s="12">
        <f t="shared" ca="1" si="49"/>
        <v>0.1</v>
      </c>
      <c r="CD500" s="12">
        <f t="shared" ca="1" si="50"/>
        <v>56.965767493112899</v>
      </c>
      <c r="CE500" s="12">
        <f t="shared" ca="1" si="51"/>
        <v>5.6965767493112898</v>
      </c>
      <c r="CS500" s="33"/>
      <c r="CT500" s="33"/>
      <c r="CU500" s="33"/>
      <c r="CV500" s="32"/>
      <c r="CW500" s="32"/>
      <c r="CX500" s="32"/>
      <c r="CY500" s="34"/>
      <c r="CZ500" s="34"/>
      <c r="DA500" s="34"/>
      <c r="DB500" s="33"/>
      <c r="DC500" s="33"/>
      <c r="DD500" s="33"/>
      <c r="DE500" s="33"/>
      <c r="DF500" s="33"/>
      <c r="DG500" s="33"/>
      <c r="DH500" s="34"/>
      <c r="DI500" s="34"/>
      <c r="DJ500" s="34"/>
      <c r="DK500" s="34"/>
      <c r="DL500" s="34"/>
      <c r="DM500" s="34"/>
      <c r="DN500" s="12">
        <v>3406031</v>
      </c>
      <c r="DS500" s="21"/>
      <c r="DT500" s="21"/>
      <c r="DU500" s="21"/>
    </row>
    <row r="501" spans="72:125" ht="13.5" customHeight="1">
      <c r="BT501" s="12">
        <v>3205031</v>
      </c>
      <c r="BU501" s="3">
        <f>[1]monsters!$N501</f>
        <v>103.68</v>
      </c>
      <c r="BV501" s="3">
        <f>[1]monsters!$O501</f>
        <v>10.37</v>
      </c>
      <c r="BW501" s="3">
        <f>[1]monsters!$P501</f>
        <v>1280</v>
      </c>
      <c r="BX501" s="3">
        <f>[1]monsters!$Q501</f>
        <v>128</v>
      </c>
      <c r="BY501" s="3">
        <f>[1]monsters!$R501</f>
        <v>20.74</v>
      </c>
      <c r="BZ501" s="3">
        <f>[1]monsters!$S501</f>
        <v>2.0699999999999998</v>
      </c>
      <c r="CA501" s="3">
        <f>[1]monsters!$K501</f>
        <v>1.8</v>
      </c>
      <c r="CB501" s="12">
        <f>[1]monsters!$D501</f>
        <v>2</v>
      </c>
      <c r="CC501" s="12">
        <f t="shared" ca="1" si="49"/>
        <v>0.1</v>
      </c>
      <c r="CD501" s="12">
        <f t="shared" ca="1" si="50"/>
        <v>66.591030303030294</v>
      </c>
      <c r="CE501" s="12">
        <f t="shared" ca="1" si="51"/>
        <v>6.6591030303030303</v>
      </c>
      <c r="CS501" s="33"/>
      <c r="CT501" s="33"/>
      <c r="CU501" s="33"/>
      <c r="CV501" s="32"/>
      <c r="CW501" s="32"/>
      <c r="CX501" s="32"/>
      <c r="CY501" s="34"/>
      <c r="CZ501" s="34"/>
      <c r="DA501" s="34"/>
      <c r="DB501" s="33"/>
      <c r="DC501" s="33"/>
      <c r="DD501" s="33"/>
      <c r="DE501" s="33"/>
      <c r="DF501" s="33"/>
      <c r="DG501" s="33"/>
      <c r="DH501" s="34"/>
      <c r="DI501" s="34"/>
      <c r="DJ501" s="34"/>
      <c r="DK501" s="34"/>
      <c r="DL501" s="34"/>
      <c r="DM501" s="34"/>
      <c r="DN501" s="12">
        <v>3205031</v>
      </c>
      <c r="DS501" s="21"/>
      <c r="DT501" s="21"/>
      <c r="DU501" s="21"/>
    </row>
    <row r="502" spans="72:125" ht="13.5" customHeight="1">
      <c r="BT502" s="12">
        <v>3405031</v>
      </c>
      <c r="BU502" s="3">
        <f>[1]monsters!$N502</f>
        <v>120</v>
      </c>
      <c r="BV502" s="3">
        <f>[1]monsters!$O502</f>
        <v>12</v>
      </c>
      <c r="BW502" s="3">
        <f>[1]monsters!$P502</f>
        <v>921.6</v>
      </c>
      <c r="BX502" s="3">
        <f>[1]monsters!$Q502</f>
        <v>92.16</v>
      </c>
      <c r="BY502" s="3">
        <f>[1]monsters!$R502</f>
        <v>12</v>
      </c>
      <c r="BZ502" s="3">
        <f>[1]monsters!$S502</f>
        <v>1.2</v>
      </c>
      <c r="CA502" s="3">
        <f>[1]monsters!$K502</f>
        <v>1.5</v>
      </c>
      <c r="CB502" s="12">
        <f>[1]monsters!$D502</f>
        <v>4</v>
      </c>
      <c r="CC502" s="12">
        <f t="shared" ca="1" si="49"/>
        <v>0.1</v>
      </c>
      <c r="CD502" s="12">
        <f t="shared" ca="1" si="50"/>
        <v>59.460567493112897</v>
      </c>
      <c r="CE502" s="12">
        <f t="shared" ca="1" si="51"/>
        <v>5.9460567493112899</v>
      </c>
      <c r="CS502" s="33"/>
      <c r="CT502" s="33"/>
      <c r="CU502" s="33"/>
      <c r="CV502" s="32"/>
      <c r="CW502" s="32"/>
      <c r="CX502" s="32"/>
      <c r="CY502" s="34"/>
      <c r="CZ502" s="34"/>
      <c r="DA502" s="34"/>
      <c r="DB502" s="33"/>
      <c r="DC502" s="33"/>
      <c r="DD502" s="33"/>
      <c r="DE502" s="33"/>
      <c r="DF502" s="33"/>
      <c r="DG502" s="33"/>
      <c r="DH502" s="34"/>
      <c r="DI502" s="34"/>
      <c r="DJ502" s="34"/>
      <c r="DK502" s="34"/>
      <c r="DL502" s="34"/>
      <c r="DM502" s="34"/>
      <c r="DN502" s="12">
        <v>3405031</v>
      </c>
      <c r="DS502" s="21"/>
      <c r="DT502" s="21"/>
      <c r="DU502" s="21"/>
    </row>
    <row r="503" spans="72:125" ht="13.5" customHeight="1">
      <c r="BT503" s="12">
        <v>3203031</v>
      </c>
      <c r="BU503" s="3">
        <f>[1]monsters!$N503</f>
        <v>91.52</v>
      </c>
      <c r="BV503" s="3">
        <f>[1]monsters!$O503</f>
        <v>9.15</v>
      </c>
      <c r="BW503" s="3">
        <f>[1]monsters!$P503</f>
        <v>1047.27</v>
      </c>
      <c r="BX503" s="3">
        <f>[1]monsters!$Q503</f>
        <v>104.73</v>
      </c>
      <c r="BY503" s="3">
        <f>[1]monsters!$R503</f>
        <v>11.44</v>
      </c>
      <c r="BZ503" s="3">
        <f>[1]monsters!$S503</f>
        <v>1.1399999999999999</v>
      </c>
      <c r="CA503" s="3">
        <f>[1]monsters!$K503</f>
        <v>1.3</v>
      </c>
      <c r="CB503" s="12">
        <f>[1]monsters!$D503</f>
        <v>3</v>
      </c>
      <c r="CC503" s="12">
        <f t="shared" ca="1" si="49"/>
        <v>0.1</v>
      </c>
      <c r="CD503" s="12">
        <f t="shared" ca="1" si="50"/>
        <v>53.8902303030303</v>
      </c>
      <c r="CE503" s="12">
        <f t="shared" ca="1" si="51"/>
        <v>5.3890230303030302</v>
      </c>
      <c r="CS503" s="33"/>
      <c r="CT503" s="33"/>
      <c r="CU503" s="33"/>
      <c r="CV503" s="32"/>
      <c r="CW503" s="32"/>
      <c r="CX503" s="32"/>
      <c r="CY503" s="34"/>
      <c r="CZ503" s="34"/>
      <c r="DA503" s="34"/>
      <c r="DB503" s="33"/>
      <c r="DC503" s="33"/>
      <c r="DD503" s="33"/>
      <c r="DE503" s="33"/>
      <c r="DF503" s="33"/>
      <c r="DG503" s="33"/>
      <c r="DH503" s="34"/>
      <c r="DI503" s="34"/>
      <c r="DJ503" s="34"/>
      <c r="DK503" s="34"/>
      <c r="DL503" s="34"/>
      <c r="DM503" s="34"/>
      <c r="DN503" s="12">
        <v>3203031</v>
      </c>
      <c r="DS503" s="21"/>
      <c r="DT503" s="21"/>
      <c r="DU503" s="21"/>
    </row>
    <row r="504" spans="72:125" ht="13.5" customHeight="1">
      <c r="BT504" s="12">
        <v>3403031</v>
      </c>
      <c r="BU504" s="3">
        <f>[1]monsters!$N504</f>
        <v>126.72</v>
      </c>
      <c r="BV504" s="3">
        <f>[1]monsters!$O504</f>
        <v>12.67</v>
      </c>
      <c r="BW504" s="3">
        <f>[1]monsters!$P504</f>
        <v>1047.27</v>
      </c>
      <c r="BX504" s="3">
        <f>[1]monsters!$Q504</f>
        <v>104.73</v>
      </c>
      <c r="BY504" s="3">
        <f>[1]monsters!$R504</f>
        <v>21.12</v>
      </c>
      <c r="BZ504" s="3">
        <f>[1]monsters!$S504</f>
        <v>2.11</v>
      </c>
      <c r="CA504" s="3">
        <f>[1]monsters!$K504</f>
        <v>1.8</v>
      </c>
      <c r="CB504" s="12">
        <f>[1]monsters!$D504</f>
        <v>5</v>
      </c>
      <c r="CC504" s="12">
        <f t="shared" ca="1" si="49"/>
        <v>0.1</v>
      </c>
      <c r="CD504" s="12">
        <f t="shared" ca="1" si="50"/>
        <v>49.481367493112899</v>
      </c>
      <c r="CE504" s="12">
        <f t="shared" ca="1" si="51"/>
        <v>4.9481367493112902</v>
      </c>
      <c r="CS504" s="33"/>
      <c r="CT504" s="33"/>
      <c r="CU504" s="33"/>
      <c r="CV504" s="32"/>
      <c r="CW504" s="32"/>
      <c r="CX504" s="32"/>
      <c r="CY504" s="34"/>
      <c r="CZ504" s="34"/>
      <c r="DA504" s="34"/>
      <c r="DB504" s="33"/>
      <c r="DC504" s="33"/>
      <c r="DD504" s="33"/>
      <c r="DE504" s="33"/>
      <c r="DF504" s="33"/>
      <c r="DG504" s="33"/>
      <c r="DH504" s="34"/>
      <c r="DI504" s="34"/>
      <c r="DJ504" s="34"/>
      <c r="DK504" s="34"/>
      <c r="DL504" s="34"/>
      <c r="DM504" s="34"/>
      <c r="DN504" s="12">
        <v>3403031</v>
      </c>
      <c r="DS504" s="21"/>
      <c r="DT504" s="21"/>
      <c r="DU504" s="21"/>
    </row>
    <row r="505" spans="72:125" ht="13.5" customHeight="1">
      <c r="BT505" s="12">
        <v>3204031</v>
      </c>
      <c r="BU505" s="3">
        <f>[1]monsters!$N505</f>
        <v>92.16</v>
      </c>
      <c r="BV505" s="3">
        <f>[1]monsters!$O505</f>
        <v>9.2200000000000006</v>
      </c>
      <c r="BW505" s="3">
        <f>[1]monsters!$P505</f>
        <v>1280</v>
      </c>
      <c r="BX505" s="3">
        <f>[1]monsters!$Q505</f>
        <v>128</v>
      </c>
      <c r="BY505" s="3">
        <f>[1]monsters!$R505</f>
        <v>18.43</v>
      </c>
      <c r="BZ505" s="3">
        <f>[1]monsters!$S505</f>
        <v>1.84</v>
      </c>
      <c r="CA505" s="3">
        <f>[1]monsters!$K505</f>
        <v>1.6</v>
      </c>
      <c r="CB505" s="12">
        <f>[1]monsters!$D505</f>
        <v>2</v>
      </c>
      <c r="CC505" s="12">
        <f t="shared" ca="1" si="49"/>
        <v>0.1</v>
      </c>
      <c r="CD505" s="12">
        <f t="shared" ca="1" si="50"/>
        <v>55.704630303030299</v>
      </c>
      <c r="CE505" s="12">
        <f t="shared" ca="1" si="51"/>
        <v>5.5704630303030296</v>
      </c>
      <c r="CS505" s="33"/>
      <c r="CT505" s="33"/>
      <c r="CU505" s="33"/>
      <c r="CV505" s="32"/>
      <c r="CW505" s="32"/>
      <c r="CX505" s="32"/>
      <c r="CY505" s="34"/>
      <c r="CZ505" s="34"/>
      <c r="DA505" s="34"/>
      <c r="DB505" s="33"/>
      <c r="DC505" s="33"/>
      <c r="DD505" s="33"/>
      <c r="DE505" s="33"/>
      <c r="DF505" s="33"/>
      <c r="DG505" s="33"/>
      <c r="DH505" s="34"/>
      <c r="DI505" s="34"/>
      <c r="DJ505" s="34"/>
      <c r="DK505" s="34"/>
      <c r="DL505" s="34"/>
      <c r="DM505" s="34"/>
      <c r="DN505" s="12">
        <v>3204031</v>
      </c>
      <c r="DS505" s="21"/>
      <c r="DT505" s="21"/>
      <c r="DU505" s="21"/>
    </row>
    <row r="506" spans="72:125" ht="13.5" customHeight="1">
      <c r="BT506" s="12">
        <v>3404031</v>
      </c>
      <c r="BU506" s="3">
        <f>[1]monsters!$N506</f>
        <v>116.48</v>
      </c>
      <c r="BV506" s="3">
        <f>[1]monsters!$O506</f>
        <v>11.65</v>
      </c>
      <c r="BW506" s="3">
        <f>[1]monsters!$P506</f>
        <v>886.15</v>
      </c>
      <c r="BX506" s="3">
        <f>[1]monsters!$Q506</f>
        <v>88.62</v>
      </c>
      <c r="BY506" s="3">
        <f>[1]monsters!$R506</f>
        <v>11.65</v>
      </c>
      <c r="BZ506" s="3">
        <f>[1]monsters!$S506</f>
        <v>1.1599999999999999</v>
      </c>
      <c r="CA506" s="3">
        <f>[1]monsters!$K506</f>
        <v>1.4000000000000001</v>
      </c>
      <c r="CB506" s="12">
        <f>[1]monsters!$D506</f>
        <v>4</v>
      </c>
      <c r="CC506" s="12">
        <f t="shared" ca="1" si="49"/>
        <v>0.1</v>
      </c>
      <c r="CD506" s="12">
        <f t="shared" ca="1" si="50"/>
        <v>59.460567493112897</v>
      </c>
      <c r="CE506" s="12">
        <f t="shared" ca="1" si="51"/>
        <v>5.9460567493112899</v>
      </c>
      <c r="CS506" s="33"/>
      <c r="CT506" s="33"/>
      <c r="CU506" s="33"/>
      <c r="CV506" s="32"/>
      <c r="CW506" s="32"/>
      <c r="CX506" s="32"/>
      <c r="CY506" s="34"/>
      <c r="CZ506" s="34"/>
      <c r="DA506" s="34"/>
      <c r="DB506" s="33"/>
      <c r="DC506" s="33"/>
      <c r="DD506" s="33"/>
      <c r="DE506" s="33"/>
      <c r="DF506" s="33"/>
      <c r="DG506" s="33"/>
      <c r="DH506" s="34"/>
      <c r="DI506" s="34"/>
      <c r="DJ506" s="34"/>
      <c r="DK506" s="34"/>
      <c r="DL506" s="34"/>
      <c r="DM506" s="34"/>
      <c r="DN506" s="12">
        <v>3404031</v>
      </c>
      <c r="DS506" s="21"/>
      <c r="DT506" s="21"/>
      <c r="DU506" s="21"/>
    </row>
    <row r="507" spans="72:125" ht="13.5" customHeight="1">
      <c r="BT507" s="12">
        <v>3303031</v>
      </c>
      <c r="BU507" s="3">
        <f>[1]monsters!$N507</f>
        <v>80.64</v>
      </c>
      <c r="BV507" s="3">
        <f>[1]monsters!$O507</f>
        <v>8.06</v>
      </c>
      <c r="BW507" s="3">
        <f>[1]monsters!$P507</f>
        <v>1280</v>
      </c>
      <c r="BX507" s="3">
        <f>[1]monsters!$Q507</f>
        <v>128</v>
      </c>
      <c r="BY507" s="3">
        <f>[1]monsters!$R507</f>
        <v>16.13</v>
      </c>
      <c r="BZ507" s="3">
        <f>[1]monsters!$S507</f>
        <v>1.61</v>
      </c>
      <c r="CA507" s="3">
        <f>[1]monsters!$K507</f>
        <v>1.4000000000000001</v>
      </c>
      <c r="CB507" s="12">
        <f>[1]monsters!$D507</f>
        <v>2</v>
      </c>
      <c r="CC507" s="12">
        <f t="shared" ca="1" si="49"/>
        <v>0.1</v>
      </c>
      <c r="CD507" s="12">
        <f t="shared" ca="1" si="50"/>
        <v>53.471626936026901</v>
      </c>
      <c r="CE507" s="12">
        <f t="shared" ca="1" si="51"/>
        <v>5.3471626936026899</v>
      </c>
      <c r="CS507" s="33"/>
      <c r="CT507" s="33"/>
      <c r="CU507" s="33"/>
      <c r="CV507" s="32"/>
      <c r="CW507" s="32"/>
      <c r="CX507" s="32"/>
      <c r="CY507" s="34"/>
      <c r="CZ507" s="34"/>
      <c r="DA507" s="34"/>
      <c r="DB507" s="33"/>
      <c r="DC507" s="33"/>
      <c r="DD507" s="33"/>
      <c r="DE507" s="33"/>
      <c r="DF507" s="33"/>
      <c r="DG507" s="33"/>
      <c r="DH507" s="34"/>
      <c r="DI507" s="34"/>
      <c r="DJ507" s="34"/>
      <c r="DK507" s="34"/>
      <c r="DL507" s="34"/>
      <c r="DM507" s="34"/>
      <c r="DN507" s="12">
        <v>3303031</v>
      </c>
      <c r="DS507" s="21"/>
      <c r="DT507" s="21"/>
      <c r="DU507" s="21"/>
    </row>
    <row r="508" spans="72:125" ht="13.5" customHeight="1">
      <c r="BT508" s="12">
        <v>3304031</v>
      </c>
      <c r="BU508" s="3">
        <f>[1]monsters!$N508</f>
        <v>133.12</v>
      </c>
      <c r="BV508" s="3">
        <f>[1]monsters!$O508</f>
        <v>13.31</v>
      </c>
      <c r="BW508" s="3">
        <f>[1]monsters!$P508</f>
        <v>886.15</v>
      </c>
      <c r="BX508" s="3">
        <f>[1]monsters!$Q508</f>
        <v>88.62</v>
      </c>
      <c r="BY508" s="3">
        <f>[1]monsters!$R508</f>
        <v>13.31</v>
      </c>
      <c r="BZ508" s="3">
        <f>[1]monsters!$S508</f>
        <v>1.33</v>
      </c>
      <c r="CA508" s="3">
        <f>[1]monsters!$K508</f>
        <v>1.6</v>
      </c>
      <c r="CB508" s="12">
        <f>[1]monsters!$D508</f>
        <v>4</v>
      </c>
      <c r="CC508" s="12">
        <f t="shared" ca="1" si="49"/>
        <v>0.1</v>
      </c>
      <c r="CD508" s="12">
        <f t="shared" ca="1" si="50"/>
        <v>55.512826936026897</v>
      </c>
      <c r="CE508" s="12">
        <f t="shared" ca="1" si="51"/>
        <v>5.5512826936026904</v>
      </c>
      <c r="CS508" s="33"/>
      <c r="CT508" s="33"/>
      <c r="CU508" s="33"/>
      <c r="CV508" s="32"/>
      <c r="CW508" s="32"/>
      <c r="CX508" s="32"/>
      <c r="CY508" s="34"/>
      <c r="CZ508" s="34"/>
      <c r="DA508" s="34"/>
      <c r="DB508" s="33"/>
      <c r="DC508" s="33"/>
      <c r="DD508" s="33"/>
      <c r="DE508" s="33"/>
      <c r="DF508" s="33"/>
      <c r="DG508" s="33"/>
      <c r="DH508" s="34"/>
      <c r="DI508" s="34"/>
      <c r="DJ508" s="34"/>
      <c r="DK508" s="34"/>
      <c r="DL508" s="34"/>
      <c r="DM508" s="34"/>
      <c r="DN508" s="12">
        <v>3304031</v>
      </c>
      <c r="DS508" s="21"/>
      <c r="DT508" s="21"/>
      <c r="DU508" s="21"/>
    </row>
    <row r="509" spans="72:125" ht="13.5" customHeight="1">
      <c r="BT509" s="12">
        <v>3503031</v>
      </c>
      <c r="BU509" s="3">
        <f>[1]monsters!$N509</f>
        <v>122.88</v>
      </c>
      <c r="BV509" s="3">
        <f>[1]monsters!$O509</f>
        <v>12.29</v>
      </c>
      <c r="BW509" s="3">
        <f>[1]monsters!$P509</f>
        <v>960</v>
      </c>
      <c r="BX509" s="3">
        <f>[1]monsters!$Q509</f>
        <v>96</v>
      </c>
      <c r="BY509" s="3">
        <f>[1]monsters!$R509</f>
        <v>20.48</v>
      </c>
      <c r="BZ509" s="3">
        <f>[1]monsters!$S509</f>
        <v>2.0499999999999998</v>
      </c>
      <c r="CA509" s="3">
        <f>[1]monsters!$K509</f>
        <v>1.6</v>
      </c>
      <c r="CB509" s="12">
        <f>[1]monsters!$D509</f>
        <v>5</v>
      </c>
      <c r="CC509" s="12">
        <f t="shared" ca="1" si="49"/>
        <v>0.1</v>
      </c>
      <c r="CD509" s="12">
        <f t="shared" ca="1" si="50"/>
        <v>63.747620202020201</v>
      </c>
      <c r="CE509" s="12">
        <f t="shared" ca="1" si="51"/>
        <v>6.3747620202020201</v>
      </c>
      <c r="CS509" s="33"/>
      <c r="CT509" s="33"/>
      <c r="CU509" s="33"/>
      <c r="CV509" s="32"/>
      <c r="CW509" s="32"/>
      <c r="CX509" s="32"/>
      <c r="CY509" s="34"/>
      <c r="CZ509" s="34"/>
      <c r="DA509" s="34"/>
      <c r="DB509" s="33"/>
      <c r="DC509" s="33"/>
      <c r="DD509" s="33"/>
      <c r="DE509" s="33"/>
      <c r="DF509" s="33"/>
      <c r="DG509" s="33"/>
      <c r="DH509" s="34"/>
      <c r="DI509" s="34"/>
      <c r="DJ509" s="34"/>
      <c r="DK509" s="34"/>
      <c r="DL509" s="34"/>
      <c r="DM509" s="34"/>
      <c r="DN509" s="12">
        <v>3503031</v>
      </c>
      <c r="DS509" s="21"/>
      <c r="DT509" s="21"/>
      <c r="DU509" s="21"/>
    </row>
    <row r="510" spans="72:125" ht="13.5" customHeight="1">
      <c r="BT510" s="12">
        <v>3504031</v>
      </c>
      <c r="BU510" s="3">
        <f>[1]monsters!$N510</f>
        <v>103.04</v>
      </c>
      <c r="BV510" s="3">
        <f>[1]monsters!$O510</f>
        <v>10.3</v>
      </c>
      <c r="BW510" s="3">
        <f>[1]monsters!$P510</f>
        <v>1001.74</v>
      </c>
      <c r="BX510" s="3">
        <f>[1]monsters!$Q510</f>
        <v>100.17</v>
      </c>
      <c r="BY510" s="3">
        <f>[1]monsters!$R510</f>
        <v>12.88</v>
      </c>
      <c r="BZ510" s="3">
        <f>[1]monsters!$S510</f>
        <v>1.29</v>
      </c>
      <c r="CA510" s="3">
        <f>[1]monsters!$K510</f>
        <v>1.4000000000000001</v>
      </c>
      <c r="CB510" s="12">
        <f>[1]monsters!$D510</f>
        <v>3</v>
      </c>
      <c r="CC510" s="12">
        <f t="shared" ca="1" si="49"/>
        <v>0.1</v>
      </c>
      <c r="CD510" s="12">
        <f t="shared" ca="1" si="50"/>
        <v>69.190820202020205</v>
      </c>
      <c r="CE510" s="12">
        <f t="shared" ca="1" si="51"/>
        <v>6.91908202020202</v>
      </c>
      <c r="CS510" s="33"/>
      <c r="CT510" s="33"/>
      <c r="CU510" s="33"/>
      <c r="CV510" s="32"/>
      <c r="CW510" s="32"/>
      <c r="CX510" s="32"/>
      <c r="CY510" s="34"/>
      <c r="CZ510" s="34"/>
      <c r="DA510" s="34"/>
      <c r="DB510" s="33"/>
      <c r="DC510" s="33"/>
      <c r="DD510" s="33"/>
      <c r="DE510" s="33"/>
      <c r="DF510" s="33"/>
      <c r="DG510" s="33"/>
      <c r="DH510" s="34"/>
      <c r="DI510" s="34"/>
      <c r="DJ510" s="34"/>
      <c r="DK510" s="34"/>
      <c r="DL510" s="34"/>
      <c r="DM510" s="34"/>
      <c r="DN510" s="12">
        <v>3504031</v>
      </c>
      <c r="DS510" s="21"/>
      <c r="DT510" s="21"/>
      <c r="DU510" s="21"/>
    </row>
    <row r="511" spans="72:125" ht="13.5" customHeight="1">
      <c r="BT511" s="12">
        <v>3101031</v>
      </c>
      <c r="BU511" s="3">
        <f>[1]monsters!$N511</f>
        <v>74.88</v>
      </c>
      <c r="BV511" s="3">
        <f>[1]monsters!$O511</f>
        <v>7.49</v>
      </c>
      <c r="BW511" s="3">
        <f>[1]monsters!$P511</f>
        <v>1280</v>
      </c>
      <c r="BX511" s="3">
        <f>[1]monsters!$Q511</f>
        <v>128</v>
      </c>
      <c r="BY511" s="3">
        <f>[1]monsters!$R511</f>
        <v>14.98</v>
      </c>
      <c r="BZ511" s="3">
        <f>[1]monsters!$S511</f>
        <v>1.5</v>
      </c>
      <c r="CA511" s="3">
        <f>[1]monsters!$K511</f>
        <v>1.3</v>
      </c>
      <c r="CB511" s="12">
        <f>[1]monsters!$D511</f>
        <v>2</v>
      </c>
      <c r="CC511" s="12">
        <f t="shared" ca="1" si="49"/>
        <v>0.1</v>
      </c>
      <c r="CD511" s="12">
        <f t="shared" ca="1" si="50"/>
        <v>60.530424242424203</v>
      </c>
      <c r="CE511" s="12">
        <f t="shared" ca="1" si="51"/>
        <v>6.0530424242424203</v>
      </c>
      <c r="CS511" s="33"/>
      <c r="CT511" s="33"/>
      <c r="CU511" s="33"/>
      <c r="CV511" s="32"/>
      <c r="CW511" s="32"/>
      <c r="CX511" s="32"/>
      <c r="CY511" s="34"/>
      <c r="CZ511" s="34"/>
      <c r="DA511" s="34"/>
      <c r="DB511" s="33"/>
      <c r="DC511" s="33"/>
      <c r="DD511" s="33"/>
      <c r="DE511" s="33"/>
      <c r="DF511" s="33"/>
      <c r="DG511" s="33"/>
      <c r="DH511" s="34"/>
      <c r="DI511" s="34"/>
      <c r="DJ511" s="34"/>
      <c r="DK511" s="34"/>
      <c r="DL511" s="34"/>
      <c r="DM511" s="34"/>
      <c r="DN511" s="12">
        <v>3101031</v>
      </c>
      <c r="DS511" s="21"/>
      <c r="DT511" s="21"/>
      <c r="DU511" s="21"/>
    </row>
    <row r="512" spans="72:125" ht="13.5" customHeight="1">
      <c r="BT512" s="12">
        <v>3102031</v>
      </c>
      <c r="BU512" s="3">
        <f>[1]monsters!$N512</f>
        <v>99.84</v>
      </c>
      <c r="BV512" s="3">
        <f>[1]monsters!$O512</f>
        <v>9.98</v>
      </c>
      <c r="BW512" s="3">
        <f>[1]monsters!$P512</f>
        <v>960</v>
      </c>
      <c r="BX512" s="3">
        <f>[1]monsters!$Q512</f>
        <v>96</v>
      </c>
      <c r="BY512" s="3">
        <f>[1]monsters!$R512</f>
        <v>9.98</v>
      </c>
      <c r="BZ512" s="3">
        <f>[1]monsters!$S512</f>
        <v>1</v>
      </c>
      <c r="CA512" s="3">
        <f>[1]monsters!$K512</f>
        <v>1.3</v>
      </c>
      <c r="CB512" s="12">
        <f>[1]monsters!$D512</f>
        <v>4</v>
      </c>
      <c r="CC512" s="12">
        <f t="shared" ca="1" si="49"/>
        <v>0.1</v>
      </c>
      <c r="CD512" s="12">
        <f t="shared" ca="1" si="50"/>
        <v>55.994424242424202</v>
      </c>
      <c r="CE512" s="12">
        <f t="shared" ca="1" si="51"/>
        <v>5.5994424242424197</v>
      </c>
      <c r="CS512" s="33"/>
      <c r="CT512" s="33"/>
      <c r="CU512" s="33"/>
      <c r="CV512" s="32"/>
      <c r="CW512" s="32"/>
      <c r="CX512" s="32"/>
      <c r="CY512" s="34"/>
      <c r="CZ512" s="34"/>
      <c r="DA512" s="34"/>
      <c r="DB512" s="33"/>
      <c r="DC512" s="33"/>
      <c r="DD512" s="33"/>
      <c r="DE512" s="33"/>
      <c r="DF512" s="33"/>
      <c r="DG512" s="33"/>
      <c r="DH512" s="34"/>
      <c r="DI512" s="34"/>
      <c r="DJ512" s="34"/>
      <c r="DK512" s="34"/>
      <c r="DL512" s="34"/>
      <c r="DM512" s="34"/>
      <c r="DN512" s="12">
        <v>3102031</v>
      </c>
      <c r="DS512" s="21"/>
      <c r="DT512" s="21"/>
      <c r="DU512" s="21"/>
    </row>
    <row r="513" spans="72:125" ht="13.5" customHeight="1">
      <c r="BT513" s="12">
        <v>3206032</v>
      </c>
      <c r="BU513" s="3">
        <f>[1]monsters!$N513</f>
        <v>103.68</v>
      </c>
      <c r="BV513" s="3">
        <f>[1]monsters!$O513</f>
        <v>10.37</v>
      </c>
      <c r="BW513" s="3">
        <f>[1]monsters!$P513</f>
        <v>1280</v>
      </c>
      <c r="BX513" s="3">
        <f>[1]monsters!$Q513</f>
        <v>128</v>
      </c>
      <c r="BY513" s="3">
        <f>[1]monsters!$R513</f>
        <v>20.74</v>
      </c>
      <c r="BZ513" s="3">
        <f>[1]monsters!$S513</f>
        <v>2.0699999999999998</v>
      </c>
      <c r="CA513" s="3">
        <f>[1]monsters!$K513</f>
        <v>1.8</v>
      </c>
      <c r="CB513" s="12">
        <f>[1]monsters!$D513</f>
        <v>2</v>
      </c>
      <c r="CC513" s="12">
        <f t="shared" ca="1" si="49"/>
        <v>0.1</v>
      </c>
      <c r="CD513" s="12">
        <f t="shared" ca="1" si="50"/>
        <v>61.147830303030297</v>
      </c>
      <c r="CE513" s="12">
        <f t="shared" ca="1" si="51"/>
        <v>6.1147830303030304</v>
      </c>
      <c r="CS513" s="33"/>
      <c r="CT513" s="33"/>
      <c r="CU513" s="33"/>
      <c r="CV513" s="32"/>
      <c r="CW513" s="32"/>
      <c r="CX513" s="32"/>
      <c r="CY513" s="34"/>
      <c r="CZ513" s="34"/>
      <c r="DA513" s="34"/>
      <c r="DB513" s="33"/>
      <c r="DC513" s="33"/>
      <c r="DD513" s="33"/>
      <c r="DE513" s="33"/>
      <c r="DF513" s="33"/>
      <c r="DG513" s="33"/>
      <c r="DH513" s="34"/>
      <c r="DI513" s="34"/>
      <c r="DJ513" s="34"/>
      <c r="DK513" s="34"/>
      <c r="DL513" s="34"/>
      <c r="DM513" s="34"/>
      <c r="DN513" s="12">
        <v>3206032</v>
      </c>
      <c r="DS513" s="21"/>
      <c r="DT513" s="21"/>
      <c r="DU513" s="21"/>
    </row>
    <row r="514" spans="72:125" ht="13.5" customHeight="1">
      <c r="BT514" s="12">
        <v>3406032</v>
      </c>
      <c r="BU514" s="3">
        <f>[1]monsters!$N514</f>
        <v>120</v>
      </c>
      <c r="BV514" s="3">
        <f>[1]monsters!$O514</f>
        <v>12</v>
      </c>
      <c r="BW514" s="3">
        <f>[1]monsters!$P514</f>
        <v>921.6</v>
      </c>
      <c r="BX514" s="3">
        <f>[1]monsters!$Q514</f>
        <v>92.16</v>
      </c>
      <c r="BY514" s="3">
        <f>[1]monsters!$R514</f>
        <v>12</v>
      </c>
      <c r="BZ514" s="3">
        <f>[1]monsters!$S514</f>
        <v>1.2</v>
      </c>
      <c r="CA514" s="3">
        <f>[1]monsters!$K514</f>
        <v>1.5</v>
      </c>
      <c r="CB514" s="12">
        <f>[1]monsters!$D514</f>
        <v>4</v>
      </c>
      <c r="CC514" s="12">
        <f t="shared" ca="1" si="49"/>
        <v>0.1</v>
      </c>
      <c r="CD514" s="12">
        <f t="shared" ca="1" si="50"/>
        <v>56.965767493112899</v>
      </c>
      <c r="CE514" s="12">
        <f t="shared" ca="1" si="51"/>
        <v>5.6965767493112898</v>
      </c>
      <c r="CS514" s="33"/>
      <c r="CT514" s="33"/>
      <c r="CU514" s="33"/>
      <c r="CV514" s="32"/>
      <c r="CW514" s="32"/>
      <c r="CX514" s="32"/>
      <c r="CY514" s="34"/>
      <c r="CZ514" s="34"/>
      <c r="DA514" s="34"/>
      <c r="DB514" s="33"/>
      <c r="DC514" s="33"/>
      <c r="DD514" s="33"/>
      <c r="DE514" s="33"/>
      <c r="DF514" s="33"/>
      <c r="DG514" s="33"/>
      <c r="DH514" s="34"/>
      <c r="DI514" s="34"/>
      <c r="DJ514" s="34"/>
      <c r="DK514" s="34"/>
      <c r="DL514" s="34"/>
      <c r="DM514" s="34"/>
      <c r="DN514" s="12">
        <v>3406032</v>
      </c>
      <c r="DS514" s="21"/>
      <c r="DT514" s="21"/>
      <c r="DU514" s="21"/>
    </row>
    <row r="515" spans="72:125" ht="13.5" customHeight="1">
      <c r="BT515" s="12">
        <v>3205032</v>
      </c>
      <c r="BU515" s="3">
        <f>[1]monsters!$N515</f>
        <v>91.52</v>
      </c>
      <c r="BV515" s="3">
        <f>[1]monsters!$O515</f>
        <v>9.15</v>
      </c>
      <c r="BW515" s="3">
        <f>[1]monsters!$P515</f>
        <v>1047.27</v>
      </c>
      <c r="BX515" s="3">
        <f>[1]monsters!$Q515</f>
        <v>104.73</v>
      </c>
      <c r="BY515" s="3">
        <f>[1]monsters!$R515</f>
        <v>11.44</v>
      </c>
      <c r="BZ515" s="3">
        <f>[1]monsters!$S515</f>
        <v>1.1399999999999999</v>
      </c>
      <c r="CA515" s="3">
        <f>[1]monsters!$K515</f>
        <v>1.3</v>
      </c>
      <c r="CB515" s="12">
        <f>[1]monsters!$D515</f>
        <v>3</v>
      </c>
      <c r="CC515" s="12">
        <f t="shared" ca="1" si="49"/>
        <v>0.1</v>
      </c>
      <c r="CD515" s="12">
        <f t="shared" ca="1" si="50"/>
        <v>66.591030303030294</v>
      </c>
      <c r="CE515" s="12">
        <f t="shared" ca="1" si="51"/>
        <v>6.6591030303030303</v>
      </c>
      <c r="CS515" s="33"/>
      <c r="CT515" s="33"/>
      <c r="CU515" s="33"/>
      <c r="CV515" s="32"/>
      <c r="CW515" s="32"/>
      <c r="CX515" s="32"/>
      <c r="CY515" s="34"/>
      <c r="CZ515" s="34"/>
      <c r="DA515" s="34"/>
      <c r="DB515" s="33"/>
      <c r="DC515" s="33"/>
      <c r="DD515" s="33"/>
      <c r="DE515" s="33"/>
      <c r="DF515" s="33"/>
      <c r="DG515" s="33"/>
      <c r="DH515" s="34"/>
      <c r="DI515" s="34"/>
      <c r="DJ515" s="34"/>
      <c r="DK515" s="34"/>
      <c r="DL515" s="34"/>
      <c r="DM515" s="34"/>
      <c r="DN515" s="12">
        <v>3205032</v>
      </c>
      <c r="DS515" s="21"/>
      <c r="DT515" s="21"/>
      <c r="DU515" s="21"/>
    </row>
    <row r="516" spans="72:125" ht="13.5" customHeight="1">
      <c r="BT516" s="12">
        <v>3405032</v>
      </c>
      <c r="BU516" s="3">
        <f>[1]monsters!$N516</f>
        <v>126.72</v>
      </c>
      <c r="BV516" s="3">
        <f>[1]monsters!$O516</f>
        <v>12.67</v>
      </c>
      <c r="BW516" s="3">
        <f>[1]monsters!$P516</f>
        <v>1047.27</v>
      </c>
      <c r="BX516" s="3">
        <f>[1]monsters!$Q516</f>
        <v>104.73</v>
      </c>
      <c r="BY516" s="3">
        <f>[1]monsters!$R516</f>
        <v>21.12</v>
      </c>
      <c r="BZ516" s="3">
        <f>[1]monsters!$S516</f>
        <v>2.11</v>
      </c>
      <c r="CA516" s="3">
        <f>[1]monsters!$K516</f>
        <v>1.8</v>
      </c>
      <c r="CB516" s="12">
        <f>[1]monsters!$D516</f>
        <v>5</v>
      </c>
      <c r="CC516" s="12">
        <f t="shared" ref="CC516:CC579" ca="1" si="52">INDEX($CK$5:$CK$10,MATCH($CC516,$CJ$5:$CJ$10))</f>
        <v>0.1</v>
      </c>
      <c r="CD516" s="12">
        <f t="shared" ca="1" si="50"/>
        <v>59.460567493112897</v>
      </c>
      <c r="CE516" s="12">
        <f t="shared" ca="1" si="51"/>
        <v>5.9460567493112899</v>
      </c>
      <c r="CS516" s="33"/>
      <c r="CT516" s="33"/>
      <c r="CU516" s="33"/>
      <c r="CV516" s="32"/>
      <c r="CW516" s="32"/>
      <c r="CX516" s="32"/>
      <c r="CY516" s="34"/>
      <c r="CZ516" s="34"/>
      <c r="DA516" s="34"/>
      <c r="DB516" s="33"/>
      <c r="DC516" s="33"/>
      <c r="DD516" s="33"/>
      <c r="DE516" s="33"/>
      <c r="DF516" s="33"/>
      <c r="DG516" s="33"/>
      <c r="DH516" s="34"/>
      <c r="DI516" s="34"/>
      <c r="DJ516" s="34"/>
      <c r="DK516" s="34"/>
      <c r="DL516" s="34"/>
      <c r="DM516" s="34"/>
      <c r="DN516" s="12">
        <v>3405032</v>
      </c>
      <c r="DS516" s="21"/>
      <c r="DT516" s="21"/>
      <c r="DU516" s="21"/>
    </row>
    <row r="517" spans="72:125" ht="13.5" customHeight="1">
      <c r="BT517" s="12">
        <v>3203032</v>
      </c>
      <c r="BU517" s="3">
        <f>[1]monsters!$N517</f>
        <v>92.16</v>
      </c>
      <c r="BV517" s="3">
        <f>[1]monsters!$O517</f>
        <v>9.2200000000000006</v>
      </c>
      <c r="BW517" s="3">
        <f>[1]monsters!$P517</f>
        <v>1280</v>
      </c>
      <c r="BX517" s="3">
        <f>[1]monsters!$Q517</f>
        <v>128</v>
      </c>
      <c r="BY517" s="3">
        <f>[1]monsters!$R517</f>
        <v>18.43</v>
      </c>
      <c r="BZ517" s="3">
        <f>[1]monsters!$S517</f>
        <v>1.84</v>
      </c>
      <c r="CA517" s="3">
        <f>[1]monsters!$K517</f>
        <v>1.6</v>
      </c>
      <c r="CB517" s="12">
        <f>[1]monsters!$D517</f>
        <v>2</v>
      </c>
      <c r="CC517" s="12">
        <f t="shared" ca="1" si="52"/>
        <v>0.1</v>
      </c>
      <c r="CD517" s="12">
        <f t="shared" ref="CD517:CD580" ca="1" si="53">(BW517/33/(1-CC517)/(1-0)+BU517*(1+0.5*0.1)*0.9)</f>
        <v>53.8902303030303</v>
      </c>
      <c r="CE517" s="12">
        <f t="shared" ref="CE517:CE580" ca="1" si="54">(BW517/33/(1-CC517)/(1-0)+BU517*(1+0.5*0.1)*0.9)*0.1</f>
        <v>5.3890230303030302</v>
      </c>
      <c r="CS517" s="33"/>
      <c r="CT517" s="33"/>
      <c r="CU517" s="33"/>
      <c r="CV517" s="32"/>
      <c r="CW517" s="32"/>
      <c r="CX517" s="32"/>
      <c r="CY517" s="34"/>
      <c r="CZ517" s="34"/>
      <c r="DA517" s="34"/>
      <c r="DB517" s="33"/>
      <c r="DC517" s="33"/>
      <c r="DD517" s="33"/>
      <c r="DE517" s="33"/>
      <c r="DF517" s="33"/>
      <c r="DG517" s="33"/>
      <c r="DH517" s="34"/>
      <c r="DI517" s="34"/>
      <c r="DJ517" s="34"/>
      <c r="DK517" s="34"/>
      <c r="DL517" s="34"/>
      <c r="DM517" s="34"/>
      <c r="DN517" s="12">
        <v>3203032</v>
      </c>
      <c r="DS517" s="21"/>
      <c r="DT517" s="21"/>
      <c r="DU517" s="21"/>
    </row>
    <row r="518" spans="72:125" ht="13.5" customHeight="1">
      <c r="BT518" s="12">
        <v>3403032</v>
      </c>
      <c r="BU518" s="3">
        <f>[1]monsters!$N518</f>
        <v>116.48</v>
      </c>
      <c r="BV518" s="3">
        <f>[1]monsters!$O518</f>
        <v>11.65</v>
      </c>
      <c r="BW518" s="3">
        <f>[1]monsters!$P518</f>
        <v>886.15</v>
      </c>
      <c r="BX518" s="3">
        <f>[1]monsters!$Q518</f>
        <v>88.62</v>
      </c>
      <c r="BY518" s="3">
        <f>[1]monsters!$R518</f>
        <v>11.65</v>
      </c>
      <c r="BZ518" s="3">
        <f>[1]monsters!$S518</f>
        <v>1.1599999999999999</v>
      </c>
      <c r="CA518" s="3">
        <f>[1]monsters!$K518</f>
        <v>1.4000000000000001</v>
      </c>
      <c r="CB518" s="12">
        <f>[1]monsters!$D518</f>
        <v>4</v>
      </c>
      <c r="CC518" s="12">
        <f t="shared" ca="1" si="52"/>
        <v>0.1</v>
      </c>
      <c r="CD518" s="12">
        <f t="shared" ca="1" si="53"/>
        <v>49.481367493112899</v>
      </c>
      <c r="CE518" s="12">
        <f t="shared" ca="1" si="54"/>
        <v>4.9481367493112902</v>
      </c>
      <c r="CS518" s="33"/>
      <c r="CT518" s="33"/>
      <c r="CU518" s="33"/>
      <c r="CV518" s="32"/>
      <c r="CW518" s="32"/>
      <c r="CX518" s="32"/>
      <c r="CY518" s="34"/>
      <c r="CZ518" s="34"/>
      <c r="DA518" s="34"/>
      <c r="DB518" s="33"/>
      <c r="DC518" s="33"/>
      <c r="DD518" s="33"/>
      <c r="DE518" s="33"/>
      <c r="DF518" s="33"/>
      <c r="DG518" s="33"/>
      <c r="DH518" s="34"/>
      <c r="DI518" s="34"/>
      <c r="DJ518" s="34"/>
      <c r="DK518" s="34"/>
      <c r="DL518" s="34"/>
      <c r="DM518" s="34"/>
      <c r="DN518" s="12">
        <v>3403032</v>
      </c>
      <c r="DS518" s="21"/>
      <c r="DT518" s="21"/>
      <c r="DU518" s="21"/>
    </row>
    <row r="519" spans="72:125" ht="13.5" customHeight="1">
      <c r="BT519" s="12">
        <v>3204032</v>
      </c>
      <c r="BU519" s="3">
        <f>[1]monsters!$N519</f>
        <v>80.64</v>
      </c>
      <c r="BV519" s="3">
        <f>[1]monsters!$O519</f>
        <v>8.06</v>
      </c>
      <c r="BW519" s="3">
        <f>[1]monsters!$P519</f>
        <v>1280</v>
      </c>
      <c r="BX519" s="3">
        <f>[1]monsters!$Q519</f>
        <v>128</v>
      </c>
      <c r="BY519" s="3">
        <f>[1]monsters!$R519</f>
        <v>16.13</v>
      </c>
      <c r="BZ519" s="3">
        <f>[1]monsters!$S519</f>
        <v>1.61</v>
      </c>
      <c r="CA519" s="3">
        <f>[1]monsters!$K519</f>
        <v>1.4000000000000001</v>
      </c>
      <c r="CB519" s="12">
        <f>[1]monsters!$D519</f>
        <v>2</v>
      </c>
      <c r="CC519" s="12">
        <f t="shared" ca="1" si="52"/>
        <v>0.1</v>
      </c>
      <c r="CD519" s="12">
        <f t="shared" ca="1" si="53"/>
        <v>55.704630303030299</v>
      </c>
      <c r="CE519" s="12">
        <f t="shared" ca="1" si="54"/>
        <v>5.5704630303030296</v>
      </c>
      <c r="CS519" s="33"/>
      <c r="CT519" s="33"/>
      <c r="CU519" s="33"/>
      <c r="CV519" s="32"/>
      <c r="CW519" s="32"/>
      <c r="CX519" s="32"/>
      <c r="CY519" s="34"/>
      <c r="CZ519" s="34"/>
      <c r="DA519" s="34"/>
      <c r="DB519" s="33"/>
      <c r="DC519" s="33"/>
      <c r="DD519" s="33"/>
      <c r="DE519" s="33"/>
      <c r="DF519" s="33"/>
      <c r="DG519" s="33"/>
      <c r="DH519" s="34"/>
      <c r="DI519" s="34"/>
      <c r="DJ519" s="34"/>
      <c r="DK519" s="34"/>
      <c r="DL519" s="34"/>
      <c r="DM519" s="34"/>
      <c r="DN519" s="12">
        <v>3204032</v>
      </c>
      <c r="DS519" s="21"/>
      <c r="DT519" s="21"/>
      <c r="DU519" s="21"/>
    </row>
    <row r="520" spans="72:125" ht="13.5" customHeight="1">
      <c r="BT520" s="12">
        <v>3404032</v>
      </c>
      <c r="BU520" s="3">
        <f>[1]monsters!$N520</f>
        <v>133.12</v>
      </c>
      <c r="BV520" s="3">
        <f>[1]monsters!$O520</f>
        <v>13.31</v>
      </c>
      <c r="BW520" s="3">
        <f>[1]monsters!$P520</f>
        <v>886.15</v>
      </c>
      <c r="BX520" s="3">
        <f>[1]monsters!$Q520</f>
        <v>88.62</v>
      </c>
      <c r="BY520" s="3">
        <f>[1]monsters!$R520</f>
        <v>13.31</v>
      </c>
      <c r="BZ520" s="3">
        <f>[1]monsters!$S520</f>
        <v>1.33</v>
      </c>
      <c r="CA520" s="3">
        <f>[1]monsters!$K520</f>
        <v>1.6</v>
      </c>
      <c r="CB520" s="12">
        <f>[1]monsters!$D520</f>
        <v>4</v>
      </c>
      <c r="CC520" s="12">
        <f t="shared" ca="1" si="52"/>
        <v>0.1</v>
      </c>
      <c r="CD520" s="12">
        <f t="shared" ca="1" si="53"/>
        <v>59.460567493112897</v>
      </c>
      <c r="CE520" s="12">
        <f t="shared" ca="1" si="54"/>
        <v>5.9460567493112899</v>
      </c>
      <c r="CS520" s="33"/>
      <c r="CT520" s="33"/>
      <c r="CU520" s="33"/>
      <c r="CV520" s="32"/>
      <c r="CW520" s="32"/>
      <c r="CX520" s="32"/>
      <c r="CY520" s="34"/>
      <c r="CZ520" s="34"/>
      <c r="DA520" s="34"/>
      <c r="DB520" s="33"/>
      <c r="DC520" s="33"/>
      <c r="DD520" s="33"/>
      <c r="DE520" s="33"/>
      <c r="DF520" s="33"/>
      <c r="DG520" s="33"/>
      <c r="DH520" s="34"/>
      <c r="DI520" s="34"/>
      <c r="DJ520" s="34"/>
      <c r="DK520" s="34"/>
      <c r="DL520" s="34"/>
      <c r="DM520" s="34"/>
      <c r="DN520" s="12">
        <v>3404032</v>
      </c>
      <c r="DS520" s="21"/>
      <c r="DT520" s="21"/>
      <c r="DU520" s="21"/>
    </row>
    <row r="521" spans="72:125" ht="13.5" customHeight="1">
      <c r="BT521" s="12">
        <v>3303032</v>
      </c>
      <c r="BU521" s="3">
        <f>[1]monsters!$N521</f>
        <v>122.88</v>
      </c>
      <c r="BV521" s="3">
        <f>[1]monsters!$O521</f>
        <v>12.29</v>
      </c>
      <c r="BW521" s="3">
        <f>[1]monsters!$P521</f>
        <v>960</v>
      </c>
      <c r="BX521" s="3">
        <f>[1]monsters!$Q521</f>
        <v>96</v>
      </c>
      <c r="BY521" s="3">
        <f>[1]monsters!$R521</f>
        <v>20.48</v>
      </c>
      <c r="BZ521" s="3">
        <f>[1]monsters!$S521</f>
        <v>2.0499999999999998</v>
      </c>
      <c r="CA521" s="3">
        <f>[1]monsters!$K521</f>
        <v>1.6</v>
      </c>
      <c r="CB521" s="12">
        <f>[1]monsters!$D521</f>
        <v>5</v>
      </c>
      <c r="CC521" s="12">
        <f t="shared" ca="1" si="52"/>
        <v>0.1</v>
      </c>
      <c r="CD521" s="12">
        <f t="shared" ca="1" si="53"/>
        <v>53.471626936026901</v>
      </c>
      <c r="CE521" s="12">
        <f t="shared" ca="1" si="54"/>
        <v>5.3471626936026899</v>
      </c>
      <c r="CS521" s="33"/>
      <c r="CT521" s="33"/>
      <c r="CU521" s="33"/>
      <c r="CV521" s="32"/>
      <c r="CW521" s="32"/>
      <c r="CX521" s="32"/>
      <c r="CY521" s="34"/>
      <c r="CZ521" s="34"/>
      <c r="DA521" s="34"/>
      <c r="DB521" s="33"/>
      <c r="DC521" s="33"/>
      <c r="DD521" s="33"/>
      <c r="DE521" s="33"/>
      <c r="DF521" s="33"/>
      <c r="DG521" s="33"/>
      <c r="DH521" s="34"/>
      <c r="DI521" s="34"/>
      <c r="DJ521" s="34"/>
      <c r="DK521" s="34"/>
      <c r="DL521" s="34"/>
      <c r="DM521" s="34"/>
      <c r="DN521" s="12">
        <v>3303032</v>
      </c>
      <c r="DS521" s="21"/>
      <c r="DT521" s="21"/>
      <c r="DU521" s="21"/>
    </row>
    <row r="522" spans="72:125" ht="13.5" customHeight="1">
      <c r="BT522" s="12">
        <v>3304032</v>
      </c>
      <c r="BU522" s="3">
        <f>[1]monsters!$N522</f>
        <v>103.04</v>
      </c>
      <c r="BV522" s="3">
        <f>[1]monsters!$O522</f>
        <v>10.3</v>
      </c>
      <c r="BW522" s="3">
        <f>[1]monsters!$P522</f>
        <v>1001.74</v>
      </c>
      <c r="BX522" s="3">
        <f>[1]monsters!$Q522</f>
        <v>100.17</v>
      </c>
      <c r="BY522" s="3">
        <f>[1]monsters!$R522</f>
        <v>12.88</v>
      </c>
      <c r="BZ522" s="3">
        <f>[1]monsters!$S522</f>
        <v>1.29</v>
      </c>
      <c r="CA522" s="3">
        <f>[1]monsters!$K522</f>
        <v>1.4000000000000001</v>
      </c>
      <c r="CB522" s="12">
        <f>[1]monsters!$D522</f>
        <v>3</v>
      </c>
      <c r="CC522" s="12">
        <f t="shared" ca="1" si="52"/>
        <v>0.1</v>
      </c>
      <c r="CD522" s="12">
        <f t="shared" ca="1" si="53"/>
        <v>55.512826936026897</v>
      </c>
      <c r="CE522" s="12">
        <f t="shared" ca="1" si="54"/>
        <v>5.5512826936026904</v>
      </c>
      <c r="CS522" s="33"/>
      <c r="CT522" s="33"/>
      <c r="CU522" s="33"/>
      <c r="CV522" s="32"/>
      <c r="CW522" s="32"/>
      <c r="CX522" s="32"/>
      <c r="CY522" s="34"/>
      <c r="CZ522" s="34"/>
      <c r="DA522" s="34"/>
      <c r="DB522" s="33"/>
      <c r="DC522" s="33"/>
      <c r="DD522" s="33"/>
      <c r="DE522" s="33"/>
      <c r="DF522" s="33"/>
      <c r="DG522" s="33"/>
      <c r="DH522" s="34"/>
      <c r="DI522" s="34"/>
      <c r="DJ522" s="34"/>
      <c r="DK522" s="34"/>
      <c r="DL522" s="34"/>
      <c r="DM522" s="34"/>
      <c r="DN522" s="12">
        <v>3304032</v>
      </c>
      <c r="DS522" s="21"/>
      <c r="DT522" s="21"/>
      <c r="DU522" s="21"/>
    </row>
    <row r="523" spans="72:125" ht="13.5" customHeight="1">
      <c r="BT523" s="12">
        <v>3503032</v>
      </c>
      <c r="BU523" s="3">
        <f>[1]monsters!$N523</f>
        <v>74.88</v>
      </c>
      <c r="BV523" s="3">
        <f>[1]monsters!$O523</f>
        <v>7.49</v>
      </c>
      <c r="BW523" s="3">
        <f>[1]monsters!$P523</f>
        <v>1280</v>
      </c>
      <c r="BX523" s="3">
        <f>[1]monsters!$Q523</f>
        <v>128</v>
      </c>
      <c r="BY523" s="3">
        <f>[1]monsters!$R523</f>
        <v>14.98</v>
      </c>
      <c r="BZ523" s="3">
        <f>[1]monsters!$S523</f>
        <v>1.5</v>
      </c>
      <c r="CA523" s="3">
        <f>[1]monsters!$K523</f>
        <v>1.3</v>
      </c>
      <c r="CB523" s="12">
        <f>[1]monsters!$D523</f>
        <v>2</v>
      </c>
      <c r="CC523" s="12">
        <f t="shared" ca="1" si="52"/>
        <v>0.1</v>
      </c>
      <c r="CD523" s="12">
        <f t="shared" ca="1" si="53"/>
        <v>63.747620202020201</v>
      </c>
      <c r="CE523" s="12">
        <f t="shared" ca="1" si="54"/>
        <v>6.3747620202020201</v>
      </c>
      <c r="CS523" s="33"/>
      <c r="CT523" s="33"/>
      <c r="CU523" s="33"/>
      <c r="CV523" s="32"/>
      <c r="CW523" s="32"/>
      <c r="CX523" s="32"/>
      <c r="CY523" s="34"/>
      <c r="CZ523" s="34"/>
      <c r="DA523" s="34"/>
      <c r="DB523" s="33"/>
      <c r="DC523" s="33"/>
      <c r="DD523" s="33"/>
      <c r="DE523" s="33"/>
      <c r="DF523" s="33"/>
      <c r="DG523" s="33"/>
      <c r="DH523" s="34"/>
      <c r="DI523" s="34"/>
      <c r="DJ523" s="34"/>
      <c r="DK523" s="34"/>
      <c r="DL523" s="34"/>
      <c r="DM523" s="34"/>
      <c r="DN523" s="12">
        <v>3503032</v>
      </c>
      <c r="DS523" s="21"/>
      <c r="DT523" s="21"/>
      <c r="DU523" s="21"/>
    </row>
    <row r="524" spans="72:125" ht="13.5" customHeight="1">
      <c r="BT524" s="12">
        <v>3504032</v>
      </c>
      <c r="BU524" s="3">
        <f>[1]monsters!$N524</f>
        <v>99.84</v>
      </c>
      <c r="BV524" s="3">
        <f>[1]monsters!$O524</f>
        <v>9.98</v>
      </c>
      <c r="BW524" s="3">
        <f>[1]monsters!$P524</f>
        <v>960</v>
      </c>
      <c r="BX524" s="3">
        <f>[1]monsters!$Q524</f>
        <v>96</v>
      </c>
      <c r="BY524" s="3">
        <f>[1]monsters!$R524</f>
        <v>9.98</v>
      </c>
      <c r="BZ524" s="3">
        <f>[1]monsters!$S524</f>
        <v>1</v>
      </c>
      <c r="CA524" s="3">
        <f>[1]monsters!$K524</f>
        <v>1.3</v>
      </c>
      <c r="CB524" s="12">
        <f>[1]monsters!$D524</f>
        <v>4</v>
      </c>
      <c r="CC524" s="12">
        <f t="shared" ca="1" si="52"/>
        <v>0.1</v>
      </c>
      <c r="CD524" s="12">
        <f t="shared" ca="1" si="53"/>
        <v>69.190820202020205</v>
      </c>
      <c r="CE524" s="12">
        <f t="shared" ca="1" si="54"/>
        <v>6.91908202020202</v>
      </c>
      <c r="CS524" s="33"/>
      <c r="CT524" s="33"/>
      <c r="CU524" s="33"/>
      <c r="CV524" s="32"/>
      <c r="CW524" s="32"/>
      <c r="CX524" s="32"/>
      <c r="CY524" s="34"/>
      <c r="CZ524" s="34"/>
      <c r="DA524" s="34"/>
      <c r="DB524" s="33"/>
      <c r="DC524" s="33"/>
      <c r="DD524" s="33"/>
      <c r="DE524" s="33"/>
      <c r="DF524" s="33"/>
      <c r="DG524" s="33"/>
      <c r="DH524" s="34"/>
      <c r="DI524" s="34"/>
      <c r="DJ524" s="34"/>
      <c r="DK524" s="34"/>
      <c r="DL524" s="34"/>
      <c r="DM524" s="34"/>
      <c r="DN524" s="12">
        <v>3504032</v>
      </c>
      <c r="DS524" s="21"/>
      <c r="DT524" s="21"/>
      <c r="DU524" s="21"/>
    </row>
    <row r="525" spans="72:125" ht="13.5" customHeight="1">
      <c r="BT525" s="12">
        <v>3101032</v>
      </c>
      <c r="BU525" s="3">
        <f>[1]monsters!$N525</f>
        <v>103.68</v>
      </c>
      <c r="BV525" s="3">
        <f>[1]monsters!$O525</f>
        <v>10.37</v>
      </c>
      <c r="BW525" s="3">
        <f>[1]monsters!$P525</f>
        <v>1280</v>
      </c>
      <c r="BX525" s="3">
        <f>[1]monsters!$Q525</f>
        <v>128</v>
      </c>
      <c r="BY525" s="3">
        <f>[1]monsters!$R525</f>
        <v>20.74</v>
      </c>
      <c r="BZ525" s="3">
        <f>[1]monsters!$S525</f>
        <v>2.0699999999999998</v>
      </c>
      <c r="CA525" s="3">
        <f>[1]monsters!$K525</f>
        <v>1.8</v>
      </c>
      <c r="CB525" s="12">
        <f>[1]monsters!$D525</f>
        <v>2</v>
      </c>
      <c r="CC525" s="12">
        <f t="shared" ca="1" si="52"/>
        <v>0.1</v>
      </c>
      <c r="CD525" s="12">
        <f t="shared" ca="1" si="53"/>
        <v>60.530424242424203</v>
      </c>
      <c r="CE525" s="12">
        <f t="shared" ca="1" si="54"/>
        <v>6.0530424242424203</v>
      </c>
      <c r="CS525" s="33"/>
      <c r="CT525" s="33"/>
      <c r="CU525" s="33"/>
      <c r="CV525" s="32"/>
      <c r="CW525" s="32"/>
      <c r="CX525" s="32"/>
      <c r="CY525" s="34"/>
      <c r="CZ525" s="34"/>
      <c r="DA525" s="34"/>
      <c r="DB525" s="33"/>
      <c r="DC525" s="33"/>
      <c r="DD525" s="33"/>
      <c r="DE525" s="33"/>
      <c r="DF525" s="33"/>
      <c r="DG525" s="33"/>
      <c r="DH525" s="34"/>
      <c r="DI525" s="34"/>
      <c r="DJ525" s="34"/>
      <c r="DK525" s="34"/>
      <c r="DL525" s="34"/>
      <c r="DM525" s="34"/>
      <c r="DN525" s="12">
        <v>3101032</v>
      </c>
      <c r="DS525" s="21"/>
      <c r="DT525" s="21"/>
      <c r="DU525" s="21"/>
    </row>
    <row r="526" spans="72:125" ht="13.5" customHeight="1">
      <c r="BT526" s="12">
        <v>3102032</v>
      </c>
      <c r="BU526" s="3">
        <f>[1]monsters!$N526</f>
        <v>120</v>
      </c>
      <c r="BV526" s="3">
        <f>[1]monsters!$O526</f>
        <v>12</v>
      </c>
      <c r="BW526" s="3">
        <f>[1]monsters!$P526</f>
        <v>921.6</v>
      </c>
      <c r="BX526" s="3">
        <f>[1]monsters!$Q526</f>
        <v>92.16</v>
      </c>
      <c r="BY526" s="3">
        <f>[1]monsters!$R526</f>
        <v>12</v>
      </c>
      <c r="BZ526" s="3">
        <f>[1]monsters!$S526</f>
        <v>1.2</v>
      </c>
      <c r="CA526" s="3">
        <f>[1]monsters!$K526</f>
        <v>1.5</v>
      </c>
      <c r="CB526" s="12">
        <f>[1]monsters!$D526</f>
        <v>4</v>
      </c>
      <c r="CC526" s="12">
        <f t="shared" ca="1" si="52"/>
        <v>0.1</v>
      </c>
      <c r="CD526" s="12">
        <f t="shared" ca="1" si="53"/>
        <v>55.994424242424202</v>
      </c>
      <c r="CE526" s="12">
        <f t="shared" ca="1" si="54"/>
        <v>5.5994424242424197</v>
      </c>
      <c r="CS526" s="33"/>
      <c r="CT526" s="33"/>
      <c r="CU526" s="33"/>
      <c r="CV526" s="32"/>
      <c r="CW526" s="32"/>
      <c r="CX526" s="32"/>
      <c r="CY526" s="34"/>
      <c r="CZ526" s="34"/>
      <c r="DA526" s="34"/>
      <c r="DB526" s="33"/>
      <c r="DC526" s="33"/>
      <c r="DD526" s="33"/>
      <c r="DE526" s="33"/>
      <c r="DF526" s="33"/>
      <c r="DG526" s="33"/>
      <c r="DH526" s="34"/>
      <c r="DI526" s="34"/>
      <c r="DJ526" s="34"/>
      <c r="DK526" s="34"/>
      <c r="DL526" s="34"/>
      <c r="DM526" s="34"/>
      <c r="DN526" s="12">
        <v>3102032</v>
      </c>
      <c r="DS526" s="21"/>
      <c r="DT526" s="21"/>
      <c r="DU526" s="21"/>
    </row>
    <row r="527" spans="72:125" ht="13.5" customHeight="1">
      <c r="BT527" s="12">
        <v>3206033</v>
      </c>
      <c r="BU527" s="3">
        <f>[1]monsters!$N527</f>
        <v>91.52</v>
      </c>
      <c r="BV527" s="3">
        <f>[1]monsters!$O527</f>
        <v>9.15</v>
      </c>
      <c r="BW527" s="3">
        <f>[1]monsters!$P527</f>
        <v>1047.27</v>
      </c>
      <c r="BX527" s="3">
        <f>[1]monsters!$Q527</f>
        <v>104.73</v>
      </c>
      <c r="BY527" s="3">
        <f>[1]monsters!$R527</f>
        <v>11.44</v>
      </c>
      <c r="BZ527" s="3">
        <f>[1]monsters!$S527</f>
        <v>1.1399999999999999</v>
      </c>
      <c r="CA527" s="3">
        <f>[1]monsters!$K527</f>
        <v>1.3</v>
      </c>
      <c r="CB527" s="12">
        <f>[1]monsters!$D527</f>
        <v>3</v>
      </c>
      <c r="CC527" s="12">
        <f t="shared" ca="1" si="52"/>
        <v>0.1</v>
      </c>
      <c r="CD527" s="12">
        <f t="shared" ca="1" si="53"/>
        <v>61.147830303030297</v>
      </c>
      <c r="CE527" s="12">
        <f t="shared" ca="1" si="54"/>
        <v>6.1147830303030304</v>
      </c>
      <c r="CS527" s="33"/>
      <c r="CT527" s="33"/>
      <c r="CU527" s="33"/>
      <c r="CV527" s="32"/>
      <c r="CW527" s="32"/>
      <c r="CX527" s="32"/>
      <c r="CY527" s="34"/>
      <c r="CZ527" s="34"/>
      <c r="DA527" s="34"/>
      <c r="DB527" s="33"/>
      <c r="DC527" s="33"/>
      <c r="DD527" s="33"/>
      <c r="DE527" s="33"/>
      <c r="DF527" s="33"/>
      <c r="DG527" s="33"/>
      <c r="DH527" s="34"/>
      <c r="DI527" s="34"/>
      <c r="DJ527" s="34"/>
      <c r="DK527" s="34"/>
      <c r="DL527" s="34"/>
      <c r="DM527" s="34"/>
      <c r="DN527" s="12">
        <v>3206033</v>
      </c>
      <c r="DS527" s="21"/>
      <c r="DT527" s="21"/>
      <c r="DU527" s="21"/>
    </row>
    <row r="528" spans="72:125" ht="13.5" customHeight="1">
      <c r="BT528" s="12">
        <v>3406033</v>
      </c>
      <c r="BU528" s="3">
        <f>[1]monsters!$N528</f>
        <v>126.72</v>
      </c>
      <c r="BV528" s="3">
        <f>[1]monsters!$O528</f>
        <v>12.67</v>
      </c>
      <c r="BW528" s="3">
        <f>[1]monsters!$P528</f>
        <v>1047.27</v>
      </c>
      <c r="BX528" s="3">
        <f>[1]monsters!$Q528</f>
        <v>104.73</v>
      </c>
      <c r="BY528" s="3">
        <f>[1]monsters!$R528</f>
        <v>21.12</v>
      </c>
      <c r="BZ528" s="3">
        <f>[1]monsters!$S528</f>
        <v>2.11</v>
      </c>
      <c r="CA528" s="3">
        <f>[1]monsters!$K528</f>
        <v>1.8</v>
      </c>
      <c r="CB528" s="12">
        <f>[1]monsters!$D528</f>
        <v>5</v>
      </c>
      <c r="CC528" s="12">
        <f t="shared" ca="1" si="52"/>
        <v>0.1</v>
      </c>
      <c r="CD528" s="12">
        <f t="shared" ca="1" si="53"/>
        <v>56.965767493112899</v>
      </c>
      <c r="CE528" s="12">
        <f t="shared" ca="1" si="54"/>
        <v>5.6965767493112898</v>
      </c>
      <c r="CS528" s="33"/>
      <c r="CT528" s="33"/>
      <c r="CU528" s="33"/>
      <c r="CV528" s="32"/>
      <c r="CW528" s="32"/>
      <c r="CX528" s="32"/>
      <c r="CY528" s="34"/>
      <c r="CZ528" s="34"/>
      <c r="DA528" s="34"/>
      <c r="DB528" s="33"/>
      <c r="DC528" s="33"/>
      <c r="DD528" s="33"/>
      <c r="DE528" s="33"/>
      <c r="DF528" s="33"/>
      <c r="DG528" s="33"/>
      <c r="DH528" s="34"/>
      <c r="DI528" s="34"/>
      <c r="DJ528" s="34"/>
      <c r="DK528" s="34"/>
      <c r="DL528" s="34"/>
      <c r="DM528" s="34"/>
      <c r="DN528" s="12">
        <v>3406033</v>
      </c>
      <c r="DS528" s="21"/>
      <c r="DT528" s="21"/>
      <c r="DU528" s="21"/>
    </row>
    <row r="529" spans="72:125" ht="13.5" customHeight="1">
      <c r="BT529" s="12">
        <v>3205033</v>
      </c>
      <c r="BU529" s="3">
        <f>[1]monsters!$N529</f>
        <v>92.16</v>
      </c>
      <c r="BV529" s="3">
        <f>[1]monsters!$O529</f>
        <v>9.2200000000000006</v>
      </c>
      <c r="BW529" s="3">
        <f>[1]monsters!$P529</f>
        <v>1280</v>
      </c>
      <c r="BX529" s="3">
        <f>[1]monsters!$Q529</f>
        <v>128</v>
      </c>
      <c r="BY529" s="3">
        <f>[1]monsters!$R529</f>
        <v>18.43</v>
      </c>
      <c r="BZ529" s="3">
        <f>[1]monsters!$S529</f>
        <v>1.84</v>
      </c>
      <c r="CA529" s="3">
        <f>[1]monsters!$K529</f>
        <v>1.6</v>
      </c>
      <c r="CB529" s="12">
        <f>[1]monsters!$D529</f>
        <v>2</v>
      </c>
      <c r="CC529" s="12">
        <f t="shared" ca="1" si="52"/>
        <v>0.1</v>
      </c>
      <c r="CD529" s="12">
        <f t="shared" ca="1" si="53"/>
        <v>66.591030303030294</v>
      </c>
      <c r="CE529" s="12">
        <f t="shared" ca="1" si="54"/>
        <v>6.6591030303030303</v>
      </c>
      <c r="CS529" s="33"/>
      <c r="CT529" s="33"/>
      <c r="CU529" s="33"/>
      <c r="CV529" s="32"/>
      <c r="CW529" s="32"/>
      <c r="CX529" s="32"/>
      <c r="CY529" s="34"/>
      <c r="CZ529" s="34"/>
      <c r="DA529" s="34"/>
      <c r="DB529" s="33"/>
      <c r="DC529" s="33"/>
      <c r="DD529" s="33"/>
      <c r="DE529" s="33"/>
      <c r="DF529" s="33"/>
      <c r="DG529" s="33"/>
      <c r="DH529" s="34"/>
      <c r="DI529" s="34"/>
      <c r="DJ529" s="34"/>
      <c r="DK529" s="34"/>
      <c r="DL529" s="34"/>
      <c r="DM529" s="34"/>
      <c r="DN529" s="12">
        <v>3205033</v>
      </c>
      <c r="DS529" s="21"/>
      <c r="DT529" s="21"/>
      <c r="DU529" s="21"/>
    </row>
    <row r="530" spans="72:125" ht="13.5" customHeight="1">
      <c r="BT530" s="12">
        <v>3405033</v>
      </c>
      <c r="BU530" s="3">
        <f>[1]monsters!$N530</f>
        <v>116.48</v>
      </c>
      <c r="BV530" s="3">
        <f>[1]monsters!$O530</f>
        <v>11.65</v>
      </c>
      <c r="BW530" s="3">
        <f>[1]monsters!$P530</f>
        <v>886.15</v>
      </c>
      <c r="BX530" s="3">
        <f>[1]monsters!$Q530</f>
        <v>88.62</v>
      </c>
      <c r="BY530" s="3">
        <f>[1]monsters!$R530</f>
        <v>11.65</v>
      </c>
      <c r="BZ530" s="3">
        <f>[1]monsters!$S530</f>
        <v>1.1599999999999999</v>
      </c>
      <c r="CA530" s="3">
        <f>[1]monsters!$K530</f>
        <v>1.4000000000000001</v>
      </c>
      <c r="CB530" s="12">
        <f>[1]monsters!$D530</f>
        <v>4</v>
      </c>
      <c r="CC530" s="12">
        <f t="shared" ca="1" si="52"/>
        <v>0.1</v>
      </c>
      <c r="CD530" s="12">
        <f t="shared" ca="1" si="53"/>
        <v>59.460567493112897</v>
      </c>
      <c r="CE530" s="12">
        <f t="shared" ca="1" si="54"/>
        <v>5.9460567493112899</v>
      </c>
      <c r="CS530" s="33"/>
      <c r="CT530" s="33"/>
      <c r="CU530" s="33"/>
      <c r="CV530" s="32"/>
      <c r="CW530" s="32"/>
      <c r="CX530" s="32"/>
      <c r="CY530" s="34"/>
      <c r="CZ530" s="34"/>
      <c r="DA530" s="34"/>
      <c r="DB530" s="33"/>
      <c r="DC530" s="33"/>
      <c r="DD530" s="33"/>
      <c r="DE530" s="33"/>
      <c r="DF530" s="33"/>
      <c r="DG530" s="33"/>
      <c r="DH530" s="34"/>
      <c r="DI530" s="34"/>
      <c r="DJ530" s="34"/>
      <c r="DK530" s="34"/>
      <c r="DL530" s="34"/>
      <c r="DM530" s="34"/>
      <c r="DN530" s="12">
        <v>3405033</v>
      </c>
      <c r="DS530" s="21"/>
      <c r="DT530" s="21"/>
      <c r="DU530" s="21"/>
    </row>
    <row r="531" spans="72:125" ht="13.5" customHeight="1">
      <c r="BT531" s="12">
        <v>3203033</v>
      </c>
      <c r="BU531" s="3">
        <f>[1]monsters!$N531</f>
        <v>80.64</v>
      </c>
      <c r="BV531" s="3">
        <f>[1]monsters!$O531</f>
        <v>8.06</v>
      </c>
      <c r="BW531" s="3">
        <f>[1]monsters!$P531</f>
        <v>1280</v>
      </c>
      <c r="BX531" s="3">
        <f>[1]monsters!$Q531</f>
        <v>128</v>
      </c>
      <c r="BY531" s="3">
        <f>[1]monsters!$R531</f>
        <v>16.13</v>
      </c>
      <c r="BZ531" s="3">
        <f>[1]monsters!$S531</f>
        <v>1.61</v>
      </c>
      <c r="CA531" s="3">
        <f>[1]monsters!$K531</f>
        <v>1.4000000000000001</v>
      </c>
      <c r="CB531" s="12">
        <f>[1]monsters!$D531</f>
        <v>2</v>
      </c>
      <c r="CC531" s="12">
        <f t="shared" ca="1" si="52"/>
        <v>0.1</v>
      </c>
      <c r="CD531" s="12">
        <f t="shared" ca="1" si="53"/>
        <v>53.8902303030303</v>
      </c>
      <c r="CE531" s="12">
        <f t="shared" ca="1" si="54"/>
        <v>5.3890230303030302</v>
      </c>
      <c r="CS531" s="33"/>
      <c r="CT531" s="33"/>
      <c r="CU531" s="33"/>
      <c r="CV531" s="32"/>
      <c r="CW531" s="32"/>
      <c r="CX531" s="32"/>
      <c r="CY531" s="34"/>
      <c r="CZ531" s="34"/>
      <c r="DA531" s="34"/>
      <c r="DB531" s="33"/>
      <c r="DC531" s="33"/>
      <c r="DD531" s="33"/>
      <c r="DE531" s="33"/>
      <c r="DF531" s="33"/>
      <c r="DG531" s="33"/>
      <c r="DH531" s="34"/>
      <c r="DI531" s="34"/>
      <c r="DJ531" s="34"/>
      <c r="DK531" s="34"/>
      <c r="DL531" s="34"/>
      <c r="DM531" s="34"/>
      <c r="DN531" s="12">
        <v>3203033</v>
      </c>
      <c r="DS531" s="21"/>
      <c r="DT531" s="21"/>
      <c r="DU531" s="21"/>
    </row>
    <row r="532" spans="72:125" ht="13.5" customHeight="1">
      <c r="BT532" s="12">
        <v>3403033</v>
      </c>
      <c r="BU532" s="3">
        <f>[1]monsters!$N532</f>
        <v>133.12</v>
      </c>
      <c r="BV532" s="3">
        <f>[1]monsters!$O532</f>
        <v>13.31</v>
      </c>
      <c r="BW532" s="3">
        <f>[1]monsters!$P532</f>
        <v>886.15</v>
      </c>
      <c r="BX532" s="3">
        <f>[1]monsters!$Q532</f>
        <v>88.62</v>
      </c>
      <c r="BY532" s="3">
        <f>[1]monsters!$R532</f>
        <v>13.31</v>
      </c>
      <c r="BZ532" s="3">
        <f>[1]monsters!$S532</f>
        <v>1.33</v>
      </c>
      <c r="CA532" s="3">
        <f>[1]monsters!$K532</f>
        <v>1.6</v>
      </c>
      <c r="CB532" s="12">
        <f>[1]monsters!$D532</f>
        <v>4</v>
      </c>
      <c r="CC532" s="12">
        <f t="shared" ca="1" si="52"/>
        <v>0.1</v>
      </c>
      <c r="CD532" s="12">
        <f t="shared" ca="1" si="53"/>
        <v>49.481367493112899</v>
      </c>
      <c r="CE532" s="12">
        <f t="shared" ca="1" si="54"/>
        <v>4.9481367493112902</v>
      </c>
      <c r="CS532" s="33"/>
      <c r="CT532" s="33"/>
      <c r="CU532" s="33"/>
      <c r="CV532" s="32"/>
      <c r="CW532" s="32"/>
      <c r="CX532" s="32"/>
      <c r="CY532" s="34"/>
      <c r="CZ532" s="34"/>
      <c r="DA532" s="34"/>
      <c r="DB532" s="33"/>
      <c r="DC532" s="33"/>
      <c r="DD532" s="33"/>
      <c r="DE532" s="33"/>
      <c r="DF532" s="33"/>
      <c r="DG532" s="33"/>
      <c r="DH532" s="34"/>
      <c r="DI532" s="34"/>
      <c r="DJ532" s="34"/>
      <c r="DK532" s="34"/>
      <c r="DL532" s="34"/>
      <c r="DM532" s="34"/>
      <c r="DN532" s="12">
        <v>3403033</v>
      </c>
      <c r="DS532" s="21"/>
      <c r="DT532" s="21"/>
      <c r="DU532" s="21"/>
    </row>
    <row r="533" spans="72:125" ht="13.5" customHeight="1">
      <c r="BT533" s="12">
        <v>3204033</v>
      </c>
      <c r="BU533" s="3">
        <f>[1]monsters!$N533</f>
        <v>122.88</v>
      </c>
      <c r="BV533" s="3">
        <f>[1]monsters!$O533</f>
        <v>12.29</v>
      </c>
      <c r="BW533" s="3">
        <f>[1]monsters!$P533</f>
        <v>960</v>
      </c>
      <c r="BX533" s="3">
        <f>[1]monsters!$Q533</f>
        <v>96</v>
      </c>
      <c r="BY533" s="3">
        <f>[1]monsters!$R533</f>
        <v>20.48</v>
      </c>
      <c r="BZ533" s="3">
        <f>[1]monsters!$S533</f>
        <v>2.0499999999999998</v>
      </c>
      <c r="CA533" s="3">
        <f>[1]monsters!$K533</f>
        <v>1.6</v>
      </c>
      <c r="CB533" s="12">
        <f>[1]monsters!$D533</f>
        <v>5</v>
      </c>
      <c r="CC533" s="12">
        <f t="shared" ca="1" si="52"/>
        <v>0.1</v>
      </c>
      <c r="CD533" s="12">
        <f t="shared" ca="1" si="53"/>
        <v>55.704630303030299</v>
      </c>
      <c r="CE533" s="12">
        <f t="shared" ca="1" si="54"/>
        <v>5.5704630303030296</v>
      </c>
      <c r="CS533" s="33"/>
      <c r="CT533" s="33"/>
      <c r="CU533" s="33"/>
      <c r="CV533" s="32"/>
      <c r="CW533" s="32"/>
      <c r="CX533" s="32"/>
      <c r="CY533" s="34"/>
      <c r="CZ533" s="34"/>
      <c r="DA533" s="34"/>
      <c r="DB533" s="33"/>
      <c r="DC533" s="33"/>
      <c r="DD533" s="33"/>
      <c r="DE533" s="33"/>
      <c r="DF533" s="33"/>
      <c r="DG533" s="33"/>
      <c r="DH533" s="34"/>
      <c r="DI533" s="34"/>
      <c r="DJ533" s="34"/>
      <c r="DK533" s="34"/>
      <c r="DL533" s="34"/>
      <c r="DM533" s="34"/>
      <c r="DN533" s="12">
        <v>3204033</v>
      </c>
      <c r="DS533" s="21"/>
      <c r="DT533" s="21"/>
      <c r="DU533" s="21"/>
    </row>
    <row r="534" spans="72:125" ht="13.5" customHeight="1">
      <c r="BT534" s="12">
        <v>3404033</v>
      </c>
      <c r="BU534" s="3">
        <f>[1]monsters!$N534</f>
        <v>103.04</v>
      </c>
      <c r="BV534" s="3">
        <f>[1]monsters!$O534</f>
        <v>10.3</v>
      </c>
      <c r="BW534" s="3">
        <f>[1]monsters!$P534</f>
        <v>1001.74</v>
      </c>
      <c r="BX534" s="3">
        <f>[1]monsters!$Q534</f>
        <v>100.17</v>
      </c>
      <c r="BY534" s="3">
        <f>[1]monsters!$R534</f>
        <v>12.88</v>
      </c>
      <c r="BZ534" s="3">
        <f>[1]monsters!$S534</f>
        <v>1.29</v>
      </c>
      <c r="CA534" s="3">
        <f>[1]monsters!$K534</f>
        <v>1.4000000000000001</v>
      </c>
      <c r="CB534" s="12">
        <f>[1]monsters!$D534</f>
        <v>3</v>
      </c>
      <c r="CC534" s="12">
        <f t="shared" ca="1" si="52"/>
        <v>0.1</v>
      </c>
      <c r="CD534" s="12">
        <f t="shared" ca="1" si="53"/>
        <v>59.460567493112897</v>
      </c>
      <c r="CE534" s="12">
        <f t="shared" ca="1" si="54"/>
        <v>5.9460567493112899</v>
      </c>
      <c r="CS534" s="33"/>
      <c r="CT534" s="33"/>
      <c r="CU534" s="33"/>
      <c r="CV534" s="32"/>
      <c r="CW534" s="32"/>
      <c r="CX534" s="32"/>
      <c r="CY534" s="34"/>
      <c r="CZ534" s="34"/>
      <c r="DA534" s="34"/>
      <c r="DB534" s="33"/>
      <c r="DC534" s="33"/>
      <c r="DD534" s="33"/>
      <c r="DE534" s="33"/>
      <c r="DF534" s="33"/>
      <c r="DG534" s="33"/>
      <c r="DH534" s="34"/>
      <c r="DI534" s="34"/>
      <c r="DJ534" s="34"/>
      <c r="DK534" s="33"/>
      <c r="DL534" s="33"/>
      <c r="DM534" s="33"/>
      <c r="DN534" s="12">
        <v>3404033</v>
      </c>
      <c r="DS534" s="21"/>
      <c r="DT534" s="21"/>
      <c r="DU534" s="21"/>
    </row>
    <row r="535" spans="72:125" ht="13.5" customHeight="1">
      <c r="BT535" s="12">
        <v>3303033</v>
      </c>
      <c r="BU535" s="3">
        <f>[1]monsters!$N535</f>
        <v>74.88</v>
      </c>
      <c r="BV535" s="3">
        <f>[1]monsters!$O535</f>
        <v>7.49</v>
      </c>
      <c r="BW535" s="3">
        <f>[1]monsters!$P535</f>
        <v>1280</v>
      </c>
      <c r="BX535" s="3">
        <f>[1]monsters!$Q535</f>
        <v>128</v>
      </c>
      <c r="BY535" s="3">
        <f>[1]monsters!$R535</f>
        <v>14.98</v>
      </c>
      <c r="BZ535" s="3">
        <f>[1]monsters!$S535</f>
        <v>1.5</v>
      </c>
      <c r="CA535" s="3">
        <f>[1]monsters!$K535</f>
        <v>1.3</v>
      </c>
      <c r="CB535" s="12">
        <f>[1]monsters!$D535</f>
        <v>2</v>
      </c>
      <c r="CC535" s="12">
        <f t="shared" ca="1" si="52"/>
        <v>0.1</v>
      </c>
      <c r="CD535" s="12">
        <f t="shared" ca="1" si="53"/>
        <v>53.471626936026901</v>
      </c>
      <c r="CE535" s="12">
        <f t="shared" ca="1" si="54"/>
        <v>5.3471626936026899</v>
      </c>
      <c r="CS535" s="33"/>
      <c r="CT535" s="33"/>
      <c r="CU535" s="33"/>
      <c r="CV535" s="32"/>
      <c r="CW535" s="32"/>
      <c r="CX535" s="32"/>
      <c r="CY535" s="34"/>
      <c r="CZ535" s="34"/>
      <c r="DA535" s="34"/>
      <c r="DB535" s="33"/>
      <c r="DC535" s="33"/>
      <c r="DD535" s="33"/>
      <c r="DE535" s="33"/>
      <c r="DF535" s="33"/>
      <c r="DG535" s="33"/>
      <c r="DH535" s="34"/>
      <c r="DI535" s="34"/>
      <c r="DJ535" s="34"/>
      <c r="DK535" s="33"/>
      <c r="DL535" s="33"/>
      <c r="DM535" s="33"/>
      <c r="DN535" s="12">
        <v>3303033</v>
      </c>
      <c r="DS535" s="21"/>
      <c r="DT535" s="21"/>
      <c r="DU535" s="21"/>
    </row>
    <row r="536" spans="72:125" ht="13.5" customHeight="1">
      <c r="BT536" s="12">
        <v>3304033</v>
      </c>
      <c r="BU536" s="3">
        <f>[1]monsters!$N536</f>
        <v>99.84</v>
      </c>
      <c r="BV536" s="3">
        <f>[1]monsters!$O536</f>
        <v>9.98</v>
      </c>
      <c r="BW536" s="3">
        <f>[1]monsters!$P536</f>
        <v>960</v>
      </c>
      <c r="BX536" s="3">
        <f>[1]monsters!$Q536</f>
        <v>96</v>
      </c>
      <c r="BY536" s="3">
        <f>[1]monsters!$R536</f>
        <v>9.98</v>
      </c>
      <c r="BZ536" s="3">
        <f>[1]monsters!$S536</f>
        <v>1</v>
      </c>
      <c r="CA536" s="3">
        <f>[1]monsters!$K536</f>
        <v>1.3</v>
      </c>
      <c r="CB536" s="12">
        <f>[1]monsters!$D536</f>
        <v>4</v>
      </c>
      <c r="CC536" s="12">
        <f t="shared" ca="1" si="52"/>
        <v>0.1</v>
      </c>
      <c r="CD536" s="12">
        <f t="shared" ca="1" si="53"/>
        <v>55.512826936026897</v>
      </c>
      <c r="CE536" s="12">
        <f t="shared" ca="1" si="54"/>
        <v>5.5512826936026904</v>
      </c>
      <c r="CS536" s="33"/>
      <c r="CT536" s="33"/>
      <c r="CU536" s="33"/>
      <c r="CV536" s="32"/>
      <c r="CW536" s="32"/>
      <c r="CX536" s="32"/>
      <c r="CY536" s="34"/>
      <c r="CZ536" s="34"/>
      <c r="DA536" s="34"/>
      <c r="DB536" s="33"/>
      <c r="DC536" s="33"/>
      <c r="DD536" s="33"/>
      <c r="DE536" s="33"/>
      <c r="DF536" s="33"/>
      <c r="DG536" s="33"/>
      <c r="DH536" s="34"/>
      <c r="DI536" s="34"/>
      <c r="DJ536" s="34"/>
      <c r="DK536" s="33"/>
      <c r="DL536" s="33"/>
      <c r="DM536" s="33"/>
      <c r="DN536" s="12">
        <v>3304033</v>
      </c>
      <c r="DS536" s="21"/>
      <c r="DT536" s="21"/>
      <c r="DU536" s="21"/>
    </row>
    <row r="537" spans="72:125" ht="13.5" customHeight="1">
      <c r="BT537" s="12">
        <v>3503033</v>
      </c>
      <c r="BU537" s="3">
        <f>[1]monsters!$N537</f>
        <v>103.68</v>
      </c>
      <c r="BV537" s="3">
        <f>[1]monsters!$O537</f>
        <v>10.37</v>
      </c>
      <c r="BW537" s="3">
        <f>[1]monsters!$P537</f>
        <v>1280</v>
      </c>
      <c r="BX537" s="3">
        <f>[1]monsters!$Q537</f>
        <v>128</v>
      </c>
      <c r="BY537" s="3">
        <f>[1]monsters!$R537</f>
        <v>20.74</v>
      </c>
      <c r="BZ537" s="3">
        <f>[1]monsters!$S537</f>
        <v>2.0699999999999998</v>
      </c>
      <c r="CA537" s="3">
        <f>[1]monsters!$K537</f>
        <v>1.8</v>
      </c>
      <c r="CB537" s="12">
        <f>[1]monsters!$D537</f>
        <v>2</v>
      </c>
      <c r="CC537" s="12">
        <f t="shared" ca="1" si="52"/>
        <v>0.1</v>
      </c>
      <c r="CD537" s="12">
        <f t="shared" ca="1" si="53"/>
        <v>63.747620202020201</v>
      </c>
      <c r="CE537" s="12">
        <f t="shared" ca="1" si="54"/>
        <v>6.3747620202020201</v>
      </c>
      <c r="CS537" s="33"/>
      <c r="CT537" s="33"/>
      <c r="CU537" s="33"/>
      <c r="CV537" s="32"/>
      <c r="CW537" s="32"/>
      <c r="CX537" s="32"/>
      <c r="CY537" s="34"/>
      <c r="CZ537" s="34"/>
      <c r="DA537" s="34"/>
      <c r="DB537" s="33"/>
      <c r="DC537" s="33"/>
      <c r="DD537" s="33"/>
      <c r="DE537" s="33"/>
      <c r="DF537" s="33"/>
      <c r="DG537" s="33"/>
      <c r="DH537" s="34"/>
      <c r="DI537" s="34"/>
      <c r="DJ537" s="34"/>
      <c r="DK537" s="33"/>
      <c r="DL537" s="33"/>
      <c r="DM537" s="33"/>
      <c r="DN537" s="12">
        <v>3503033</v>
      </c>
      <c r="DS537" s="21"/>
      <c r="DT537" s="21"/>
      <c r="DU537" s="21"/>
    </row>
    <row r="538" spans="72:125" ht="13.5" customHeight="1">
      <c r="BT538" s="12">
        <v>3504033</v>
      </c>
      <c r="BU538" s="3">
        <f>[1]monsters!$N538</f>
        <v>120</v>
      </c>
      <c r="BV538" s="3">
        <f>[1]monsters!$O538</f>
        <v>12</v>
      </c>
      <c r="BW538" s="3">
        <f>[1]monsters!$P538</f>
        <v>921.6</v>
      </c>
      <c r="BX538" s="3">
        <f>[1]monsters!$Q538</f>
        <v>92.16</v>
      </c>
      <c r="BY538" s="3">
        <f>[1]monsters!$R538</f>
        <v>12</v>
      </c>
      <c r="BZ538" s="3">
        <f>[1]monsters!$S538</f>
        <v>1.2</v>
      </c>
      <c r="CA538" s="3">
        <f>[1]monsters!$K538</f>
        <v>1.5</v>
      </c>
      <c r="CB538" s="12">
        <f>[1]monsters!$D538</f>
        <v>4</v>
      </c>
      <c r="CC538" s="12">
        <f t="shared" ca="1" si="52"/>
        <v>0.1</v>
      </c>
      <c r="CD538" s="12">
        <f t="shared" ca="1" si="53"/>
        <v>69.190820202020205</v>
      </c>
      <c r="CE538" s="12">
        <f t="shared" ca="1" si="54"/>
        <v>6.91908202020202</v>
      </c>
      <c r="CS538" s="33"/>
      <c r="CT538" s="33"/>
      <c r="CU538" s="33"/>
      <c r="CV538" s="32"/>
      <c r="CW538" s="32"/>
      <c r="CX538" s="32"/>
      <c r="CY538" s="34"/>
      <c r="CZ538" s="34"/>
      <c r="DA538" s="34"/>
      <c r="DB538" s="33"/>
      <c r="DC538" s="33"/>
      <c r="DD538" s="33"/>
      <c r="DE538" s="33"/>
      <c r="DF538" s="33"/>
      <c r="DG538" s="33"/>
      <c r="DH538" s="34"/>
      <c r="DI538" s="34"/>
      <c r="DJ538" s="34"/>
      <c r="DK538" s="33"/>
      <c r="DL538" s="33"/>
      <c r="DM538" s="33"/>
      <c r="DN538" s="12">
        <v>3504033</v>
      </c>
      <c r="DS538" s="21"/>
      <c r="DT538" s="21"/>
      <c r="DU538" s="21"/>
    </row>
    <row r="539" spans="72:125" ht="13.5" customHeight="1">
      <c r="BT539" s="12">
        <v>3101033</v>
      </c>
      <c r="BU539" s="3">
        <f>[1]monsters!$N539</f>
        <v>91.52</v>
      </c>
      <c r="BV539" s="3">
        <f>[1]monsters!$O539</f>
        <v>9.15</v>
      </c>
      <c r="BW539" s="3">
        <f>[1]monsters!$P539</f>
        <v>1047.27</v>
      </c>
      <c r="BX539" s="3">
        <f>[1]monsters!$Q539</f>
        <v>104.73</v>
      </c>
      <c r="BY539" s="3">
        <f>[1]monsters!$R539</f>
        <v>11.44</v>
      </c>
      <c r="BZ539" s="3">
        <f>[1]monsters!$S539</f>
        <v>1.1399999999999999</v>
      </c>
      <c r="CA539" s="3">
        <f>[1]monsters!$K539</f>
        <v>1.3</v>
      </c>
      <c r="CB539" s="12">
        <f>[1]monsters!$D539</f>
        <v>3</v>
      </c>
      <c r="CC539" s="12">
        <f t="shared" ca="1" si="52"/>
        <v>0.1</v>
      </c>
      <c r="CD539" s="12">
        <f t="shared" ca="1" si="53"/>
        <v>60.530424242424203</v>
      </c>
      <c r="CE539" s="12">
        <f t="shared" ca="1" si="54"/>
        <v>6.0530424242424203</v>
      </c>
      <c r="CS539" s="33"/>
      <c r="CT539" s="33"/>
      <c r="CU539" s="33"/>
      <c r="CV539" s="32"/>
      <c r="CW539" s="32"/>
      <c r="CX539" s="32"/>
      <c r="CY539" s="34"/>
      <c r="CZ539" s="34"/>
      <c r="DA539" s="34"/>
      <c r="DB539" s="33"/>
      <c r="DC539" s="33"/>
      <c r="DD539" s="33"/>
      <c r="DE539" s="33"/>
      <c r="DF539" s="33"/>
      <c r="DG539" s="33"/>
      <c r="DH539" s="34"/>
      <c r="DI539" s="34"/>
      <c r="DJ539" s="34"/>
      <c r="DK539" s="33"/>
      <c r="DL539" s="33"/>
      <c r="DM539" s="33"/>
      <c r="DN539" s="12">
        <v>3101033</v>
      </c>
      <c r="DS539" s="21"/>
      <c r="DT539" s="21"/>
      <c r="DU539" s="21"/>
    </row>
    <row r="540" spans="72:125" ht="13.5" customHeight="1">
      <c r="BT540" s="12">
        <v>3102033</v>
      </c>
      <c r="BU540" s="3">
        <f>[1]monsters!$N540</f>
        <v>126.72</v>
      </c>
      <c r="BV540" s="3">
        <f>[1]monsters!$O540</f>
        <v>12.67</v>
      </c>
      <c r="BW540" s="3">
        <f>[1]monsters!$P540</f>
        <v>1047.27</v>
      </c>
      <c r="BX540" s="3">
        <f>[1]monsters!$Q540</f>
        <v>104.73</v>
      </c>
      <c r="BY540" s="3">
        <f>[1]monsters!$R540</f>
        <v>21.12</v>
      </c>
      <c r="BZ540" s="3">
        <f>[1]monsters!$S540</f>
        <v>2.11</v>
      </c>
      <c r="CA540" s="3">
        <f>[1]monsters!$K540</f>
        <v>1.8</v>
      </c>
      <c r="CB540" s="12">
        <f>[1]monsters!$D540</f>
        <v>5</v>
      </c>
      <c r="CC540" s="12">
        <f t="shared" ca="1" si="52"/>
        <v>0.1</v>
      </c>
      <c r="CD540" s="12">
        <f t="shared" ca="1" si="53"/>
        <v>55.994424242424202</v>
      </c>
      <c r="CE540" s="12">
        <f t="shared" ca="1" si="54"/>
        <v>5.5994424242424197</v>
      </c>
      <c r="CS540" s="33"/>
      <c r="CT540" s="33"/>
      <c r="CU540" s="33"/>
      <c r="CV540" s="32"/>
      <c r="CW540" s="32"/>
      <c r="CX540" s="32"/>
      <c r="CY540" s="34"/>
      <c r="CZ540" s="34"/>
      <c r="DA540" s="34"/>
      <c r="DB540" s="33"/>
      <c r="DC540" s="33"/>
      <c r="DD540" s="33"/>
      <c r="DE540" s="33"/>
      <c r="DF540" s="33"/>
      <c r="DG540" s="33"/>
      <c r="DH540" s="34"/>
      <c r="DI540" s="34"/>
      <c r="DJ540" s="34"/>
      <c r="DK540" s="33"/>
      <c r="DL540" s="33"/>
      <c r="DM540" s="33"/>
      <c r="DN540" s="12">
        <v>3102033</v>
      </c>
      <c r="DS540" s="21"/>
      <c r="DT540" s="21"/>
      <c r="DU540" s="21"/>
    </row>
    <row r="541" spans="72:125" ht="13.5" customHeight="1">
      <c r="BT541" s="12">
        <v>3206034</v>
      </c>
      <c r="BU541" s="3">
        <f>[1]monsters!$N541</f>
        <v>92.16</v>
      </c>
      <c r="BV541" s="3">
        <f>[1]monsters!$O541</f>
        <v>9.2200000000000006</v>
      </c>
      <c r="BW541" s="3">
        <f>[1]monsters!$P541</f>
        <v>1280</v>
      </c>
      <c r="BX541" s="3">
        <f>[1]monsters!$Q541</f>
        <v>128</v>
      </c>
      <c r="BY541" s="3">
        <f>[1]monsters!$R541</f>
        <v>18.43</v>
      </c>
      <c r="BZ541" s="3">
        <f>[1]monsters!$S541</f>
        <v>1.84</v>
      </c>
      <c r="CA541" s="3">
        <f>[1]monsters!$K541</f>
        <v>1.6</v>
      </c>
      <c r="CB541" s="12">
        <f>[1]monsters!$D541</f>
        <v>2</v>
      </c>
      <c r="CC541" s="12">
        <f t="shared" ca="1" si="52"/>
        <v>0.1</v>
      </c>
      <c r="CD541" s="12">
        <f t="shared" ca="1" si="53"/>
        <v>61.147830303030297</v>
      </c>
      <c r="CE541" s="12">
        <f t="shared" ca="1" si="54"/>
        <v>6.1147830303030304</v>
      </c>
      <c r="CS541" s="33"/>
      <c r="CT541" s="33"/>
      <c r="CU541" s="33"/>
      <c r="CV541" s="32"/>
      <c r="CW541" s="32"/>
      <c r="CX541" s="32"/>
      <c r="CY541" s="34"/>
      <c r="CZ541" s="34"/>
      <c r="DA541" s="34"/>
      <c r="DB541" s="33"/>
      <c r="DC541" s="33"/>
      <c r="DD541" s="33"/>
      <c r="DE541" s="33"/>
      <c r="DF541" s="33"/>
      <c r="DG541" s="33"/>
      <c r="DH541" s="34"/>
      <c r="DI541" s="34"/>
      <c r="DJ541" s="34"/>
      <c r="DK541" s="33"/>
      <c r="DL541" s="33"/>
      <c r="DM541" s="33"/>
      <c r="DN541" s="12">
        <v>3206034</v>
      </c>
      <c r="DS541" s="21"/>
      <c r="DT541" s="21"/>
      <c r="DU541" s="21"/>
    </row>
    <row r="542" spans="72:125" ht="13.5" customHeight="1">
      <c r="BT542" s="12">
        <v>3406034</v>
      </c>
      <c r="BU542" s="3">
        <f>[1]monsters!$N542</f>
        <v>116.48</v>
      </c>
      <c r="BV542" s="3">
        <f>[1]monsters!$O542</f>
        <v>11.65</v>
      </c>
      <c r="BW542" s="3">
        <f>[1]monsters!$P542</f>
        <v>886.15</v>
      </c>
      <c r="BX542" s="3">
        <f>[1]monsters!$Q542</f>
        <v>88.62</v>
      </c>
      <c r="BY542" s="3">
        <f>[1]monsters!$R542</f>
        <v>11.65</v>
      </c>
      <c r="BZ542" s="3">
        <f>[1]monsters!$S542</f>
        <v>1.1599999999999999</v>
      </c>
      <c r="CA542" s="3">
        <f>[1]monsters!$K542</f>
        <v>1.4000000000000001</v>
      </c>
      <c r="CB542" s="12">
        <f>[1]monsters!$D542</f>
        <v>4</v>
      </c>
      <c r="CC542" s="12">
        <f t="shared" ca="1" si="52"/>
        <v>0.1</v>
      </c>
      <c r="CD542" s="12">
        <f t="shared" ca="1" si="53"/>
        <v>56.965767493112899</v>
      </c>
      <c r="CE542" s="12">
        <f t="shared" ca="1" si="54"/>
        <v>5.6965767493112898</v>
      </c>
      <c r="CS542" s="33"/>
      <c r="CT542" s="33"/>
      <c r="CU542" s="33"/>
      <c r="CV542" s="32"/>
      <c r="CW542" s="32"/>
      <c r="CX542" s="32"/>
      <c r="CY542" s="34"/>
      <c r="CZ542" s="34"/>
      <c r="DA542" s="34"/>
      <c r="DB542" s="33"/>
      <c r="DC542" s="33"/>
      <c r="DD542" s="33"/>
      <c r="DE542" s="33"/>
      <c r="DF542" s="33"/>
      <c r="DG542" s="33"/>
      <c r="DH542" s="34"/>
      <c r="DI542" s="34"/>
      <c r="DJ542" s="34"/>
      <c r="DK542" s="33"/>
      <c r="DL542" s="33"/>
      <c r="DM542" s="33"/>
      <c r="DN542" s="12">
        <v>3406034</v>
      </c>
      <c r="DS542" s="21"/>
      <c r="DT542" s="21"/>
      <c r="DU542" s="21"/>
    </row>
    <row r="543" spans="72:125" ht="13.5" customHeight="1">
      <c r="BT543" s="12">
        <v>3205034</v>
      </c>
      <c r="BU543" s="3">
        <f>[1]monsters!$N543</f>
        <v>80.64</v>
      </c>
      <c r="BV543" s="3">
        <f>[1]monsters!$O543</f>
        <v>8.06</v>
      </c>
      <c r="BW543" s="3">
        <f>[1]monsters!$P543</f>
        <v>1280</v>
      </c>
      <c r="BX543" s="3">
        <f>[1]monsters!$Q543</f>
        <v>128</v>
      </c>
      <c r="BY543" s="3">
        <f>[1]monsters!$R543</f>
        <v>16.13</v>
      </c>
      <c r="BZ543" s="3">
        <f>[1]monsters!$S543</f>
        <v>1.61</v>
      </c>
      <c r="CA543" s="3">
        <f>[1]monsters!$K543</f>
        <v>1.4000000000000001</v>
      </c>
      <c r="CB543" s="12">
        <f>[1]monsters!$D543</f>
        <v>2</v>
      </c>
      <c r="CC543" s="12">
        <f t="shared" ca="1" si="52"/>
        <v>0.1</v>
      </c>
      <c r="CD543" s="12">
        <f t="shared" ca="1" si="53"/>
        <v>66.591030303030294</v>
      </c>
      <c r="CE543" s="12">
        <f t="shared" ca="1" si="54"/>
        <v>6.6591030303030303</v>
      </c>
      <c r="CS543" s="33"/>
      <c r="CT543" s="33"/>
      <c r="CU543" s="33"/>
      <c r="CV543" s="32"/>
      <c r="CW543" s="32"/>
      <c r="CX543" s="32"/>
      <c r="CY543" s="34"/>
      <c r="CZ543" s="34"/>
      <c r="DA543" s="34"/>
      <c r="DB543" s="33"/>
      <c r="DC543" s="33"/>
      <c r="DD543" s="33"/>
      <c r="DE543" s="33"/>
      <c r="DF543" s="33"/>
      <c r="DG543" s="33"/>
      <c r="DH543" s="34"/>
      <c r="DI543" s="34"/>
      <c r="DJ543" s="34"/>
      <c r="DK543" s="33"/>
      <c r="DL543" s="33"/>
      <c r="DM543" s="33"/>
      <c r="DN543" s="12">
        <v>3205034</v>
      </c>
      <c r="DS543" s="21"/>
      <c r="DT543" s="21"/>
      <c r="DU543" s="21"/>
    </row>
    <row r="544" spans="72:125" ht="13.5" customHeight="1">
      <c r="BT544" s="12">
        <v>3405034</v>
      </c>
      <c r="BU544" s="3">
        <f>[1]monsters!$N544</f>
        <v>133.12</v>
      </c>
      <c r="BV544" s="3">
        <f>[1]monsters!$O544</f>
        <v>13.31</v>
      </c>
      <c r="BW544" s="3">
        <f>[1]monsters!$P544</f>
        <v>886.15</v>
      </c>
      <c r="BX544" s="3">
        <f>[1]monsters!$Q544</f>
        <v>88.62</v>
      </c>
      <c r="BY544" s="3">
        <f>[1]monsters!$R544</f>
        <v>13.31</v>
      </c>
      <c r="BZ544" s="3">
        <f>[1]monsters!$S544</f>
        <v>1.33</v>
      </c>
      <c r="CA544" s="3">
        <f>[1]monsters!$K544</f>
        <v>1.6</v>
      </c>
      <c r="CB544" s="12">
        <f>[1]monsters!$D544</f>
        <v>4</v>
      </c>
      <c r="CC544" s="12">
        <f t="shared" ca="1" si="52"/>
        <v>0.1</v>
      </c>
      <c r="CD544" s="12">
        <f t="shared" ca="1" si="53"/>
        <v>59.460567493112897</v>
      </c>
      <c r="CE544" s="12">
        <f t="shared" ca="1" si="54"/>
        <v>5.9460567493112899</v>
      </c>
      <c r="CS544" s="33"/>
      <c r="CT544" s="33"/>
      <c r="CU544" s="33"/>
      <c r="CV544" s="32"/>
      <c r="CW544" s="32"/>
      <c r="CX544" s="32"/>
      <c r="CY544" s="34"/>
      <c r="CZ544" s="34"/>
      <c r="DA544" s="34"/>
      <c r="DB544" s="33"/>
      <c r="DC544" s="33"/>
      <c r="DD544" s="33"/>
      <c r="DE544" s="33"/>
      <c r="DF544" s="33"/>
      <c r="DG544" s="33"/>
      <c r="DH544" s="34"/>
      <c r="DI544" s="34"/>
      <c r="DJ544" s="34"/>
      <c r="DK544" s="33"/>
      <c r="DL544" s="33"/>
      <c r="DM544" s="33"/>
      <c r="DN544" s="12">
        <v>3405034</v>
      </c>
      <c r="DS544" s="21"/>
      <c r="DT544" s="21"/>
      <c r="DU544" s="21"/>
    </row>
    <row r="545" spans="72:125" ht="13.5" customHeight="1">
      <c r="BT545" s="12">
        <v>3203034</v>
      </c>
      <c r="BU545" s="3">
        <f>[1]monsters!$N545</f>
        <v>122.88</v>
      </c>
      <c r="BV545" s="3">
        <f>[1]monsters!$O545</f>
        <v>12.29</v>
      </c>
      <c r="BW545" s="3">
        <f>[1]monsters!$P545</f>
        <v>960</v>
      </c>
      <c r="BX545" s="3">
        <f>[1]monsters!$Q545</f>
        <v>96</v>
      </c>
      <c r="BY545" s="3">
        <f>[1]monsters!$R545</f>
        <v>20.48</v>
      </c>
      <c r="BZ545" s="3">
        <f>[1]monsters!$S545</f>
        <v>2.0499999999999998</v>
      </c>
      <c r="CA545" s="3">
        <f>[1]monsters!$K545</f>
        <v>1.6</v>
      </c>
      <c r="CB545" s="12">
        <f>[1]monsters!$D545</f>
        <v>5</v>
      </c>
      <c r="CC545" s="12">
        <f t="shared" ca="1" si="52"/>
        <v>0.1</v>
      </c>
      <c r="CD545" s="12">
        <f t="shared" ca="1" si="53"/>
        <v>53.8902303030303</v>
      </c>
      <c r="CE545" s="12">
        <f t="shared" ca="1" si="54"/>
        <v>5.3890230303030302</v>
      </c>
      <c r="CS545" s="33"/>
      <c r="CT545" s="33"/>
      <c r="CU545" s="33"/>
      <c r="CV545" s="32"/>
      <c r="CW545" s="32"/>
      <c r="CX545" s="32"/>
      <c r="CY545" s="34"/>
      <c r="CZ545" s="34"/>
      <c r="DA545" s="34"/>
      <c r="DB545" s="33"/>
      <c r="DC545" s="33"/>
      <c r="DD545" s="33"/>
      <c r="DE545" s="33"/>
      <c r="DF545" s="33"/>
      <c r="DG545" s="33"/>
      <c r="DH545" s="34"/>
      <c r="DI545" s="34"/>
      <c r="DJ545" s="34"/>
      <c r="DK545" s="33"/>
      <c r="DL545" s="33"/>
      <c r="DM545" s="33"/>
      <c r="DN545" s="12">
        <v>3203034</v>
      </c>
      <c r="DS545" s="21"/>
      <c r="DT545" s="21"/>
      <c r="DU545" s="21"/>
    </row>
    <row r="546" spans="72:125" ht="13.5" customHeight="1">
      <c r="BT546" s="12">
        <v>3403034</v>
      </c>
      <c r="BU546" s="3">
        <f>[1]monsters!$N546</f>
        <v>103.04</v>
      </c>
      <c r="BV546" s="3">
        <f>[1]monsters!$O546</f>
        <v>10.3</v>
      </c>
      <c r="BW546" s="3">
        <f>[1]monsters!$P546</f>
        <v>1001.74</v>
      </c>
      <c r="BX546" s="3">
        <f>[1]monsters!$Q546</f>
        <v>100.17</v>
      </c>
      <c r="BY546" s="3">
        <f>[1]monsters!$R546</f>
        <v>12.88</v>
      </c>
      <c r="BZ546" s="3">
        <f>[1]monsters!$S546</f>
        <v>1.29</v>
      </c>
      <c r="CA546" s="3">
        <f>[1]monsters!$K546</f>
        <v>1.4000000000000001</v>
      </c>
      <c r="CB546" s="12">
        <f>[1]monsters!$D546</f>
        <v>3</v>
      </c>
      <c r="CC546" s="12">
        <f t="shared" ca="1" si="52"/>
        <v>0.1</v>
      </c>
      <c r="CD546" s="12">
        <f t="shared" ca="1" si="53"/>
        <v>49.481367493112899</v>
      </c>
      <c r="CE546" s="12">
        <f t="shared" ca="1" si="54"/>
        <v>4.9481367493112902</v>
      </c>
      <c r="CS546" s="33"/>
      <c r="CT546" s="33"/>
      <c r="CU546" s="33"/>
      <c r="CV546" s="32"/>
      <c r="CW546" s="32"/>
      <c r="CX546" s="32"/>
      <c r="CY546" s="34"/>
      <c r="CZ546" s="34"/>
      <c r="DA546" s="34"/>
      <c r="DB546" s="33"/>
      <c r="DC546" s="33"/>
      <c r="DD546" s="33"/>
      <c r="DE546" s="33"/>
      <c r="DF546" s="33"/>
      <c r="DG546" s="33"/>
      <c r="DH546" s="34"/>
      <c r="DI546" s="34"/>
      <c r="DJ546" s="34"/>
      <c r="DK546" s="33"/>
      <c r="DL546" s="33"/>
      <c r="DM546" s="33"/>
      <c r="DN546" s="12">
        <v>3403034</v>
      </c>
      <c r="DS546" s="21"/>
      <c r="DT546" s="21"/>
      <c r="DU546" s="21"/>
    </row>
    <row r="547" spans="72:125" ht="13.5" customHeight="1">
      <c r="BT547" s="12">
        <v>3204034</v>
      </c>
      <c r="BU547" s="3">
        <f>[1]monsters!$N547</f>
        <v>87.36</v>
      </c>
      <c r="BV547" s="3">
        <f>[1]monsters!$O547</f>
        <v>8.74</v>
      </c>
      <c r="BW547" s="3">
        <f>[1]monsters!$P547</f>
        <v>1493.33</v>
      </c>
      <c r="BX547" s="3">
        <f>[1]monsters!$Q547</f>
        <v>149.33000000000001</v>
      </c>
      <c r="BY547" s="3">
        <f>[1]monsters!$R547</f>
        <v>17.47</v>
      </c>
      <c r="BZ547" s="3">
        <f>[1]monsters!$S547</f>
        <v>1.75</v>
      </c>
      <c r="CA547" s="3">
        <f>[1]monsters!$K547</f>
        <v>1.3</v>
      </c>
      <c r="CB547" s="12">
        <f>[1]monsters!$D547</f>
        <v>2</v>
      </c>
      <c r="CC547" s="12">
        <f t="shared" ca="1" si="52"/>
        <v>0.1</v>
      </c>
      <c r="CD547" s="12">
        <f t="shared" ca="1" si="53"/>
        <v>55.704630303030299</v>
      </c>
      <c r="CE547" s="12">
        <f t="shared" ca="1" si="54"/>
        <v>5.5704630303030296</v>
      </c>
      <c r="CS547" s="33"/>
      <c r="CT547" s="33"/>
      <c r="CU547" s="33"/>
      <c r="CV547" s="32"/>
      <c r="CW547" s="32"/>
      <c r="CX547" s="32"/>
      <c r="CY547" s="34"/>
      <c r="CZ547" s="34"/>
      <c r="DA547" s="34"/>
      <c r="DB547" s="33"/>
      <c r="DC547" s="33"/>
      <c r="DD547" s="33"/>
      <c r="DE547" s="33"/>
      <c r="DF547" s="33"/>
      <c r="DG547" s="33"/>
      <c r="DH547" s="34"/>
      <c r="DI547" s="34"/>
      <c r="DJ547" s="34"/>
      <c r="DK547" s="33"/>
      <c r="DL547" s="33"/>
      <c r="DM547" s="33"/>
      <c r="DN547" s="12">
        <v>3204034</v>
      </c>
      <c r="DS547" s="21"/>
      <c r="DT547" s="21"/>
      <c r="DU547" s="21"/>
    </row>
    <row r="548" spans="72:125" ht="13.5" customHeight="1">
      <c r="BT548" s="12">
        <v>3404034</v>
      </c>
      <c r="BU548" s="3">
        <f>[1]monsters!$N548</f>
        <v>116.48</v>
      </c>
      <c r="BV548" s="3">
        <f>[1]monsters!$O548</f>
        <v>11.65</v>
      </c>
      <c r="BW548" s="3">
        <f>[1]monsters!$P548</f>
        <v>1120</v>
      </c>
      <c r="BX548" s="3">
        <f>[1]monsters!$Q548</f>
        <v>112</v>
      </c>
      <c r="BY548" s="3">
        <f>[1]monsters!$R548</f>
        <v>11.65</v>
      </c>
      <c r="BZ548" s="3">
        <f>[1]monsters!$S548</f>
        <v>1.1599999999999999</v>
      </c>
      <c r="CA548" s="3">
        <f>[1]monsters!$K548</f>
        <v>1.3</v>
      </c>
      <c r="CB548" s="12">
        <f>[1]monsters!$D548</f>
        <v>4</v>
      </c>
      <c r="CC548" s="12">
        <f t="shared" ca="1" si="52"/>
        <v>0.1</v>
      </c>
      <c r="CD548" s="12">
        <f t="shared" ca="1" si="53"/>
        <v>59.460567493112897</v>
      </c>
      <c r="CE548" s="12">
        <f t="shared" ca="1" si="54"/>
        <v>5.9460567493112899</v>
      </c>
      <c r="CS548" s="33"/>
      <c r="CT548" s="33"/>
      <c r="CU548" s="33"/>
      <c r="CV548" s="32"/>
      <c r="CW548" s="32"/>
      <c r="CX548" s="32"/>
      <c r="CY548" s="34"/>
      <c r="CZ548" s="34"/>
      <c r="DA548" s="34"/>
      <c r="DB548" s="33"/>
      <c r="DC548" s="33"/>
      <c r="DD548" s="33"/>
      <c r="DE548" s="33"/>
      <c r="DF548" s="33"/>
      <c r="DG548" s="33"/>
      <c r="DH548" s="34"/>
      <c r="DI548" s="34"/>
      <c r="DJ548" s="34"/>
      <c r="DK548" s="33"/>
      <c r="DL548" s="33"/>
      <c r="DM548" s="33"/>
      <c r="DN548" s="12">
        <v>3404034</v>
      </c>
      <c r="DS548" s="21"/>
      <c r="DT548" s="21"/>
      <c r="DU548" s="21"/>
    </row>
    <row r="549" spans="72:125" ht="13.5" customHeight="1">
      <c r="BT549" s="12">
        <v>3303034</v>
      </c>
      <c r="BU549" s="3">
        <f>[1]monsters!$N549</f>
        <v>120.96</v>
      </c>
      <c r="BV549" s="3">
        <f>[1]monsters!$O549</f>
        <v>12.1</v>
      </c>
      <c r="BW549" s="3">
        <f>[1]monsters!$P549</f>
        <v>1493.33</v>
      </c>
      <c r="BX549" s="3">
        <f>[1]monsters!$Q549</f>
        <v>149.33000000000001</v>
      </c>
      <c r="BY549" s="3">
        <f>[1]monsters!$R549</f>
        <v>24.19</v>
      </c>
      <c r="BZ549" s="3">
        <f>[1]monsters!$S549</f>
        <v>2.42</v>
      </c>
      <c r="CA549" s="3">
        <f>[1]monsters!$K549</f>
        <v>1.8</v>
      </c>
      <c r="CB549" s="12">
        <f>[1]monsters!$D549</f>
        <v>2</v>
      </c>
      <c r="CC549" s="12">
        <f t="shared" ca="1" si="52"/>
        <v>0.1</v>
      </c>
      <c r="CD549" s="12">
        <f t="shared" ca="1" si="53"/>
        <v>53.471626936026901</v>
      </c>
      <c r="CE549" s="12">
        <f t="shared" ca="1" si="54"/>
        <v>5.3471626936026899</v>
      </c>
      <c r="CS549" s="33"/>
      <c r="CT549" s="33"/>
      <c r="CU549" s="33"/>
      <c r="CV549" s="32"/>
      <c r="CW549" s="32"/>
      <c r="CX549" s="32"/>
      <c r="CY549" s="34"/>
      <c r="CZ549" s="34"/>
      <c r="DA549" s="34"/>
      <c r="DB549" s="33"/>
      <c r="DC549" s="33"/>
      <c r="DD549" s="33"/>
      <c r="DE549" s="33"/>
      <c r="DF549" s="33"/>
      <c r="DG549" s="33"/>
      <c r="DH549" s="34"/>
      <c r="DI549" s="34"/>
      <c r="DJ549" s="34"/>
      <c r="DK549" s="33"/>
      <c r="DL549" s="33"/>
      <c r="DM549" s="33"/>
      <c r="DN549" s="12">
        <v>3303034</v>
      </c>
      <c r="DS549" s="21"/>
      <c r="DT549" s="21"/>
      <c r="DU549" s="21"/>
    </row>
    <row r="550" spans="72:125" ht="13.5" customHeight="1">
      <c r="BT550" s="12">
        <v>3304034</v>
      </c>
      <c r="BU550" s="3">
        <f>[1]monsters!$N550</f>
        <v>140</v>
      </c>
      <c r="BV550" s="3">
        <f>[1]monsters!$O550</f>
        <v>14</v>
      </c>
      <c r="BW550" s="3">
        <f>[1]monsters!$P550</f>
        <v>1075.2</v>
      </c>
      <c r="BX550" s="3">
        <f>[1]monsters!$Q550</f>
        <v>107.52</v>
      </c>
      <c r="BY550" s="3">
        <f>[1]monsters!$R550</f>
        <v>14</v>
      </c>
      <c r="BZ550" s="3">
        <f>[1]monsters!$S550</f>
        <v>1.4</v>
      </c>
      <c r="CA550" s="3">
        <f>[1]monsters!$K550</f>
        <v>1.5</v>
      </c>
      <c r="CB550" s="12">
        <f>[1]monsters!$D550</f>
        <v>4</v>
      </c>
      <c r="CC550" s="12">
        <f t="shared" ca="1" si="52"/>
        <v>0.1</v>
      </c>
      <c r="CD550" s="12">
        <f t="shared" ca="1" si="53"/>
        <v>55.512826936026897</v>
      </c>
      <c r="CE550" s="12">
        <f t="shared" ca="1" si="54"/>
        <v>5.5512826936026904</v>
      </c>
      <c r="CS550" s="33"/>
      <c r="CT550" s="33"/>
      <c r="CU550" s="33"/>
      <c r="CV550" s="32"/>
      <c r="CW550" s="32"/>
      <c r="CX550" s="32"/>
      <c r="CY550" s="34"/>
      <c r="CZ550" s="34"/>
      <c r="DA550" s="34"/>
      <c r="DB550" s="33"/>
      <c r="DC550" s="33"/>
      <c r="DD550" s="33"/>
      <c r="DE550" s="33"/>
      <c r="DF550" s="33"/>
      <c r="DG550" s="33"/>
      <c r="DH550" s="34"/>
      <c r="DI550" s="34"/>
      <c r="DJ550" s="34"/>
      <c r="DK550" s="33"/>
      <c r="DL550" s="33"/>
      <c r="DM550" s="33"/>
      <c r="DN550" s="12">
        <v>3304034</v>
      </c>
      <c r="DS550" s="21"/>
      <c r="DT550" s="21"/>
      <c r="DU550" s="21"/>
    </row>
    <row r="551" spans="72:125" ht="13.5" customHeight="1">
      <c r="BT551" s="12">
        <v>3503034</v>
      </c>
      <c r="BU551" s="3">
        <f>[1]monsters!$N551</f>
        <v>106.77</v>
      </c>
      <c r="BV551" s="3">
        <f>[1]monsters!$O551</f>
        <v>10.68</v>
      </c>
      <c r="BW551" s="3">
        <f>[1]monsters!$P551</f>
        <v>1221.82</v>
      </c>
      <c r="BX551" s="3">
        <f>[1]monsters!$Q551</f>
        <v>122.18</v>
      </c>
      <c r="BY551" s="3">
        <f>[1]monsters!$R551</f>
        <v>13.35</v>
      </c>
      <c r="BZ551" s="3">
        <f>[1]monsters!$S551</f>
        <v>1.33</v>
      </c>
      <c r="CA551" s="3">
        <f>[1]monsters!$K551</f>
        <v>1.3</v>
      </c>
      <c r="CB551" s="12">
        <f>[1]monsters!$D551</f>
        <v>3</v>
      </c>
      <c r="CC551" s="12">
        <f t="shared" ca="1" si="52"/>
        <v>0.1</v>
      </c>
      <c r="CD551" s="12">
        <f t="shared" ca="1" si="53"/>
        <v>63.747620202020201</v>
      </c>
      <c r="CE551" s="12">
        <f t="shared" ca="1" si="54"/>
        <v>6.3747620202020201</v>
      </c>
      <c r="CS551" s="33"/>
      <c r="CT551" s="33"/>
      <c r="CU551" s="33"/>
      <c r="CV551" s="32"/>
      <c r="CW551" s="32"/>
      <c r="CX551" s="32"/>
      <c r="CY551" s="34"/>
      <c r="CZ551" s="34"/>
      <c r="DA551" s="34"/>
      <c r="DB551" s="33"/>
      <c r="DC551" s="33"/>
      <c r="DD551" s="33"/>
      <c r="DE551" s="33"/>
      <c r="DF551" s="33"/>
      <c r="DG551" s="33"/>
      <c r="DH551" s="34"/>
      <c r="DI551" s="34"/>
      <c r="DJ551" s="34"/>
      <c r="DK551" s="33"/>
      <c r="DL551" s="33"/>
      <c r="DM551" s="33"/>
      <c r="DN551" s="12">
        <v>3503034</v>
      </c>
      <c r="DS551" s="21"/>
      <c r="DT551" s="21"/>
      <c r="DU551" s="21"/>
    </row>
    <row r="552" spans="72:125" ht="13.5" customHeight="1">
      <c r="BT552" s="12">
        <v>3504034</v>
      </c>
      <c r="BU552" s="3">
        <f>[1]monsters!$N552</f>
        <v>147.84</v>
      </c>
      <c r="BV552" s="3">
        <f>[1]monsters!$O552</f>
        <v>14.78</v>
      </c>
      <c r="BW552" s="3">
        <f>[1]monsters!$P552</f>
        <v>1221.82</v>
      </c>
      <c r="BX552" s="3">
        <f>[1]monsters!$Q552</f>
        <v>122.18</v>
      </c>
      <c r="BY552" s="3">
        <f>[1]monsters!$R552</f>
        <v>24.64</v>
      </c>
      <c r="BZ552" s="3">
        <f>[1]monsters!$S552</f>
        <v>2.46</v>
      </c>
      <c r="CA552" s="3">
        <f>[1]monsters!$K552</f>
        <v>1.8</v>
      </c>
      <c r="CB552" s="12">
        <f>[1]monsters!$D552</f>
        <v>5</v>
      </c>
      <c r="CC552" s="12">
        <f t="shared" ca="1" si="52"/>
        <v>0.1</v>
      </c>
      <c r="CD552" s="12">
        <f t="shared" ca="1" si="53"/>
        <v>69.190820202020205</v>
      </c>
      <c r="CE552" s="12">
        <f t="shared" ca="1" si="54"/>
        <v>6.91908202020202</v>
      </c>
      <c r="CS552" s="33"/>
      <c r="CT552" s="33"/>
      <c r="CU552" s="33"/>
      <c r="CV552" s="32"/>
      <c r="CW552" s="32"/>
      <c r="CX552" s="32"/>
      <c r="CY552" s="34"/>
      <c r="CZ552" s="34"/>
      <c r="DA552" s="34"/>
      <c r="DB552" s="33"/>
      <c r="DC552" s="33"/>
      <c r="DD552" s="33"/>
      <c r="DE552" s="33"/>
      <c r="DF552" s="33"/>
      <c r="DG552" s="33"/>
      <c r="DH552" s="34"/>
      <c r="DI552" s="34"/>
      <c r="DJ552" s="34"/>
      <c r="DK552" s="33"/>
      <c r="DL552" s="33"/>
      <c r="DM552" s="33"/>
      <c r="DN552" s="12">
        <v>3504034</v>
      </c>
      <c r="DS552" s="21"/>
      <c r="DT552" s="21"/>
      <c r="DU552" s="21"/>
    </row>
    <row r="553" spans="72:125" ht="13.5" customHeight="1">
      <c r="BT553" s="12">
        <v>3101034</v>
      </c>
      <c r="BU553" s="3">
        <f>[1]monsters!$N553</f>
        <v>107.52</v>
      </c>
      <c r="BV553" s="3">
        <f>[1]monsters!$O553</f>
        <v>10.75</v>
      </c>
      <c r="BW553" s="3">
        <f>[1]monsters!$P553</f>
        <v>1493.33</v>
      </c>
      <c r="BX553" s="3">
        <f>[1]monsters!$Q553</f>
        <v>149.33000000000001</v>
      </c>
      <c r="BY553" s="3">
        <f>[1]monsters!$R553</f>
        <v>21.5</v>
      </c>
      <c r="BZ553" s="3">
        <f>[1]monsters!$S553</f>
        <v>2.15</v>
      </c>
      <c r="CA553" s="3">
        <f>[1]monsters!$K553</f>
        <v>1.6</v>
      </c>
      <c r="CB553" s="12">
        <f>[1]monsters!$D553</f>
        <v>2</v>
      </c>
      <c r="CC553" s="12">
        <f t="shared" ca="1" si="52"/>
        <v>0.1</v>
      </c>
      <c r="CD553" s="12">
        <f t="shared" ca="1" si="53"/>
        <v>60.530424242424203</v>
      </c>
      <c r="CE553" s="12">
        <f t="shared" ca="1" si="54"/>
        <v>6.0530424242424203</v>
      </c>
      <c r="CS553" s="33"/>
      <c r="CT553" s="33"/>
      <c r="CU553" s="33"/>
      <c r="CV553" s="32"/>
      <c r="CW553" s="32"/>
      <c r="CX553" s="32"/>
      <c r="CY553" s="34"/>
      <c r="CZ553" s="34"/>
      <c r="DA553" s="34"/>
      <c r="DB553" s="33"/>
      <c r="DC553" s="33"/>
      <c r="DD553" s="33"/>
      <c r="DE553" s="33"/>
      <c r="DF553" s="33"/>
      <c r="DG553" s="33"/>
      <c r="DH553" s="34"/>
      <c r="DI553" s="34"/>
      <c r="DJ553" s="34"/>
      <c r="DK553" s="33"/>
      <c r="DL553" s="33"/>
      <c r="DM553" s="33"/>
      <c r="DN553" s="12">
        <v>3101034</v>
      </c>
      <c r="DS553" s="21"/>
      <c r="DT553" s="21"/>
      <c r="DU553" s="21"/>
    </row>
    <row r="554" spans="72:125" ht="13.5" customHeight="1">
      <c r="BT554" s="12">
        <v>3102034</v>
      </c>
      <c r="BU554" s="3">
        <f>[1]monsters!$N554</f>
        <v>135.88999999999999</v>
      </c>
      <c r="BV554" s="3">
        <f>[1]monsters!$O554</f>
        <v>13.59</v>
      </c>
      <c r="BW554" s="3">
        <f>[1]monsters!$P554</f>
        <v>1033.8499999999999</v>
      </c>
      <c r="BX554" s="3">
        <f>[1]monsters!$Q554</f>
        <v>103.38</v>
      </c>
      <c r="BY554" s="3">
        <f>[1]monsters!$R554</f>
        <v>13.59</v>
      </c>
      <c r="BZ554" s="3">
        <f>[1]monsters!$S554</f>
        <v>1.36</v>
      </c>
      <c r="CA554" s="3">
        <f>[1]monsters!$K554</f>
        <v>1.4000000000000001</v>
      </c>
      <c r="CB554" s="12">
        <f>[1]monsters!$D554</f>
        <v>4</v>
      </c>
      <c r="CC554" s="12">
        <f t="shared" ca="1" si="52"/>
        <v>0.1</v>
      </c>
      <c r="CD554" s="12">
        <f t="shared" ca="1" si="53"/>
        <v>55.994424242424202</v>
      </c>
      <c r="CE554" s="12">
        <f t="shared" ca="1" si="54"/>
        <v>5.5994424242424197</v>
      </c>
      <c r="CS554" s="33"/>
      <c r="CT554" s="33"/>
      <c r="CU554" s="33"/>
      <c r="CV554" s="32"/>
      <c r="CW554" s="32"/>
      <c r="CX554" s="32"/>
      <c r="CY554" s="34"/>
      <c r="CZ554" s="34"/>
      <c r="DA554" s="34"/>
      <c r="DB554" s="33"/>
      <c r="DC554" s="33"/>
      <c r="DD554" s="33"/>
      <c r="DE554" s="33"/>
      <c r="DF554" s="33"/>
      <c r="DG554" s="33"/>
      <c r="DH554" s="34"/>
      <c r="DI554" s="34"/>
      <c r="DJ554" s="34"/>
      <c r="DK554" s="33"/>
      <c r="DL554" s="33"/>
      <c r="DM554" s="33"/>
      <c r="DN554" s="12">
        <v>3102034</v>
      </c>
      <c r="DS554" s="21"/>
      <c r="DT554" s="21"/>
      <c r="DU554" s="21"/>
    </row>
    <row r="555" spans="72:125" ht="13.5" customHeight="1">
      <c r="BT555" s="12">
        <v>3206035</v>
      </c>
      <c r="BU555" s="3">
        <f>[1]monsters!$N555</f>
        <v>94.08</v>
      </c>
      <c r="BV555" s="3">
        <f>[1]monsters!$O555</f>
        <v>9.41</v>
      </c>
      <c r="BW555" s="3">
        <f>[1]monsters!$P555</f>
        <v>1493.33</v>
      </c>
      <c r="BX555" s="3">
        <f>[1]monsters!$Q555</f>
        <v>149.33000000000001</v>
      </c>
      <c r="BY555" s="3">
        <f>[1]monsters!$R555</f>
        <v>18.82</v>
      </c>
      <c r="BZ555" s="3">
        <f>[1]monsters!$S555</f>
        <v>1.88</v>
      </c>
      <c r="CA555" s="3">
        <f>[1]monsters!$K555</f>
        <v>1.4000000000000001</v>
      </c>
      <c r="CB555" s="12">
        <f>[1]monsters!$D555</f>
        <v>2</v>
      </c>
      <c r="CC555" s="12">
        <f t="shared" ca="1" si="52"/>
        <v>0.1</v>
      </c>
      <c r="CD555" s="12">
        <f t="shared" ca="1" si="53"/>
        <v>61.147830303030297</v>
      </c>
      <c r="CE555" s="12">
        <f t="shared" ca="1" si="54"/>
        <v>6.1147830303030304</v>
      </c>
      <c r="CS555" s="33"/>
      <c r="CT555" s="33"/>
      <c r="CU555" s="33"/>
      <c r="CV555" s="32"/>
      <c r="CW555" s="32"/>
      <c r="CX555" s="32"/>
      <c r="CY555" s="34"/>
      <c r="CZ555" s="34"/>
      <c r="DA555" s="34"/>
      <c r="DB555" s="33"/>
      <c r="DC555" s="33"/>
      <c r="DD555" s="33"/>
      <c r="DE555" s="33"/>
      <c r="DF555" s="33"/>
      <c r="DG555" s="33"/>
      <c r="DH555" s="34"/>
      <c r="DI555" s="34"/>
      <c r="DJ555" s="34"/>
      <c r="DK555" s="33"/>
      <c r="DL555" s="33"/>
      <c r="DM555" s="33"/>
      <c r="DN555" s="12">
        <v>3206035</v>
      </c>
      <c r="DS555" s="21"/>
      <c r="DT555" s="21"/>
      <c r="DU555" s="21"/>
    </row>
    <row r="556" spans="72:125" ht="13.5" customHeight="1">
      <c r="BT556" s="12">
        <v>3406035</v>
      </c>
      <c r="BU556" s="3">
        <f>[1]monsters!$N556</f>
        <v>155.31</v>
      </c>
      <c r="BV556" s="3">
        <f>[1]monsters!$O556</f>
        <v>15.53</v>
      </c>
      <c r="BW556" s="3">
        <f>[1]monsters!$P556</f>
        <v>1033.8499999999999</v>
      </c>
      <c r="BX556" s="3">
        <f>[1]monsters!$Q556</f>
        <v>103.38</v>
      </c>
      <c r="BY556" s="3">
        <f>[1]monsters!$R556</f>
        <v>15.53</v>
      </c>
      <c r="BZ556" s="3">
        <f>[1]monsters!$S556</f>
        <v>1.55</v>
      </c>
      <c r="CA556" s="3">
        <f>[1]monsters!$K556</f>
        <v>1.6</v>
      </c>
      <c r="CB556" s="12">
        <f>[1]monsters!$D556</f>
        <v>4</v>
      </c>
      <c r="CC556" s="12">
        <f t="shared" ca="1" si="52"/>
        <v>0.1</v>
      </c>
      <c r="CD556" s="12">
        <f t="shared" ca="1" si="53"/>
        <v>56.965767493112899</v>
      </c>
      <c r="CE556" s="12">
        <f t="shared" ca="1" si="54"/>
        <v>5.6965767493112898</v>
      </c>
      <c r="CS556" s="33"/>
      <c r="CT556" s="33"/>
      <c r="CU556" s="33"/>
      <c r="CV556" s="32"/>
      <c r="CW556" s="32"/>
      <c r="CX556" s="32"/>
      <c r="CY556" s="34"/>
      <c r="CZ556" s="34"/>
      <c r="DA556" s="34"/>
      <c r="DB556" s="33"/>
      <c r="DC556" s="33"/>
      <c r="DD556" s="33"/>
      <c r="DE556" s="33"/>
      <c r="DF556" s="33"/>
      <c r="DG556" s="33"/>
      <c r="DH556" s="34"/>
      <c r="DI556" s="34"/>
      <c r="DJ556" s="34"/>
      <c r="DK556" s="33"/>
      <c r="DL556" s="33"/>
      <c r="DM556" s="33"/>
      <c r="DN556" s="12">
        <v>3406035</v>
      </c>
      <c r="DS556" s="21"/>
      <c r="DT556" s="21"/>
      <c r="DU556" s="21"/>
    </row>
    <row r="557" spans="72:125" ht="13.5" customHeight="1">
      <c r="BT557" s="12">
        <v>3205035</v>
      </c>
      <c r="BU557" s="3">
        <f>[1]monsters!$N557</f>
        <v>143.36000000000001</v>
      </c>
      <c r="BV557" s="3">
        <f>[1]monsters!$O557</f>
        <v>14.34</v>
      </c>
      <c r="BW557" s="3">
        <f>[1]monsters!$P557</f>
        <v>1120</v>
      </c>
      <c r="BX557" s="3">
        <f>[1]monsters!$Q557</f>
        <v>112</v>
      </c>
      <c r="BY557" s="3">
        <f>[1]monsters!$R557</f>
        <v>23.89</v>
      </c>
      <c r="BZ557" s="3">
        <f>[1]monsters!$S557</f>
        <v>2.39</v>
      </c>
      <c r="CA557" s="3">
        <f>[1]monsters!$K557</f>
        <v>1.6</v>
      </c>
      <c r="CB557" s="12">
        <f>[1]monsters!$D557</f>
        <v>5</v>
      </c>
      <c r="CC557" s="12">
        <f t="shared" ca="1" si="52"/>
        <v>0.1</v>
      </c>
      <c r="CD557" s="12">
        <f t="shared" ca="1" si="53"/>
        <v>66.591030303030294</v>
      </c>
      <c r="CE557" s="12">
        <f t="shared" ca="1" si="54"/>
        <v>6.6591030303030303</v>
      </c>
      <c r="CS557" s="33"/>
      <c r="CT557" s="33"/>
      <c r="CU557" s="33"/>
      <c r="CV557" s="32"/>
      <c r="CW557" s="32"/>
      <c r="CX557" s="32"/>
      <c r="CY557" s="34"/>
      <c r="CZ557" s="34"/>
      <c r="DA557" s="34"/>
      <c r="DB557" s="33"/>
      <c r="DC557" s="33"/>
      <c r="DD557" s="33"/>
      <c r="DE557" s="33"/>
      <c r="DF557" s="33"/>
      <c r="DG557" s="33"/>
      <c r="DH557" s="34"/>
      <c r="DI557" s="34"/>
      <c r="DJ557" s="34"/>
      <c r="DK557" s="33"/>
      <c r="DL557" s="33"/>
      <c r="DM557" s="33"/>
      <c r="DN557" s="12">
        <v>3205035</v>
      </c>
      <c r="DS557" s="21"/>
      <c r="DT557" s="21"/>
      <c r="DU557" s="21"/>
    </row>
    <row r="558" spans="72:125" ht="13.5" customHeight="1">
      <c r="BT558" s="12">
        <v>3405035</v>
      </c>
      <c r="BU558" s="3">
        <f>[1]monsters!$N558</f>
        <v>120.21</v>
      </c>
      <c r="BV558" s="3">
        <f>[1]monsters!$O558</f>
        <v>12.02</v>
      </c>
      <c r="BW558" s="3">
        <f>[1]monsters!$P558</f>
        <v>1168.7</v>
      </c>
      <c r="BX558" s="3">
        <f>[1]monsters!$Q558</f>
        <v>116.87</v>
      </c>
      <c r="BY558" s="3">
        <f>[1]monsters!$R558</f>
        <v>15.03</v>
      </c>
      <c r="BZ558" s="3">
        <f>[1]monsters!$S558</f>
        <v>1.5</v>
      </c>
      <c r="CA558" s="3">
        <f>[1]monsters!$K558</f>
        <v>1.4000000000000001</v>
      </c>
      <c r="CB558" s="12">
        <f>[1]monsters!$D558</f>
        <v>3</v>
      </c>
      <c r="CC558" s="12">
        <f t="shared" ca="1" si="52"/>
        <v>0.1</v>
      </c>
      <c r="CD558" s="12">
        <f t="shared" ca="1" si="53"/>
        <v>59.460567493112897</v>
      </c>
      <c r="CE558" s="12">
        <f t="shared" ca="1" si="54"/>
        <v>5.9460567493112899</v>
      </c>
      <c r="CS558" s="33"/>
      <c r="CT558" s="33"/>
      <c r="CU558" s="33"/>
      <c r="CV558" s="32"/>
      <c r="CW558" s="32"/>
      <c r="CX558" s="32"/>
      <c r="CY558" s="34"/>
      <c r="CZ558" s="34"/>
      <c r="DA558" s="34"/>
      <c r="DB558" s="33"/>
      <c r="DC558" s="33"/>
      <c r="DD558" s="33"/>
      <c r="DE558" s="33"/>
      <c r="DF558" s="33"/>
      <c r="DG558" s="33"/>
      <c r="DH558" s="34"/>
      <c r="DI558" s="34"/>
      <c r="DJ558" s="34"/>
      <c r="DK558" s="33"/>
      <c r="DL558" s="33"/>
      <c r="DM558" s="33"/>
      <c r="DN558" s="12">
        <v>3405035</v>
      </c>
      <c r="DS558" s="21"/>
      <c r="DT558" s="21"/>
      <c r="DU558" s="21"/>
    </row>
    <row r="559" spans="72:125" ht="13.5" customHeight="1">
      <c r="BT559" s="12">
        <v>3203035</v>
      </c>
      <c r="BU559" s="3">
        <f>[1]monsters!$N559</f>
        <v>87.36</v>
      </c>
      <c r="BV559" s="3">
        <f>[1]monsters!$O559</f>
        <v>8.74</v>
      </c>
      <c r="BW559" s="3">
        <f>[1]monsters!$P559</f>
        <v>1493.33</v>
      </c>
      <c r="BX559" s="3">
        <f>[1]monsters!$Q559</f>
        <v>149.33000000000001</v>
      </c>
      <c r="BY559" s="3">
        <f>[1]monsters!$R559</f>
        <v>17.47</v>
      </c>
      <c r="BZ559" s="3">
        <f>[1]monsters!$S559</f>
        <v>1.75</v>
      </c>
      <c r="CA559" s="3">
        <f>[1]monsters!$K559</f>
        <v>1.3</v>
      </c>
      <c r="CB559" s="12">
        <f>[1]monsters!$D559</f>
        <v>2</v>
      </c>
      <c r="CC559" s="12">
        <f t="shared" ca="1" si="52"/>
        <v>0.1</v>
      </c>
      <c r="CD559" s="12">
        <f t="shared" ca="1" si="53"/>
        <v>53.8902303030303</v>
      </c>
      <c r="CE559" s="12">
        <f t="shared" ca="1" si="54"/>
        <v>5.3890230303030302</v>
      </c>
      <c r="CS559" s="33"/>
      <c r="CT559" s="33"/>
      <c r="CU559" s="33"/>
      <c r="CV559" s="32"/>
      <c r="CW559" s="32"/>
      <c r="CX559" s="32"/>
      <c r="CY559" s="34"/>
      <c r="CZ559" s="34"/>
      <c r="DA559" s="34"/>
      <c r="DB559" s="33"/>
      <c r="DC559" s="33"/>
      <c r="DD559" s="33"/>
      <c r="DE559" s="33"/>
      <c r="DF559" s="33"/>
      <c r="DG559" s="33"/>
      <c r="DH559" s="34"/>
      <c r="DI559" s="34"/>
      <c r="DJ559" s="34"/>
      <c r="DK559" s="33"/>
      <c r="DL559" s="33"/>
      <c r="DM559" s="33"/>
      <c r="DN559" s="12">
        <v>3203035</v>
      </c>
      <c r="DS559" s="21"/>
      <c r="DT559" s="21"/>
      <c r="DU559" s="21"/>
    </row>
    <row r="560" spans="72:125" ht="13.5" customHeight="1">
      <c r="BT560" s="12">
        <v>3403035</v>
      </c>
      <c r="BU560" s="3">
        <f>[1]monsters!$N560</f>
        <v>116.48</v>
      </c>
      <c r="BV560" s="3">
        <f>[1]monsters!$O560</f>
        <v>11.65</v>
      </c>
      <c r="BW560" s="3">
        <f>[1]monsters!$P560</f>
        <v>1120</v>
      </c>
      <c r="BX560" s="3">
        <f>[1]monsters!$Q560</f>
        <v>112</v>
      </c>
      <c r="BY560" s="3">
        <f>[1]monsters!$R560</f>
        <v>11.65</v>
      </c>
      <c r="BZ560" s="3">
        <f>[1]monsters!$S560</f>
        <v>1.1599999999999999</v>
      </c>
      <c r="CA560" s="3">
        <f>[1]monsters!$K560</f>
        <v>1.3</v>
      </c>
      <c r="CB560" s="12">
        <f>[1]monsters!$D560</f>
        <v>4</v>
      </c>
      <c r="CC560" s="12">
        <f t="shared" ca="1" si="52"/>
        <v>0.1</v>
      </c>
      <c r="CD560" s="12">
        <f t="shared" ca="1" si="53"/>
        <v>49.481367493112899</v>
      </c>
      <c r="CE560" s="12">
        <f t="shared" ca="1" si="54"/>
        <v>4.9481367493112902</v>
      </c>
      <c r="CS560" s="33"/>
      <c r="CT560" s="33"/>
      <c r="CU560" s="33"/>
      <c r="CV560" s="32"/>
      <c r="CW560" s="32"/>
      <c r="CX560" s="32"/>
      <c r="CY560" s="34"/>
      <c r="CZ560" s="34"/>
      <c r="DA560" s="34"/>
      <c r="DB560" s="33"/>
      <c r="DC560" s="33"/>
      <c r="DD560" s="33"/>
      <c r="DE560" s="33"/>
      <c r="DF560" s="33"/>
      <c r="DG560" s="33"/>
      <c r="DH560" s="34"/>
      <c r="DI560" s="34"/>
      <c r="DJ560" s="34"/>
      <c r="DK560" s="33"/>
      <c r="DL560" s="33"/>
      <c r="DM560" s="33"/>
      <c r="DN560" s="12">
        <v>3403035</v>
      </c>
      <c r="DS560" s="21"/>
      <c r="DT560" s="21"/>
      <c r="DU560" s="21"/>
    </row>
    <row r="561" spans="72:125" ht="13.5" customHeight="1">
      <c r="BT561" s="12">
        <v>3204035</v>
      </c>
      <c r="BU561" s="3">
        <f>[1]monsters!$N561</f>
        <v>120.96</v>
      </c>
      <c r="BV561" s="3">
        <f>[1]monsters!$O561</f>
        <v>12.1</v>
      </c>
      <c r="BW561" s="3">
        <f>[1]monsters!$P561</f>
        <v>1493.33</v>
      </c>
      <c r="BX561" s="3">
        <f>[1]monsters!$Q561</f>
        <v>149.33000000000001</v>
      </c>
      <c r="BY561" s="3">
        <f>[1]monsters!$R561</f>
        <v>24.19</v>
      </c>
      <c r="BZ561" s="3">
        <f>[1]monsters!$S561</f>
        <v>2.42</v>
      </c>
      <c r="CA561" s="3">
        <f>[1]monsters!$K561</f>
        <v>1.8</v>
      </c>
      <c r="CB561" s="12">
        <f>[1]monsters!$D561</f>
        <v>2</v>
      </c>
      <c r="CC561" s="12">
        <f t="shared" ca="1" si="52"/>
        <v>0.1</v>
      </c>
      <c r="CD561" s="12">
        <f t="shared" ca="1" si="53"/>
        <v>55.704630303030299</v>
      </c>
      <c r="CE561" s="12">
        <f t="shared" ca="1" si="54"/>
        <v>5.5704630303030296</v>
      </c>
      <c r="CS561" s="33"/>
      <c r="CT561" s="33"/>
      <c r="CU561" s="33"/>
      <c r="CV561" s="32"/>
      <c r="CW561" s="32"/>
      <c r="CX561" s="32"/>
      <c r="CY561" s="34"/>
      <c r="CZ561" s="34"/>
      <c r="DA561" s="34"/>
      <c r="DB561" s="33"/>
      <c r="DC561" s="33"/>
      <c r="DD561" s="33"/>
      <c r="DE561" s="33"/>
      <c r="DF561" s="33"/>
      <c r="DG561" s="33"/>
      <c r="DH561" s="34"/>
      <c r="DI561" s="34"/>
      <c r="DJ561" s="34"/>
      <c r="DK561" s="33"/>
      <c r="DL561" s="33"/>
      <c r="DM561" s="33"/>
      <c r="DN561" s="12">
        <v>3204035</v>
      </c>
      <c r="DS561" s="21"/>
      <c r="DT561" s="21"/>
      <c r="DU561" s="21"/>
    </row>
    <row r="562" spans="72:125" ht="13.5" customHeight="1">
      <c r="BT562" s="12">
        <v>3404035</v>
      </c>
      <c r="BU562" s="3">
        <f>[1]monsters!$N562</f>
        <v>140</v>
      </c>
      <c r="BV562" s="3">
        <f>[1]monsters!$O562</f>
        <v>14</v>
      </c>
      <c r="BW562" s="3">
        <f>[1]monsters!$P562</f>
        <v>1075.2</v>
      </c>
      <c r="BX562" s="3">
        <f>[1]monsters!$Q562</f>
        <v>107.52</v>
      </c>
      <c r="BY562" s="3">
        <f>[1]monsters!$R562</f>
        <v>14</v>
      </c>
      <c r="BZ562" s="3">
        <f>[1]monsters!$S562</f>
        <v>1.4</v>
      </c>
      <c r="CA562" s="3">
        <f>[1]monsters!$K562</f>
        <v>1.5</v>
      </c>
      <c r="CB562" s="12">
        <f>[1]monsters!$D562</f>
        <v>4</v>
      </c>
      <c r="CC562" s="12">
        <f t="shared" ca="1" si="52"/>
        <v>0.1</v>
      </c>
      <c r="CD562" s="12">
        <f t="shared" ca="1" si="53"/>
        <v>59.460567493112897</v>
      </c>
      <c r="CE562" s="12">
        <f t="shared" ca="1" si="54"/>
        <v>5.9460567493112899</v>
      </c>
      <c r="CS562" s="33"/>
      <c r="CT562" s="33"/>
      <c r="CU562" s="33"/>
      <c r="CV562" s="32"/>
      <c r="CW562" s="32"/>
      <c r="CX562" s="32"/>
      <c r="CY562" s="34"/>
      <c r="CZ562" s="34"/>
      <c r="DA562" s="34"/>
      <c r="DB562" s="33"/>
      <c r="DC562" s="33"/>
      <c r="DD562" s="33"/>
      <c r="DE562" s="33"/>
      <c r="DF562" s="33"/>
      <c r="DG562" s="33"/>
      <c r="DH562" s="34"/>
      <c r="DI562" s="34"/>
      <c r="DJ562" s="34"/>
      <c r="DK562" s="33"/>
      <c r="DL562" s="33"/>
      <c r="DM562" s="33"/>
      <c r="DN562" s="12">
        <v>3404035</v>
      </c>
      <c r="DS562" s="21"/>
      <c r="DT562" s="21"/>
      <c r="DU562" s="21"/>
    </row>
    <row r="563" spans="72:125" ht="13.5" customHeight="1">
      <c r="BT563" s="12">
        <v>3303035</v>
      </c>
      <c r="BU563" s="3">
        <f>[1]monsters!$N563</f>
        <v>106.77</v>
      </c>
      <c r="BV563" s="3">
        <f>[1]monsters!$O563</f>
        <v>10.68</v>
      </c>
      <c r="BW563" s="3">
        <f>[1]monsters!$P563</f>
        <v>1221.82</v>
      </c>
      <c r="BX563" s="3">
        <f>[1]monsters!$Q563</f>
        <v>122.18</v>
      </c>
      <c r="BY563" s="3">
        <f>[1]monsters!$R563</f>
        <v>13.35</v>
      </c>
      <c r="BZ563" s="3">
        <f>[1]monsters!$S563</f>
        <v>1.33</v>
      </c>
      <c r="CA563" s="3">
        <f>[1]monsters!$K563</f>
        <v>1.3</v>
      </c>
      <c r="CB563" s="12">
        <f>[1]monsters!$D563</f>
        <v>3</v>
      </c>
      <c r="CC563" s="12">
        <f t="shared" ca="1" si="52"/>
        <v>0.1</v>
      </c>
      <c r="CD563" s="12">
        <f t="shared" ca="1" si="53"/>
        <v>53.471626936026901</v>
      </c>
      <c r="CE563" s="12">
        <f t="shared" ca="1" si="54"/>
        <v>5.3471626936026899</v>
      </c>
      <c r="CS563" s="33"/>
      <c r="CT563" s="33"/>
      <c r="CU563" s="33"/>
      <c r="CV563" s="32"/>
      <c r="CW563" s="32"/>
      <c r="CX563" s="32"/>
      <c r="CY563" s="34"/>
      <c r="CZ563" s="34"/>
      <c r="DA563" s="34"/>
      <c r="DB563" s="33"/>
      <c r="DC563" s="33"/>
      <c r="DD563" s="33"/>
      <c r="DE563" s="33"/>
      <c r="DF563" s="33"/>
      <c r="DG563" s="33"/>
      <c r="DH563" s="34"/>
      <c r="DI563" s="34"/>
      <c r="DJ563" s="34"/>
      <c r="DK563" s="33"/>
      <c r="DL563" s="33"/>
      <c r="DM563" s="33"/>
      <c r="DN563" s="12">
        <v>3303035</v>
      </c>
      <c r="DS563" s="21"/>
      <c r="DT563" s="21"/>
      <c r="DU563" s="21"/>
    </row>
    <row r="564" spans="72:125" ht="13.5" customHeight="1">
      <c r="BT564" s="12">
        <v>3304035</v>
      </c>
      <c r="BU564" s="3">
        <f>[1]monsters!$N564</f>
        <v>147.84</v>
      </c>
      <c r="BV564" s="3">
        <f>[1]monsters!$O564</f>
        <v>14.78</v>
      </c>
      <c r="BW564" s="3">
        <f>[1]monsters!$P564</f>
        <v>1221.82</v>
      </c>
      <c r="BX564" s="3">
        <f>[1]monsters!$Q564</f>
        <v>122.18</v>
      </c>
      <c r="BY564" s="3">
        <f>[1]monsters!$R564</f>
        <v>24.64</v>
      </c>
      <c r="BZ564" s="3">
        <f>[1]monsters!$S564</f>
        <v>2.46</v>
      </c>
      <c r="CA564" s="3">
        <f>[1]monsters!$K564</f>
        <v>1.8</v>
      </c>
      <c r="CB564" s="12">
        <f>[1]monsters!$D564</f>
        <v>5</v>
      </c>
      <c r="CC564" s="12">
        <f t="shared" ca="1" si="52"/>
        <v>0.1</v>
      </c>
      <c r="CD564" s="12">
        <f t="shared" ca="1" si="53"/>
        <v>55.512826936026897</v>
      </c>
      <c r="CE564" s="12">
        <f t="shared" ca="1" si="54"/>
        <v>5.5512826936026904</v>
      </c>
      <c r="CS564" s="33"/>
      <c r="CT564" s="33"/>
      <c r="CU564" s="33"/>
      <c r="CV564" s="32"/>
      <c r="CW564" s="32"/>
      <c r="CX564" s="32"/>
      <c r="CY564" s="34"/>
      <c r="CZ564" s="34"/>
      <c r="DA564" s="34"/>
      <c r="DB564" s="33"/>
      <c r="DC564" s="33"/>
      <c r="DD564" s="33"/>
      <c r="DE564" s="33"/>
      <c r="DF564" s="33"/>
      <c r="DG564" s="33"/>
      <c r="DH564" s="34"/>
      <c r="DI564" s="34"/>
      <c r="DJ564" s="34"/>
      <c r="DK564" s="33"/>
      <c r="DL564" s="33"/>
      <c r="DM564" s="33"/>
      <c r="DN564" s="12">
        <v>3304035</v>
      </c>
      <c r="DS564" s="21"/>
      <c r="DT564" s="21"/>
      <c r="DU564" s="21"/>
    </row>
    <row r="565" spans="72:125" ht="13.5" customHeight="1">
      <c r="BT565" s="12">
        <v>3503035</v>
      </c>
      <c r="BU565" s="3">
        <f>[1]monsters!$N565</f>
        <v>107.52</v>
      </c>
      <c r="BV565" s="3">
        <f>[1]monsters!$O565</f>
        <v>10.75</v>
      </c>
      <c r="BW565" s="3">
        <f>[1]monsters!$P565</f>
        <v>1493.33</v>
      </c>
      <c r="BX565" s="3">
        <f>[1]monsters!$Q565</f>
        <v>149.33000000000001</v>
      </c>
      <c r="BY565" s="3">
        <f>[1]monsters!$R565</f>
        <v>21.5</v>
      </c>
      <c r="BZ565" s="3">
        <f>[1]monsters!$S565</f>
        <v>2.15</v>
      </c>
      <c r="CA565" s="3">
        <f>[1]monsters!$K565</f>
        <v>1.6</v>
      </c>
      <c r="CB565" s="12">
        <f>[1]monsters!$D565</f>
        <v>2</v>
      </c>
      <c r="CC565" s="12">
        <f t="shared" ca="1" si="52"/>
        <v>0.1</v>
      </c>
      <c r="CD565" s="12">
        <f t="shared" ca="1" si="53"/>
        <v>63.747620202020201</v>
      </c>
      <c r="CE565" s="12">
        <f t="shared" ca="1" si="54"/>
        <v>6.3747620202020201</v>
      </c>
      <c r="CS565" s="33"/>
      <c r="CT565" s="33"/>
      <c r="CU565" s="33"/>
      <c r="CV565" s="32"/>
      <c r="CW565" s="32"/>
      <c r="CX565" s="32"/>
      <c r="CY565" s="34"/>
      <c r="CZ565" s="34"/>
      <c r="DA565" s="34"/>
      <c r="DB565" s="33"/>
      <c r="DC565" s="33"/>
      <c r="DD565" s="33"/>
      <c r="DE565" s="33"/>
      <c r="DF565" s="33"/>
      <c r="DG565" s="33"/>
      <c r="DH565" s="34"/>
      <c r="DI565" s="34"/>
      <c r="DJ565" s="34"/>
      <c r="DK565" s="33"/>
      <c r="DL565" s="33"/>
      <c r="DM565" s="33"/>
      <c r="DN565" s="12">
        <v>3503035</v>
      </c>
      <c r="DS565" s="21"/>
      <c r="DT565" s="21"/>
      <c r="DU565" s="21"/>
    </row>
    <row r="566" spans="72:125" ht="13.5" customHeight="1">
      <c r="BT566" s="12">
        <v>3504035</v>
      </c>
      <c r="BU566" s="3">
        <f>[1]monsters!$N566</f>
        <v>135.88999999999999</v>
      </c>
      <c r="BV566" s="3">
        <f>[1]monsters!$O566</f>
        <v>13.59</v>
      </c>
      <c r="BW566" s="3">
        <f>[1]monsters!$P566</f>
        <v>1033.8499999999999</v>
      </c>
      <c r="BX566" s="3">
        <f>[1]monsters!$Q566</f>
        <v>103.38</v>
      </c>
      <c r="BY566" s="3">
        <f>[1]monsters!$R566</f>
        <v>13.59</v>
      </c>
      <c r="BZ566" s="3">
        <f>[1]monsters!$S566</f>
        <v>1.36</v>
      </c>
      <c r="CA566" s="3">
        <f>[1]monsters!$K566</f>
        <v>1.4000000000000001</v>
      </c>
      <c r="CB566" s="12">
        <f>[1]monsters!$D566</f>
        <v>4</v>
      </c>
      <c r="CC566" s="12">
        <f t="shared" ca="1" si="52"/>
        <v>0.1</v>
      </c>
      <c r="CD566" s="12">
        <f t="shared" ca="1" si="53"/>
        <v>69.190820202020205</v>
      </c>
      <c r="CE566" s="12">
        <f t="shared" ca="1" si="54"/>
        <v>6.91908202020202</v>
      </c>
      <c r="CS566" s="33"/>
      <c r="CT566" s="33"/>
      <c r="CU566" s="33"/>
      <c r="CV566" s="32"/>
      <c r="CW566" s="32"/>
      <c r="CX566" s="32"/>
      <c r="CY566" s="34"/>
      <c r="CZ566" s="34"/>
      <c r="DA566" s="34"/>
      <c r="DB566" s="33"/>
      <c r="DC566" s="33"/>
      <c r="DD566" s="33"/>
      <c r="DE566" s="33"/>
      <c r="DF566" s="33"/>
      <c r="DG566" s="33"/>
      <c r="DH566" s="34"/>
      <c r="DI566" s="34"/>
      <c r="DJ566" s="34"/>
      <c r="DK566" s="33"/>
      <c r="DL566" s="33"/>
      <c r="DM566" s="33"/>
      <c r="DN566" s="12">
        <v>3504035</v>
      </c>
      <c r="DS566" s="21"/>
      <c r="DT566" s="21"/>
      <c r="DU566" s="21"/>
    </row>
    <row r="567" spans="72:125" ht="13.5" customHeight="1">
      <c r="BT567" s="12">
        <v>3101035</v>
      </c>
      <c r="BU567" s="3">
        <f>[1]monsters!$N567</f>
        <v>94.08</v>
      </c>
      <c r="BV567" s="3">
        <f>[1]monsters!$O567</f>
        <v>9.41</v>
      </c>
      <c r="BW567" s="3">
        <f>[1]monsters!$P567</f>
        <v>1493.33</v>
      </c>
      <c r="BX567" s="3">
        <f>[1]monsters!$Q567</f>
        <v>149.33000000000001</v>
      </c>
      <c r="BY567" s="3">
        <f>[1]monsters!$R567</f>
        <v>18.82</v>
      </c>
      <c r="BZ567" s="3">
        <f>[1]monsters!$S567</f>
        <v>1.88</v>
      </c>
      <c r="CA567" s="3">
        <f>[1]monsters!$K567</f>
        <v>1.4000000000000001</v>
      </c>
      <c r="CB567" s="12">
        <f>[1]monsters!$D567</f>
        <v>2</v>
      </c>
      <c r="CC567" s="12">
        <f t="shared" ca="1" si="52"/>
        <v>0.1</v>
      </c>
      <c r="CD567" s="12">
        <f t="shared" ca="1" si="53"/>
        <v>60.530424242424203</v>
      </c>
      <c r="CE567" s="12">
        <f t="shared" ca="1" si="54"/>
        <v>6.0530424242424203</v>
      </c>
      <c r="CS567" s="33"/>
      <c r="CT567" s="33"/>
      <c r="CU567" s="33"/>
      <c r="CV567" s="32"/>
      <c r="CW567" s="32"/>
      <c r="CX567" s="32"/>
      <c r="CY567" s="34"/>
      <c r="CZ567" s="34"/>
      <c r="DA567" s="34"/>
      <c r="DB567" s="33"/>
      <c r="DC567" s="33"/>
      <c r="DD567" s="33"/>
      <c r="DE567" s="33"/>
      <c r="DF567" s="33"/>
      <c r="DG567" s="33"/>
      <c r="DH567" s="34"/>
      <c r="DI567" s="34"/>
      <c r="DJ567" s="34"/>
      <c r="DK567" s="33"/>
      <c r="DL567" s="33"/>
      <c r="DM567" s="33"/>
      <c r="DN567" s="12">
        <v>3101035</v>
      </c>
      <c r="DS567" s="21"/>
      <c r="DT567" s="21"/>
      <c r="DU567" s="21"/>
    </row>
    <row r="568" spans="72:125" ht="13.5" customHeight="1">
      <c r="BT568" s="12">
        <v>3102035</v>
      </c>
      <c r="BU568" s="3">
        <f>[1]monsters!$N568</f>
        <v>155.31</v>
      </c>
      <c r="BV568" s="3">
        <f>[1]monsters!$O568</f>
        <v>15.53</v>
      </c>
      <c r="BW568" s="3">
        <f>[1]monsters!$P568</f>
        <v>1033.8499999999999</v>
      </c>
      <c r="BX568" s="3">
        <f>[1]monsters!$Q568</f>
        <v>103.38</v>
      </c>
      <c r="BY568" s="3">
        <f>[1]monsters!$R568</f>
        <v>15.53</v>
      </c>
      <c r="BZ568" s="3">
        <f>[1]monsters!$S568</f>
        <v>1.55</v>
      </c>
      <c r="CA568" s="3">
        <f>[1]monsters!$K568</f>
        <v>1.6</v>
      </c>
      <c r="CB568" s="12">
        <f>[1]monsters!$D568</f>
        <v>4</v>
      </c>
      <c r="CC568" s="12">
        <f t="shared" ca="1" si="52"/>
        <v>0.1</v>
      </c>
      <c r="CD568" s="12">
        <f t="shared" ca="1" si="53"/>
        <v>55.994424242424202</v>
      </c>
      <c r="CE568" s="12">
        <f t="shared" ca="1" si="54"/>
        <v>5.5994424242424197</v>
      </c>
      <c r="CS568" s="33"/>
      <c r="CT568" s="33"/>
      <c r="CU568" s="33"/>
      <c r="CV568" s="32"/>
      <c r="CW568" s="32"/>
      <c r="CX568" s="32"/>
      <c r="CY568" s="34"/>
      <c r="CZ568" s="34"/>
      <c r="DA568" s="34"/>
      <c r="DB568" s="33"/>
      <c r="DC568" s="33"/>
      <c r="DD568" s="33"/>
      <c r="DE568" s="33"/>
      <c r="DF568" s="33"/>
      <c r="DG568" s="33"/>
      <c r="DH568" s="34"/>
      <c r="DI568" s="34"/>
      <c r="DJ568" s="34"/>
      <c r="DK568" s="33"/>
      <c r="DL568" s="33"/>
      <c r="DM568" s="33"/>
      <c r="DN568" s="12">
        <v>3102035</v>
      </c>
      <c r="DS568" s="21"/>
      <c r="DT568" s="21"/>
      <c r="DU568" s="21"/>
    </row>
    <row r="569" spans="72:125" ht="13.5" customHeight="1">
      <c r="BT569" s="12">
        <v>4206041</v>
      </c>
      <c r="BU569" s="3">
        <f>[1]monsters!$N569</f>
        <v>143.36000000000001</v>
      </c>
      <c r="BV569" s="3">
        <f>[1]monsters!$O569</f>
        <v>14.34</v>
      </c>
      <c r="BW569" s="3">
        <f>[1]monsters!$P569</f>
        <v>1120</v>
      </c>
      <c r="BX569" s="3">
        <f>[1]monsters!$Q569</f>
        <v>112</v>
      </c>
      <c r="BY569" s="3">
        <f>[1]monsters!$R569</f>
        <v>23.89</v>
      </c>
      <c r="BZ569" s="3">
        <f>[1]monsters!$S569</f>
        <v>2.39</v>
      </c>
      <c r="CA569" s="3">
        <f>[1]monsters!$K569</f>
        <v>1.6</v>
      </c>
      <c r="CB569" s="12">
        <f>[1]monsters!$D569</f>
        <v>5</v>
      </c>
      <c r="CC569" s="12">
        <f t="shared" ca="1" si="52"/>
        <v>0.1</v>
      </c>
      <c r="CD569" s="12">
        <f t="shared" ca="1" si="53"/>
        <v>71.339135353535397</v>
      </c>
      <c r="CE569" s="12">
        <f t="shared" ca="1" si="54"/>
        <v>7.1339135353535399</v>
      </c>
      <c r="CS569" s="33"/>
      <c r="CT569" s="33"/>
      <c r="CU569" s="33"/>
      <c r="CV569" s="32"/>
      <c r="CW569" s="32"/>
      <c r="CX569" s="32"/>
      <c r="CY569" s="34"/>
      <c r="CZ569" s="34"/>
      <c r="DA569" s="34"/>
      <c r="DB569" s="33"/>
      <c r="DC569" s="33"/>
      <c r="DD569" s="33"/>
      <c r="DE569" s="33"/>
      <c r="DF569" s="33"/>
      <c r="DG569" s="33"/>
      <c r="DH569" s="34"/>
      <c r="DI569" s="34"/>
      <c r="DJ569" s="34"/>
      <c r="DK569" s="33"/>
      <c r="DL569" s="33"/>
      <c r="DM569" s="33"/>
      <c r="DN569" s="12">
        <v>4206041</v>
      </c>
      <c r="DS569" s="21"/>
      <c r="DT569" s="21"/>
      <c r="DU569" s="21"/>
    </row>
    <row r="570" spans="72:125" ht="13.5" customHeight="1">
      <c r="BT570" s="12">
        <v>4406041</v>
      </c>
      <c r="BU570" s="3">
        <f>[1]monsters!$N570</f>
        <v>120.21</v>
      </c>
      <c r="BV570" s="3">
        <f>[1]monsters!$O570</f>
        <v>12.02</v>
      </c>
      <c r="BW570" s="3">
        <f>[1]monsters!$P570</f>
        <v>1168.7</v>
      </c>
      <c r="BX570" s="3">
        <f>[1]monsters!$Q570</f>
        <v>116.87</v>
      </c>
      <c r="BY570" s="3">
        <f>[1]monsters!$R570</f>
        <v>15.03</v>
      </c>
      <c r="BZ570" s="3">
        <f>[1]monsters!$S570</f>
        <v>1.5</v>
      </c>
      <c r="CA570" s="3">
        <f>[1]monsters!$K570</f>
        <v>1.4000000000000001</v>
      </c>
      <c r="CB570" s="12">
        <f>[1]monsters!$D570</f>
        <v>3</v>
      </c>
      <c r="CC570" s="12">
        <f t="shared" ca="1" si="52"/>
        <v>0.1</v>
      </c>
      <c r="CD570" s="12">
        <f t="shared" ca="1" si="53"/>
        <v>66.460062075298495</v>
      </c>
      <c r="CE570" s="12">
        <f t="shared" ca="1" si="54"/>
        <v>6.6460062075298501</v>
      </c>
      <c r="CS570" s="33"/>
      <c r="CT570" s="33"/>
      <c r="CU570" s="33"/>
      <c r="CV570" s="32"/>
      <c r="CW570" s="32"/>
      <c r="CX570" s="32"/>
      <c r="CY570" s="34"/>
      <c r="CZ570" s="34"/>
      <c r="DA570" s="34"/>
      <c r="DB570" s="33"/>
      <c r="DC570" s="33"/>
      <c r="DD570" s="33"/>
      <c r="DE570" s="33"/>
      <c r="DF570" s="33"/>
      <c r="DG570" s="33"/>
      <c r="DH570" s="34"/>
      <c r="DI570" s="34"/>
      <c r="DJ570" s="34"/>
      <c r="DK570" s="33"/>
      <c r="DL570" s="33"/>
      <c r="DM570" s="33"/>
      <c r="DN570" s="12">
        <v>4406041</v>
      </c>
      <c r="DS570" s="21"/>
      <c r="DT570" s="21"/>
      <c r="DU570" s="21"/>
    </row>
    <row r="571" spans="72:125" ht="13.5" customHeight="1">
      <c r="BT571" s="12">
        <v>4205041</v>
      </c>
      <c r="BU571" s="3">
        <f>[1]monsters!$N571</f>
        <v>87.36</v>
      </c>
      <c r="BV571" s="3">
        <f>[1]monsters!$O571</f>
        <v>8.74</v>
      </c>
      <c r="BW571" s="3">
        <f>[1]monsters!$P571</f>
        <v>1493.33</v>
      </c>
      <c r="BX571" s="3">
        <f>[1]monsters!$Q571</f>
        <v>149.33000000000001</v>
      </c>
      <c r="BY571" s="3">
        <f>[1]monsters!$R571</f>
        <v>17.47</v>
      </c>
      <c r="BZ571" s="3">
        <f>[1]monsters!$S571</f>
        <v>1.75</v>
      </c>
      <c r="CA571" s="3">
        <f>[1]monsters!$K571</f>
        <v>1.3</v>
      </c>
      <c r="CB571" s="12">
        <f>[1]monsters!$D571</f>
        <v>2</v>
      </c>
      <c r="CC571" s="12">
        <f t="shared" ca="1" si="52"/>
        <v>0.1</v>
      </c>
      <c r="CD571" s="12">
        <f t="shared" ca="1" si="53"/>
        <v>77.689535353535305</v>
      </c>
      <c r="CE571" s="12">
        <f t="shared" ca="1" si="54"/>
        <v>7.7689535353535399</v>
      </c>
      <c r="CS571" s="33"/>
      <c r="CT571" s="33"/>
      <c r="CU571" s="33"/>
      <c r="CV571" s="32"/>
      <c r="CW571" s="32"/>
      <c r="CX571" s="32"/>
      <c r="CY571" s="34"/>
      <c r="CZ571" s="34"/>
      <c r="DA571" s="34"/>
      <c r="DB571" s="33"/>
      <c r="DC571" s="33"/>
      <c r="DD571" s="33"/>
      <c r="DE571" s="33"/>
      <c r="DF571" s="33"/>
      <c r="DG571" s="33"/>
      <c r="DH571" s="34"/>
      <c r="DI571" s="34"/>
      <c r="DJ571" s="34"/>
      <c r="DK571" s="33"/>
      <c r="DL571" s="33"/>
      <c r="DM571" s="33"/>
      <c r="DN571" s="12">
        <v>4205041</v>
      </c>
      <c r="DS571" s="21"/>
      <c r="DT571" s="21"/>
      <c r="DU571" s="21"/>
    </row>
    <row r="572" spans="72:125" ht="13.5" customHeight="1">
      <c r="BT572" s="12">
        <v>4405041</v>
      </c>
      <c r="BU572" s="3">
        <f>[1]monsters!$N572</f>
        <v>116.48</v>
      </c>
      <c r="BV572" s="3">
        <f>[1]monsters!$O572</f>
        <v>11.65</v>
      </c>
      <c r="BW572" s="3">
        <f>[1]monsters!$P572</f>
        <v>1120</v>
      </c>
      <c r="BX572" s="3">
        <f>[1]monsters!$Q572</f>
        <v>112</v>
      </c>
      <c r="BY572" s="3">
        <f>[1]monsters!$R572</f>
        <v>11.65</v>
      </c>
      <c r="BZ572" s="3">
        <f>[1]monsters!$S572</f>
        <v>1.1599999999999999</v>
      </c>
      <c r="CA572" s="3">
        <f>[1]monsters!$K572</f>
        <v>1.3</v>
      </c>
      <c r="CB572" s="12">
        <f>[1]monsters!$D572</f>
        <v>4</v>
      </c>
      <c r="CC572" s="12">
        <f t="shared" ca="1" si="52"/>
        <v>0.1</v>
      </c>
      <c r="CD572" s="12">
        <f t="shared" ca="1" si="53"/>
        <v>69.370662075298497</v>
      </c>
      <c r="CE572" s="12">
        <f t="shared" ca="1" si="54"/>
        <v>6.9370662075298499</v>
      </c>
      <c r="CS572" s="33"/>
      <c r="CT572" s="33"/>
      <c r="CU572" s="33"/>
      <c r="CV572" s="32"/>
      <c r="CW572" s="32"/>
      <c r="CX572" s="32"/>
      <c r="CY572" s="34"/>
      <c r="CZ572" s="34"/>
      <c r="DA572" s="34"/>
      <c r="DB572" s="33"/>
      <c r="DC572" s="33"/>
      <c r="DD572" s="33"/>
      <c r="DE572" s="33"/>
      <c r="DF572" s="33"/>
      <c r="DG572" s="33"/>
      <c r="DH572" s="34"/>
      <c r="DI572" s="34"/>
      <c r="DJ572" s="34"/>
      <c r="DK572" s="33"/>
      <c r="DL572" s="33"/>
      <c r="DM572" s="33"/>
      <c r="DN572" s="12">
        <v>4405041</v>
      </c>
      <c r="DS572" s="21"/>
      <c r="DT572" s="21"/>
      <c r="DU572" s="21"/>
    </row>
    <row r="573" spans="72:125" ht="13.5" customHeight="1">
      <c r="BT573" s="12">
        <v>4203041</v>
      </c>
      <c r="BU573" s="3">
        <f>[1]monsters!$N573</f>
        <v>120.96</v>
      </c>
      <c r="BV573" s="3">
        <f>[1]monsters!$O573</f>
        <v>12.1</v>
      </c>
      <c r="BW573" s="3">
        <f>[1]monsters!$P573</f>
        <v>1493.33</v>
      </c>
      <c r="BX573" s="3">
        <f>[1]monsters!$Q573</f>
        <v>149.33000000000001</v>
      </c>
      <c r="BY573" s="3">
        <f>[1]monsters!$R573</f>
        <v>24.19</v>
      </c>
      <c r="BZ573" s="3">
        <f>[1]monsters!$S573</f>
        <v>2.42</v>
      </c>
      <c r="CA573" s="3">
        <f>[1]monsters!$K573</f>
        <v>1.8</v>
      </c>
      <c r="CB573" s="12">
        <f>[1]monsters!$D573</f>
        <v>2</v>
      </c>
      <c r="CC573" s="12">
        <f t="shared" ca="1" si="52"/>
        <v>0.1</v>
      </c>
      <c r="CD573" s="12">
        <f t="shared" ca="1" si="53"/>
        <v>62.871935353535299</v>
      </c>
      <c r="CE573" s="12">
        <f t="shared" ca="1" si="54"/>
        <v>6.2871935353535404</v>
      </c>
      <c r="CS573" s="33"/>
      <c r="CT573" s="33"/>
      <c r="CU573" s="33"/>
      <c r="CV573" s="32"/>
      <c r="CW573" s="32"/>
      <c r="CX573" s="32"/>
      <c r="CY573" s="34"/>
      <c r="CZ573" s="34"/>
      <c r="DA573" s="34"/>
      <c r="DB573" s="33"/>
      <c r="DC573" s="33"/>
      <c r="DD573" s="33"/>
      <c r="DE573" s="33"/>
      <c r="DF573" s="33"/>
      <c r="DG573" s="33"/>
      <c r="DH573" s="34"/>
      <c r="DI573" s="34"/>
      <c r="DJ573" s="34"/>
      <c r="DK573" s="33"/>
      <c r="DL573" s="33"/>
      <c r="DM573" s="33"/>
      <c r="DN573" s="12">
        <v>4203041</v>
      </c>
      <c r="DS573" s="21"/>
      <c r="DT573" s="21"/>
      <c r="DU573" s="21"/>
    </row>
    <row r="574" spans="72:125" ht="13.5" customHeight="1">
      <c r="BT574" s="12">
        <v>4403041</v>
      </c>
      <c r="BU574" s="3">
        <f>[1]monsters!$N574</f>
        <v>140</v>
      </c>
      <c r="BV574" s="3">
        <f>[1]monsters!$O574</f>
        <v>14</v>
      </c>
      <c r="BW574" s="3">
        <f>[1]monsters!$P574</f>
        <v>1075.2</v>
      </c>
      <c r="BX574" s="3">
        <f>[1]monsters!$Q574</f>
        <v>107.52</v>
      </c>
      <c r="BY574" s="3">
        <f>[1]monsters!$R574</f>
        <v>14</v>
      </c>
      <c r="BZ574" s="3">
        <f>[1]monsters!$S574</f>
        <v>1.4</v>
      </c>
      <c r="CA574" s="3">
        <f>[1]monsters!$K574</f>
        <v>1.5</v>
      </c>
      <c r="CB574" s="12">
        <f>[1]monsters!$D574</f>
        <v>4</v>
      </c>
      <c r="CC574" s="12">
        <f t="shared" ca="1" si="52"/>
        <v>0.1</v>
      </c>
      <c r="CD574" s="12">
        <f t="shared" ca="1" si="53"/>
        <v>57.728262075298503</v>
      </c>
      <c r="CE574" s="12">
        <f t="shared" ca="1" si="54"/>
        <v>5.7728262075298504</v>
      </c>
      <c r="CS574" s="33"/>
      <c r="CT574" s="33"/>
      <c r="CU574" s="33"/>
      <c r="CV574" s="32"/>
      <c r="CW574" s="32"/>
      <c r="CX574" s="32"/>
      <c r="CY574" s="34"/>
      <c r="CZ574" s="34"/>
      <c r="DA574" s="34"/>
      <c r="DB574" s="33"/>
      <c r="DC574" s="33"/>
      <c r="DD574" s="33"/>
      <c r="DE574" s="33"/>
      <c r="DF574" s="33"/>
      <c r="DG574" s="33"/>
      <c r="DH574" s="34"/>
      <c r="DI574" s="34"/>
      <c r="DJ574" s="34"/>
      <c r="DK574" s="33"/>
      <c r="DL574" s="33"/>
      <c r="DM574" s="33"/>
      <c r="DN574" s="12">
        <v>4403041</v>
      </c>
      <c r="DS574" s="21"/>
      <c r="DT574" s="21"/>
      <c r="DU574" s="21"/>
    </row>
    <row r="575" spans="72:125" ht="13.5" customHeight="1">
      <c r="BT575" s="12">
        <v>4204041</v>
      </c>
      <c r="BU575" s="3">
        <f>[1]monsters!$N575</f>
        <v>106.77</v>
      </c>
      <c r="BV575" s="3">
        <f>[1]monsters!$O575</f>
        <v>10.68</v>
      </c>
      <c r="BW575" s="3">
        <f>[1]monsters!$P575</f>
        <v>1221.82</v>
      </c>
      <c r="BX575" s="3">
        <f>[1]monsters!$Q575</f>
        <v>122.18</v>
      </c>
      <c r="BY575" s="3">
        <f>[1]monsters!$R575</f>
        <v>13.35</v>
      </c>
      <c r="BZ575" s="3">
        <f>[1]monsters!$S575</f>
        <v>1.33</v>
      </c>
      <c r="CA575" s="3">
        <f>[1]monsters!$K575</f>
        <v>1.3</v>
      </c>
      <c r="CB575" s="12">
        <f>[1]monsters!$D575</f>
        <v>3</v>
      </c>
      <c r="CC575" s="12">
        <f t="shared" ca="1" si="52"/>
        <v>0.1</v>
      </c>
      <c r="CD575" s="12">
        <f t="shared" ca="1" si="53"/>
        <v>64.988735353535304</v>
      </c>
      <c r="CE575" s="12">
        <f t="shared" ca="1" si="54"/>
        <v>6.4988735353535398</v>
      </c>
      <c r="CS575" s="33"/>
      <c r="CT575" s="33"/>
      <c r="CU575" s="33"/>
      <c r="CV575" s="32"/>
      <c r="CW575" s="32"/>
      <c r="CX575" s="32"/>
      <c r="CY575" s="34"/>
      <c r="CZ575" s="34"/>
      <c r="DA575" s="34"/>
      <c r="DB575" s="33"/>
      <c r="DC575" s="33"/>
      <c r="DD575" s="33"/>
      <c r="DE575" s="33"/>
      <c r="DF575" s="33"/>
      <c r="DG575" s="33"/>
      <c r="DH575" s="34"/>
      <c r="DI575" s="34"/>
      <c r="DJ575" s="34"/>
      <c r="DK575" s="33"/>
      <c r="DL575" s="33"/>
      <c r="DM575" s="33"/>
      <c r="DN575" s="12">
        <v>4204041</v>
      </c>
      <c r="DS575" s="21"/>
      <c r="DT575" s="21"/>
      <c r="DU575" s="21"/>
    </row>
    <row r="576" spans="72:125" ht="13.5" customHeight="1">
      <c r="BT576" s="12">
        <v>4404041</v>
      </c>
      <c r="BU576" s="3">
        <f>[1]monsters!$N576</f>
        <v>147.84</v>
      </c>
      <c r="BV576" s="3">
        <f>[1]monsters!$O576</f>
        <v>14.78</v>
      </c>
      <c r="BW576" s="3">
        <f>[1]monsters!$P576</f>
        <v>1221.82</v>
      </c>
      <c r="BX576" s="3">
        <f>[1]monsters!$Q576</f>
        <v>122.18</v>
      </c>
      <c r="BY576" s="3">
        <f>[1]monsters!$R576</f>
        <v>24.64</v>
      </c>
      <c r="BZ576" s="3">
        <f>[1]monsters!$S576</f>
        <v>2.46</v>
      </c>
      <c r="CA576" s="3">
        <f>[1]monsters!$K576</f>
        <v>1.8</v>
      </c>
      <c r="CB576" s="12">
        <f>[1]monsters!$D576</f>
        <v>5</v>
      </c>
      <c r="CC576" s="12">
        <f t="shared" ca="1" si="52"/>
        <v>0.1</v>
      </c>
      <c r="CD576" s="12">
        <f t="shared" ca="1" si="53"/>
        <v>69.370662075298497</v>
      </c>
      <c r="CE576" s="12">
        <f t="shared" ca="1" si="54"/>
        <v>6.9370662075298499</v>
      </c>
      <c r="CS576" s="33"/>
      <c r="CT576" s="33"/>
      <c r="CU576" s="33"/>
      <c r="CV576" s="32"/>
      <c r="CW576" s="32"/>
      <c r="CX576" s="32"/>
      <c r="CY576" s="34"/>
      <c r="CZ576" s="34"/>
      <c r="DA576" s="34"/>
      <c r="DB576" s="33"/>
      <c r="DC576" s="33"/>
      <c r="DD576" s="33"/>
      <c r="DE576" s="33"/>
      <c r="DF576" s="33"/>
      <c r="DG576" s="33"/>
      <c r="DH576" s="34"/>
      <c r="DI576" s="34"/>
      <c r="DJ576" s="34"/>
      <c r="DK576" s="33"/>
      <c r="DL576" s="33"/>
      <c r="DM576" s="33"/>
      <c r="DN576" s="12">
        <v>4404041</v>
      </c>
      <c r="DS576" s="21"/>
      <c r="DT576" s="21"/>
      <c r="DU576" s="21"/>
    </row>
    <row r="577" spans="72:125" ht="13.5" customHeight="1">
      <c r="BT577" s="12">
        <v>4303041</v>
      </c>
      <c r="BU577" s="3">
        <f>[1]monsters!$N577</f>
        <v>107.52</v>
      </c>
      <c r="BV577" s="3">
        <f>[1]monsters!$O577</f>
        <v>10.75</v>
      </c>
      <c r="BW577" s="3">
        <f>[1]monsters!$P577</f>
        <v>1493.33</v>
      </c>
      <c r="BX577" s="3">
        <f>[1]monsters!$Q577</f>
        <v>149.33000000000001</v>
      </c>
      <c r="BY577" s="3">
        <f>[1]monsters!$R577</f>
        <v>21.5</v>
      </c>
      <c r="BZ577" s="3">
        <f>[1]monsters!$S577</f>
        <v>2.15</v>
      </c>
      <c r="CA577" s="3">
        <f>[1]monsters!$K577</f>
        <v>1.6</v>
      </c>
      <c r="CB577" s="12">
        <f>[1]monsters!$D577</f>
        <v>2</v>
      </c>
      <c r="CC577" s="12">
        <f t="shared" ca="1" si="52"/>
        <v>0.1</v>
      </c>
      <c r="CD577" s="12">
        <f t="shared" ca="1" si="53"/>
        <v>62.3835647586981</v>
      </c>
      <c r="CE577" s="12">
        <f t="shared" ca="1" si="54"/>
        <v>6.2383564758698098</v>
      </c>
      <c r="CS577" s="33"/>
      <c r="CT577" s="33"/>
      <c r="CU577" s="33"/>
      <c r="CV577" s="32"/>
      <c r="CW577" s="32"/>
      <c r="CX577" s="32"/>
      <c r="CY577" s="34"/>
      <c r="CZ577" s="34"/>
      <c r="DA577" s="34"/>
      <c r="DB577" s="33"/>
      <c r="DC577" s="33"/>
      <c r="DD577" s="33"/>
      <c r="DE577" s="33"/>
      <c r="DF577" s="33"/>
      <c r="DG577" s="33"/>
      <c r="DH577" s="34"/>
      <c r="DI577" s="34"/>
      <c r="DJ577" s="34"/>
      <c r="DK577" s="33"/>
      <c r="DL577" s="33"/>
      <c r="DM577" s="33"/>
      <c r="DN577" s="12">
        <v>4303041</v>
      </c>
      <c r="DS577" s="21"/>
      <c r="DT577" s="21"/>
      <c r="DU577" s="21"/>
    </row>
    <row r="578" spans="72:125" ht="13.5" customHeight="1">
      <c r="BT578" s="12">
        <v>4304041</v>
      </c>
      <c r="BU578" s="3">
        <f>[1]monsters!$N578</f>
        <v>135.88999999999999</v>
      </c>
      <c r="BV578" s="3">
        <f>[1]monsters!$O578</f>
        <v>13.59</v>
      </c>
      <c r="BW578" s="3">
        <f>[1]monsters!$P578</f>
        <v>1033.8499999999999</v>
      </c>
      <c r="BX578" s="3">
        <f>[1]monsters!$Q578</f>
        <v>103.38</v>
      </c>
      <c r="BY578" s="3">
        <f>[1]monsters!$R578</f>
        <v>13.59</v>
      </c>
      <c r="BZ578" s="3">
        <f>[1]monsters!$S578</f>
        <v>1.36</v>
      </c>
      <c r="CA578" s="3">
        <f>[1]monsters!$K578</f>
        <v>1.4000000000000001</v>
      </c>
      <c r="CB578" s="12">
        <f>[1]monsters!$D578</f>
        <v>4</v>
      </c>
      <c r="CC578" s="12">
        <f t="shared" ca="1" si="52"/>
        <v>0.1</v>
      </c>
      <c r="CD578" s="12">
        <f t="shared" ca="1" si="53"/>
        <v>64.764964758698099</v>
      </c>
      <c r="CE578" s="12">
        <f t="shared" ca="1" si="54"/>
        <v>6.4764964758698103</v>
      </c>
      <c r="CS578" s="33"/>
      <c r="CT578" s="33"/>
      <c r="CU578" s="33"/>
      <c r="CV578" s="32"/>
      <c r="CW578" s="32"/>
      <c r="CX578" s="32"/>
      <c r="CY578" s="34"/>
      <c r="CZ578" s="34"/>
      <c r="DA578" s="34"/>
      <c r="DB578" s="33"/>
      <c r="DC578" s="33"/>
      <c r="DD578" s="33"/>
      <c r="DE578" s="33"/>
      <c r="DF578" s="33"/>
      <c r="DG578" s="33"/>
      <c r="DH578" s="34"/>
      <c r="DI578" s="34"/>
      <c r="DJ578" s="34"/>
      <c r="DK578" s="33"/>
      <c r="DL578" s="33"/>
      <c r="DM578" s="33"/>
      <c r="DN578" s="12">
        <v>4304041</v>
      </c>
      <c r="DS578" s="21"/>
      <c r="DT578" s="21"/>
      <c r="DU578" s="21"/>
    </row>
    <row r="579" spans="72:125" ht="13.5" customHeight="1">
      <c r="BT579" s="12">
        <v>4503041</v>
      </c>
      <c r="BU579" s="3">
        <f>[1]monsters!$N579</f>
        <v>94.08</v>
      </c>
      <c r="BV579" s="3">
        <f>[1]monsters!$O579</f>
        <v>9.41</v>
      </c>
      <c r="BW579" s="3">
        <f>[1]monsters!$P579</f>
        <v>1493.33</v>
      </c>
      <c r="BX579" s="3">
        <f>[1]monsters!$Q579</f>
        <v>149.33000000000001</v>
      </c>
      <c r="BY579" s="3">
        <f>[1]monsters!$R579</f>
        <v>18.82</v>
      </c>
      <c r="BZ579" s="3">
        <f>[1]monsters!$S579</f>
        <v>1.88</v>
      </c>
      <c r="CA579" s="3">
        <f>[1]monsters!$K579</f>
        <v>1.4000000000000001</v>
      </c>
      <c r="CB579" s="12">
        <f>[1]monsters!$D579</f>
        <v>2</v>
      </c>
      <c r="CC579" s="12">
        <f t="shared" ca="1" si="52"/>
        <v>0.1</v>
      </c>
      <c r="CD579" s="12">
        <f t="shared" ca="1" si="53"/>
        <v>74.372223569023603</v>
      </c>
      <c r="CE579" s="12">
        <f t="shared" ca="1" si="54"/>
        <v>7.4372223569023603</v>
      </c>
      <c r="CS579" s="33"/>
      <c r="CT579" s="33"/>
      <c r="CU579" s="33"/>
      <c r="CV579" s="32"/>
      <c r="CW579" s="32"/>
      <c r="CX579" s="32"/>
      <c r="CY579" s="34"/>
      <c r="CZ579" s="34"/>
      <c r="DA579" s="34"/>
      <c r="DB579" s="33"/>
      <c r="DC579" s="33"/>
      <c r="DD579" s="33"/>
      <c r="DE579" s="33"/>
      <c r="DF579" s="33"/>
      <c r="DG579" s="33"/>
      <c r="DH579" s="34"/>
      <c r="DI579" s="34"/>
      <c r="DJ579" s="34"/>
      <c r="DK579" s="33"/>
      <c r="DL579" s="33"/>
      <c r="DM579" s="33"/>
      <c r="DN579" s="12">
        <v>4503041</v>
      </c>
      <c r="DS579" s="21"/>
      <c r="DT579" s="21"/>
      <c r="DU579" s="21"/>
    </row>
    <row r="580" spans="72:125" ht="13.5" customHeight="1">
      <c r="BT580" s="12">
        <v>4504041</v>
      </c>
      <c r="BU580" s="3">
        <f>[1]monsters!$N580</f>
        <v>155.31</v>
      </c>
      <c r="BV580" s="3">
        <f>[1]monsters!$O580</f>
        <v>15.53</v>
      </c>
      <c r="BW580" s="3">
        <f>[1]monsters!$P580</f>
        <v>1033.8499999999999</v>
      </c>
      <c r="BX580" s="3">
        <f>[1]monsters!$Q580</f>
        <v>103.38</v>
      </c>
      <c r="BY580" s="3">
        <f>[1]monsters!$R580</f>
        <v>15.53</v>
      </c>
      <c r="BZ580" s="3">
        <f>[1]monsters!$S580</f>
        <v>1.55</v>
      </c>
      <c r="CA580" s="3">
        <f>[1]monsters!$K580</f>
        <v>1.6</v>
      </c>
      <c r="CB580" s="12">
        <f>[1]monsters!$D580</f>
        <v>4</v>
      </c>
      <c r="CC580" s="12">
        <f t="shared" ref="CC580:CC643" ca="1" si="55">INDEX($CK$5:$CK$10,MATCH($CC580,$CJ$5:$CJ$10))</f>
        <v>0.1</v>
      </c>
      <c r="CD580" s="12">
        <f t="shared" ca="1" si="53"/>
        <v>80.722623569023597</v>
      </c>
      <c r="CE580" s="12">
        <f t="shared" ca="1" si="54"/>
        <v>8.0722623569023604</v>
      </c>
      <c r="CS580" s="33"/>
      <c r="CT580" s="33"/>
      <c r="CU580" s="33"/>
      <c r="CV580" s="32"/>
      <c r="CW580" s="32"/>
      <c r="CX580" s="32"/>
      <c r="CY580" s="34"/>
      <c r="CZ580" s="34"/>
      <c r="DA580" s="34"/>
      <c r="DB580" s="33"/>
      <c r="DC580" s="33"/>
      <c r="DD580" s="33"/>
      <c r="DE580" s="33"/>
      <c r="DF580" s="33"/>
      <c r="DG580" s="33"/>
      <c r="DH580" s="34"/>
      <c r="DI580" s="34"/>
      <c r="DJ580" s="34"/>
      <c r="DK580" s="33"/>
      <c r="DL580" s="33"/>
      <c r="DM580" s="33"/>
      <c r="DN580" s="12">
        <v>4504041</v>
      </c>
      <c r="DS580" s="21"/>
      <c r="DT580" s="21"/>
      <c r="DU580" s="21"/>
    </row>
    <row r="581" spans="72:125" ht="13.5" customHeight="1">
      <c r="BT581" s="12">
        <v>4101041</v>
      </c>
      <c r="BU581" s="3">
        <f>[1]monsters!$N581</f>
        <v>143.36000000000001</v>
      </c>
      <c r="BV581" s="3">
        <f>[1]monsters!$O581</f>
        <v>14.34</v>
      </c>
      <c r="BW581" s="3">
        <f>[1]monsters!$P581</f>
        <v>1120</v>
      </c>
      <c r="BX581" s="3">
        <f>[1]monsters!$Q581</f>
        <v>112</v>
      </c>
      <c r="BY581" s="3">
        <f>[1]monsters!$R581</f>
        <v>23.89</v>
      </c>
      <c r="BZ581" s="3">
        <f>[1]monsters!$S581</f>
        <v>2.39</v>
      </c>
      <c r="CA581" s="3">
        <f>[1]monsters!$K581</f>
        <v>1.6</v>
      </c>
      <c r="CB581" s="12">
        <f>[1]monsters!$D581</f>
        <v>5</v>
      </c>
      <c r="CC581" s="12">
        <f t="shared" ca="1" si="55"/>
        <v>0.1</v>
      </c>
      <c r="CD581" s="12">
        <f t="shared" ref="CD581:CD644" ca="1" si="56">(BW581/33/(1-CC581)/(1-0)+BU581*(1+0.5*0.1)*0.9)</f>
        <v>70.618828282828304</v>
      </c>
      <c r="CE581" s="12">
        <f t="shared" ref="CE581:CE644" ca="1" si="57">(BW581/33/(1-CC581)/(1-0)+BU581*(1+0.5*0.1)*0.9)*0.1</f>
        <v>7.0618828282828296</v>
      </c>
      <c r="CS581" s="33"/>
      <c r="CT581" s="33"/>
      <c r="CU581" s="33"/>
      <c r="CV581" s="32"/>
      <c r="CW581" s="32"/>
      <c r="CX581" s="32"/>
      <c r="CY581" s="34"/>
      <c r="CZ581" s="34"/>
      <c r="DA581" s="34"/>
      <c r="DB581" s="33"/>
      <c r="DC581" s="33"/>
      <c r="DD581" s="33"/>
      <c r="DE581" s="33"/>
      <c r="DF581" s="33"/>
      <c r="DG581" s="33"/>
      <c r="DH581" s="34"/>
      <c r="DI581" s="34"/>
      <c r="DJ581" s="34"/>
      <c r="DK581" s="33"/>
      <c r="DL581" s="33"/>
      <c r="DM581" s="33"/>
      <c r="DN581" s="12">
        <v>4101041</v>
      </c>
      <c r="DS581" s="21"/>
      <c r="DT581" s="21"/>
      <c r="DU581" s="21"/>
    </row>
    <row r="582" spans="72:125" ht="13.5" customHeight="1">
      <c r="BT582" s="12">
        <v>4102041</v>
      </c>
      <c r="BU582" s="3">
        <f>[1]monsters!$N582</f>
        <v>120.21</v>
      </c>
      <c r="BV582" s="3">
        <f>[1]monsters!$O582</f>
        <v>12.02</v>
      </c>
      <c r="BW582" s="3">
        <f>[1]monsters!$P582</f>
        <v>1168.7</v>
      </c>
      <c r="BX582" s="3">
        <f>[1]monsters!$Q582</f>
        <v>116.87</v>
      </c>
      <c r="BY582" s="3">
        <f>[1]monsters!$R582</f>
        <v>15.03</v>
      </c>
      <c r="BZ582" s="3">
        <f>[1]monsters!$S582</f>
        <v>1.5</v>
      </c>
      <c r="CA582" s="3">
        <f>[1]monsters!$K582</f>
        <v>1.4000000000000001</v>
      </c>
      <c r="CB582" s="12">
        <f>[1]monsters!$D582</f>
        <v>3</v>
      </c>
      <c r="CC582" s="12">
        <f t="shared" ca="1" si="55"/>
        <v>0.1</v>
      </c>
      <c r="CD582" s="12">
        <f t="shared" ca="1" si="56"/>
        <v>65.326828282828302</v>
      </c>
      <c r="CE582" s="12">
        <f t="shared" ca="1" si="57"/>
        <v>6.5326828282828302</v>
      </c>
      <c r="CS582" s="33"/>
      <c r="CT582" s="33"/>
      <c r="CU582" s="33"/>
      <c r="CV582" s="32"/>
      <c r="CW582" s="32"/>
      <c r="CX582" s="32"/>
      <c r="CY582" s="34"/>
      <c r="CZ582" s="34"/>
      <c r="DA582" s="34"/>
      <c r="DB582" s="33"/>
      <c r="DC582" s="33"/>
      <c r="DD582" s="33"/>
      <c r="DE582" s="33"/>
      <c r="DF582" s="33"/>
      <c r="DG582" s="33"/>
      <c r="DH582" s="34"/>
      <c r="DI582" s="34"/>
      <c r="DJ582" s="34"/>
      <c r="DK582" s="33"/>
      <c r="DL582" s="33"/>
      <c r="DM582" s="33"/>
      <c r="DN582" s="12">
        <v>4102041</v>
      </c>
      <c r="DS582" s="21"/>
      <c r="DT582" s="21"/>
      <c r="DU582" s="21"/>
    </row>
    <row r="583" spans="72:125" ht="13.5" customHeight="1">
      <c r="BT583" s="12">
        <v>4206042</v>
      </c>
      <c r="BU583" s="3">
        <f>[1]monsters!$N583</f>
        <v>87.36</v>
      </c>
      <c r="BV583" s="3">
        <f>[1]monsters!$O583</f>
        <v>8.74</v>
      </c>
      <c r="BW583" s="3">
        <f>[1]monsters!$P583</f>
        <v>1493.33</v>
      </c>
      <c r="BX583" s="3">
        <f>[1]monsters!$Q583</f>
        <v>149.33000000000001</v>
      </c>
      <c r="BY583" s="3">
        <f>[1]monsters!$R583</f>
        <v>17.47</v>
      </c>
      <c r="BZ583" s="3">
        <f>[1]monsters!$S583</f>
        <v>1.75</v>
      </c>
      <c r="CA583" s="3">
        <f>[1]monsters!$K583</f>
        <v>1.3</v>
      </c>
      <c r="CB583" s="12">
        <f>[1]monsters!$D583</f>
        <v>2</v>
      </c>
      <c r="CC583" s="12">
        <f t="shared" ca="1" si="55"/>
        <v>0.1</v>
      </c>
      <c r="CD583" s="12">
        <f t="shared" ca="1" si="56"/>
        <v>71.339135353535397</v>
      </c>
      <c r="CE583" s="12">
        <f t="shared" ca="1" si="57"/>
        <v>7.1339135353535399</v>
      </c>
      <c r="CS583" s="33"/>
      <c r="CT583" s="33"/>
      <c r="CU583" s="33"/>
      <c r="CV583" s="32"/>
      <c r="CW583" s="32"/>
      <c r="CX583" s="32"/>
      <c r="CY583" s="34"/>
      <c r="CZ583" s="34"/>
      <c r="DA583" s="34"/>
      <c r="DB583" s="33"/>
      <c r="DC583" s="33"/>
      <c r="DD583" s="33"/>
      <c r="DE583" s="33"/>
      <c r="DF583" s="33"/>
      <c r="DG583" s="33"/>
      <c r="DH583" s="34"/>
      <c r="DI583" s="34"/>
      <c r="DJ583" s="34"/>
      <c r="DK583" s="33"/>
      <c r="DL583" s="33"/>
      <c r="DM583" s="33"/>
      <c r="DN583" s="12">
        <v>4206042</v>
      </c>
      <c r="DS583" s="21"/>
      <c r="DT583" s="21"/>
      <c r="DU583" s="21"/>
    </row>
    <row r="584" spans="72:125" ht="13.5" customHeight="1">
      <c r="BT584" s="12">
        <v>4406042</v>
      </c>
      <c r="BU584" s="3">
        <f>[1]monsters!$N584</f>
        <v>116.48</v>
      </c>
      <c r="BV584" s="3">
        <f>[1]monsters!$O584</f>
        <v>11.65</v>
      </c>
      <c r="BW584" s="3">
        <f>[1]monsters!$P584</f>
        <v>1120</v>
      </c>
      <c r="BX584" s="3">
        <f>[1]monsters!$Q584</f>
        <v>112</v>
      </c>
      <c r="BY584" s="3">
        <f>[1]monsters!$R584</f>
        <v>11.65</v>
      </c>
      <c r="BZ584" s="3">
        <f>[1]monsters!$S584</f>
        <v>1.1599999999999999</v>
      </c>
      <c r="CA584" s="3">
        <f>[1]monsters!$K584</f>
        <v>1.3</v>
      </c>
      <c r="CB584" s="12">
        <f>[1]monsters!$D584</f>
        <v>4</v>
      </c>
      <c r="CC584" s="12">
        <f t="shared" ca="1" si="55"/>
        <v>0.1</v>
      </c>
      <c r="CD584" s="12">
        <f t="shared" ca="1" si="56"/>
        <v>66.460062075298495</v>
      </c>
      <c r="CE584" s="12">
        <f t="shared" ca="1" si="57"/>
        <v>6.6460062075298501</v>
      </c>
      <c r="CS584" s="33"/>
      <c r="CT584" s="33"/>
      <c r="CU584" s="33"/>
      <c r="CV584" s="32"/>
      <c r="CW584" s="32"/>
      <c r="CX584" s="32"/>
      <c r="CY584" s="34"/>
      <c r="CZ584" s="34"/>
      <c r="DA584" s="34"/>
      <c r="DB584" s="33"/>
      <c r="DC584" s="33"/>
      <c r="DD584" s="33"/>
      <c r="DE584" s="33"/>
      <c r="DF584" s="33"/>
      <c r="DG584" s="33"/>
      <c r="DH584" s="34"/>
      <c r="DI584" s="34"/>
      <c r="DJ584" s="34"/>
      <c r="DK584" s="33"/>
      <c r="DL584" s="33"/>
      <c r="DM584" s="33"/>
      <c r="DN584" s="12">
        <v>4406042</v>
      </c>
      <c r="DS584" s="21"/>
      <c r="DT584" s="21"/>
      <c r="DU584" s="21"/>
    </row>
    <row r="585" spans="72:125" ht="13.5" customHeight="1">
      <c r="BT585" s="12">
        <v>4205042</v>
      </c>
      <c r="BU585" s="3">
        <f>[1]monsters!$N585</f>
        <v>120.96</v>
      </c>
      <c r="BV585" s="3">
        <f>[1]monsters!$O585</f>
        <v>12.1</v>
      </c>
      <c r="BW585" s="3">
        <f>[1]monsters!$P585</f>
        <v>1493.33</v>
      </c>
      <c r="BX585" s="3">
        <f>[1]monsters!$Q585</f>
        <v>149.33000000000001</v>
      </c>
      <c r="BY585" s="3">
        <f>[1]monsters!$R585</f>
        <v>24.19</v>
      </c>
      <c r="BZ585" s="3">
        <f>[1]monsters!$S585</f>
        <v>2.42</v>
      </c>
      <c r="CA585" s="3">
        <f>[1]monsters!$K585</f>
        <v>1.8</v>
      </c>
      <c r="CB585" s="12">
        <f>[1]monsters!$D585</f>
        <v>2</v>
      </c>
      <c r="CC585" s="12">
        <f t="shared" ca="1" si="55"/>
        <v>0.1</v>
      </c>
      <c r="CD585" s="12">
        <f t="shared" ca="1" si="56"/>
        <v>77.689535353535305</v>
      </c>
      <c r="CE585" s="12">
        <f t="shared" ca="1" si="57"/>
        <v>7.7689535353535399</v>
      </c>
      <c r="CS585" s="33"/>
      <c r="CT585" s="33"/>
      <c r="CU585" s="33"/>
      <c r="CV585" s="32"/>
      <c r="CW585" s="32"/>
      <c r="CX585" s="32"/>
      <c r="CY585" s="34"/>
      <c r="CZ585" s="34"/>
      <c r="DA585" s="34"/>
      <c r="DB585" s="33"/>
      <c r="DC585" s="33"/>
      <c r="DD585" s="33"/>
      <c r="DE585" s="33"/>
      <c r="DF585" s="33"/>
      <c r="DG585" s="33"/>
      <c r="DH585" s="34"/>
      <c r="DI585" s="34"/>
      <c r="DJ585" s="34"/>
      <c r="DK585" s="33"/>
      <c r="DL585" s="33"/>
      <c r="DM585" s="33"/>
      <c r="DN585" s="12">
        <v>4205042</v>
      </c>
      <c r="DS585" s="21"/>
      <c r="DT585" s="21"/>
      <c r="DU585" s="21"/>
    </row>
    <row r="586" spans="72:125" ht="13.5" customHeight="1">
      <c r="BT586" s="12">
        <v>4405042</v>
      </c>
      <c r="BU586" s="3">
        <f>[1]monsters!$N586</f>
        <v>140</v>
      </c>
      <c r="BV586" s="3">
        <f>[1]monsters!$O586</f>
        <v>14</v>
      </c>
      <c r="BW586" s="3">
        <f>[1]monsters!$P586</f>
        <v>1075.2</v>
      </c>
      <c r="BX586" s="3">
        <f>[1]monsters!$Q586</f>
        <v>107.52</v>
      </c>
      <c r="BY586" s="3">
        <f>[1]monsters!$R586</f>
        <v>14</v>
      </c>
      <c r="BZ586" s="3">
        <f>[1]monsters!$S586</f>
        <v>1.4</v>
      </c>
      <c r="CA586" s="3">
        <f>[1]monsters!$K586</f>
        <v>1.5</v>
      </c>
      <c r="CB586" s="12">
        <f>[1]monsters!$D586</f>
        <v>4</v>
      </c>
      <c r="CC586" s="12">
        <f t="shared" ca="1" si="55"/>
        <v>0.1</v>
      </c>
      <c r="CD586" s="12">
        <f t="shared" ca="1" si="56"/>
        <v>69.370662075298497</v>
      </c>
      <c r="CE586" s="12">
        <f t="shared" ca="1" si="57"/>
        <v>6.9370662075298499</v>
      </c>
      <c r="CS586" s="33"/>
      <c r="CT586" s="33"/>
      <c r="CU586" s="33"/>
      <c r="CV586" s="32"/>
      <c r="CW586" s="32"/>
      <c r="CX586" s="32"/>
      <c r="CY586" s="34"/>
      <c r="CZ586" s="34"/>
      <c r="DA586" s="34"/>
      <c r="DB586" s="33"/>
      <c r="DC586" s="33"/>
      <c r="DD586" s="33"/>
      <c r="DE586" s="33"/>
      <c r="DF586" s="33"/>
      <c r="DG586" s="33"/>
      <c r="DH586" s="34"/>
      <c r="DI586" s="34"/>
      <c r="DJ586" s="34"/>
      <c r="DK586" s="33"/>
      <c r="DL586" s="33"/>
      <c r="DM586" s="33"/>
      <c r="DN586" s="12">
        <v>4405042</v>
      </c>
      <c r="DS586" s="21"/>
      <c r="DT586" s="21"/>
      <c r="DU586" s="21"/>
    </row>
    <row r="587" spans="72:125" ht="13.5" customHeight="1">
      <c r="BT587" s="12">
        <v>4203042</v>
      </c>
      <c r="BU587" s="3">
        <f>[1]monsters!$N587</f>
        <v>106.77</v>
      </c>
      <c r="BV587" s="3">
        <f>[1]monsters!$O587</f>
        <v>10.68</v>
      </c>
      <c r="BW587" s="3">
        <f>[1]monsters!$P587</f>
        <v>1221.82</v>
      </c>
      <c r="BX587" s="3">
        <f>[1]monsters!$Q587</f>
        <v>122.18</v>
      </c>
      <c r="BY587" s="3">
        <f>[1]monsters!$R587</f>
        <v>13.35</v>
      </c>
      <c r="BZ587" s="3">
        <f>[1]monsters!$S587</f>
        <v>1.33</v>
      </c>
      <c r="CA587" s="3">
        <f>[1]monsters!$K587</f>
        <v>1.3</v>
      </c>
      <c r="CB587" s="12">
        <f>[1]monsters!$D587</f>
        <v>3</v>
      </c>
      <c r="CC587" s="12">
        <f t="shared" ca="1" si="55"/>
        <v>0.1</v>
      </c>
      <c r="CD587" s="12">
        <f t="shared" ca="1" si="56"/>
        <v>62.871935353535299</v>
      </c>
      <c r="CE587" s="12">
        <f t="shared" ca="1" si="57"/>
        <v>6.2871935353535404</v>
      </c>
      <c r="CS587" s="33"/>
      <c r="CT587" s="33"/>
      <c r="CU587" s="33"/>
      <c r="CV587" s="32"/>
      <c r="CW587" s="32"/>
      <c r="CX587" s="32"/>
      <c r="CY587" s="34"/>
      <c r="CZ587" s="34"/>
      <c r="DA587" s="34"/>
      <c r="DB587" s="33"/>
      <c r="DC587" s="33"/>
      <c r="DD587" s="33"/>
      <c r="DE587" s="33"/>
      <c r="DF587" s="33"/>
      <c r="DG587" s="33"/>
      <c r="DH587" s="34"/>
      <c r="DI587" s="34"/>
      <c r="DJ587" s="34"/>
      <c r="DK587" s="33"/>
      <c r="DL587" s="33"/>
      <c r="DM587" s="33"/>
      <c r="DN587" s="12">
        <v>4203042</v>
      </c>
      <c r="DS587" s="21"/>
      <c r="DT587" s="21"/>
      <c r="DU587" s="21"/>
    </row>
    <row r="588" spans="72:125" ht="13.5" customHeight="1">
      <c r="BT588" s="12">
        <v>4403042</v>
      </c>
      <c r="BU588" s="3">
        <f>[1]monsters!$N588</f>
        <v>147.84</v>
      </c>
      <c r="BV588" s="3">
        <f>[1]monsters!$O588</f>
        <v>14.78</v>
      </c>
      <c r="BW588" s="3">
        <f>[1]monsters!$P588</f>
        <v>1221.82</v>
      </c>
      <c r="BX588" s="3">
        <f>[1]monsters!$Q588</f>
        <v>122.18</v>
      </c>
      <c r="BY588" s="3">
        <f>[1]monsters!$R588</f>
        <v>24.64</v>
      </c>
      <c r="BZ588" s="3">
        <f>[1]monsters!$S588</f>
        <v>2.46</v>
      </c>
      <c r="CA588" s="3">
        <f>[1]monsters!$K588</f>
        <v>1.8</v>
      </c>
      <c r="CB588" s="12">
        <f>[1]monsters!$D588</f>
        <v>5</v>
      </c>
      <c r="CC588" s="12">
        <f t="shared" ca="1" si="55"/>
        <v>0.1</v>
      </c>
      <c r="CD588" s="12">
        <f t="shared" ca="1" si="56"/>
        <v>57.728262075298503</v>
      </c>
      <c r="CE588" s="12">
        <f t="shared" ca="1" si="57"/>
        <v>5.7728262075298504</v>
      </c>
      <c r="CS588" s="33"/>
      <c r="CT588" s="33"/>
      <c r="CU588" s="33"/>
      <c r="CV588" s="32"/>
      <c r="CW588" s="32"/>
      <c r="CX588" s="32"/>
      <c r="CY588" s="34"/>
      <c r="CZ588" s="34"/>
      <c r="DA588" s="34"/>
      <c r="DB588" s="33"/>
      <c r="DC588" s="33"/>
      <c r="DD588" s="33"/>
      <c r="DE588" s="33"/>
      <c r="DF588" s="33"/>
      <c r="DG588" s="33"/>
      <c r="DH588" s="34"/>
      <c r="DI588" s="34"/>
      <c r="DJ588" s="34"/>
      <c r="DK588" s="33"/>
      <c r="DL588" s="33"/>
      <c r="DM588" s="33"/>
      <c r="DN588" s="12">
        <v>4403042</v>
      </c>
      <c r="DS588" s="21"/>
      <c r="DT588" s="21"/>
      <c r="DU588" s="21"/>
    </row>
    <row r="589" spans="72:125" ht="13.5" customHeight="1">
      <c r="BT589" s="12">
        <v>4204042</v>
      </c>
      <c r="BU589" s="3">
        <f>[1]monsters!$N589</f>
        <v>107.52</v>
      </c>
      <c r="BV589" s="3">
        <f>[1]monsters!$O589</f>
        <v>10.75</v>
      </c>
      <c r="BW589" s="3">
        <f>[1]monsters!$P589</f>
        <v>1493.33</v>
      </c>
      <c r="BX589" s="3">
        <f>[1]monsters!$Q589</f>
        <v>149.33000000000001</v>
      </c>
      <c r="BY589" s="3">
        <f>[1]monsters!$R589</f>
        <v>21.5</v>
      </c>
      <c r="BZ589" s="3">
        <f>[1]monsters!$S589</f>
        <v>2.15</v>
      </c>
      <c r="CA589" s="3">
        <f>[1]monsters!$K589</f>
        <v>1.6</v>
      </c>
      <c r="CB589" s="12">
        <f>[1]monsters!$D589</f>
        <v>2</v>
      </c>
      <c r="CC589" s="12">
        <f t="shared" ca="1" si="55"/>
        <v>0.1</v>
      </c>
      <c r="CD589" s="12">
        <f t="shared" ca="1" si="56"/>
        <v>64.988735353535304</v>
      </c>
      <c r="CE589" s="12">
        <f t="shared" ca="1" si="57"/>
        <v>6.4988735353535398</v>
      </c>
      <c r="CS589" s="33"/>
      <c r="CT589" s="33"/>
      <c r="CU589" s="33"/>
      <c r="CV589" s="32"/>
      <c r="CW589" s="32"/>
      <c r="CX589" s="32"/>
      <c r="CY589" s="34"/>
      <c r="CZ589" s="34"/>
      <c r="DA589" s="34"/>
      <c r="DB589" s="33"/>
      <c r="DC589" s="33"/>
      <c r="DD589" s="33"/>
      <c r="DE589" s="33"/>
      <c r="DF589" s="33"/>
      <c r="DG589" s="33"/>
      <c r="DH589" s="34"/>
      <c r="DI589" s="34"/>
      <c r="DJ589" s="34"/>
      <c r="DK589" s="33"/>
      <c r="DL589" s="33"/>
      <c r="DM589" s="33"/>
      <c r="DN589" s="12">
        <v>4204042</v>
      </c>
      <c r="DS589" s="21"/>
      <c r="DT589" s="21"/>
      <c r="DU589" s="21"/>
    </row>
    <row r="590" spans="72:125" ht="13.5" customHeight="1">
      <c r="BT590" s="12">
        <v>4404042</v>
      </c>
      <c r="BU590" s="3">
        <f>[1]monsters!$N590</f>
        <v>135.88999999999999</v>
      </c>
      <c r="BV590" s="3">
        <f>[1]monsters!$O590</f>
        <v>13.59</v>
      </c>
      <c r="BW590" s="3">
        <f>[1]monsters!$P590</f>
        <v>1033.8499999999999</v>
      </c>
      <c r="BX590" s="3">
        <f>[1]monsters!$Q590</f>
        <v>103.38</v>
      </c>
      <c r="BY590" s="3">
        <f>[1]monsters!$R590</f>
        <v>13.59</v>
      </c>
      <c r="BZ590" s="3">
        <f>[1]monsters!$S590</f>
        <v>1.36</v>
      </c>
      <c r="CA590" s="3">
        <f>[1]monsters!$K590</f>
        <v>1.4000000000000001</v>
      </c>
      <c r="CB590" s="12">
        <f>[1]monsters!$D590</f>
        <v>4</v>
      </c>
      <c r="CC590" s="12">
        <f t="shared" ca="1" si="55"/>
        <v>0.1</v>
      </c>
      <c r="CD590" s="12">
        <f t="shared" ca="1" si="56"/>
        <v>69.370662075298497</v>
      </c>
      <c r="CE590" s="12">
        <f t="shared" ca="1" si="57"/>
        <v>6.9370662075298499</v>
      </c>
      <c r="CS590" s="33"/>
      <c r="CT590" s="33"/>
      <c r="CU590" s="33"/>
      <c r="CV590" s="32"/>
      <c r="CW590" s="32"/>
      <c r="CX590" s="32"/>
      <c r="CY590" s="34"/>
      <c r="CZ590" s="34"/>
      <c r="DA590" s="34"/>
      <c r="DB590" s="33"/>
      <c r="DC590" s="33"/>
      <c r="DD590" s="33"/>
      <c r="DE590" s="33"/>
      <c r="DF590" s="33"/>
      <c r="DG590" s="33"/>
      <c r="DH590" s="34"/>
      <c r="DI590" s="34"/>
      <c r="DJ590" s="34"/>
      <c r="DK590" s="33"/>
      <c r="DL590" s="33"/>
      <c r="DM590" s="33"/>
      <c r="DN590" s="12">
        <v>4404042</v>
      </c>
      <c r="DS590" s="21"/>
      <c r="DT590" s="21"/>
      <c r="DU590" s="21"/>
    </row>
    <row r="591" spans="72:125" ht="13.5" customHeight="1">
      <c r="BT591" s="12">
        <v>4303042</v>
      </c>
      <c r="BU591" s="3">
        <f>[1]monsters!$N591</f>
        <v>94.08</v>
      </c>
      <c r="BV591" s="3">
        <f>[1]monsters!$O591</f>
        <v>9.41</v>
      </c>
      <c r="BW591" s="3">
        <f>[1]monsters!$P591</f>
        <v>1493.33</v>
      </c>
      <c r="BX591" s="3">
        <f>[1]monsters!$Q591</f>
        <v>149.33000000000001</v>
      </c>
      <c r="BY591" s="3">
        <f>[1]monsters!$R591</f>
        <v>18.82</v>
      </c>
      <c r="BZ591" s="3">
        <f>[1]monsters!$S591</f>
        <v>1.88</v>
      </c>
      <c r="CA591" s="3">
        <f>[1]monsters!$K591</f>
        <v>1.4000000000000001</v>
      </c>
      <c r="CB591" s="12">
        <f>[1]monsters!$D591</f>
        <v>2</v>
      </c>
      <c r="CC591" s="12">
        <f t="shared" ca="1" si="55"/>
        <v>0.1</v>
      </c>
      <c r="CD591" s="12">
        <f t="shared" ca="1" si="56"/>
        <v>62.3835647586981</v>
      </c>
      <c r="CE591" s="12">
        <f t="shared" ca="1" si="57"/>
        <v>6.2383564758698098</v>
      </c>
      <c r="CS591" s="33"/>
      <c r="CT591" s="33"/>
      <c r="CU591" s="33"/>
      <c r="CV591" s="32"/>
      <c r="CW591" s="32"/>
      <c r="CX591" s="32"/>
      <c r="CY591" s="34"/>
      <c r="CZ591" s="34"/>
      <c r="DA591" s="34"/>
      <c r="DB591" s="33"/>
      <c r="DC591" s="33"/>
      <c r="DD591" s="33"/>
      <c r="DE591" s="33"/>
      <c r="DF591" s="33"/>
      <c r="DG591" s="33"/>
      <c r="DH591" s="34"/>
      <c r="DI591" s="34"/>
      <c r="DJ591" s="34"/>
      <c r="DK591" s="33"/>
      <c r="DL591" s="33"/>
      <c r="DM591" s="33"/>
      <c r="DN591" s="12">
        <v>4303042</v>
      </c>
      <c r="DS591" s="21"/>
      <c r="DT591" s="21"/>
      <c r="DU591" s="21"/>
    </row>
    <row r="592" spans="72:125" ht="13.5" customHeight="1">
      <c r="BT592" s="12">
        <v>4304042</v>
      </c>
      <c r="BU592" s="3">
        <f>[1]monsters!$N592</f>
        <v>155.31</v>
      </c>
      <c r="BV592" s="3">
        <f>[1]monsters!$O592</f>
        <v>15.53</v>
      </c>
      <c r="BW592" s="3">
        <f>[1]monsters!$P592</f>
        <v>1033.8499999999999</v>
      </c>
      <c r="BX592" s="3">
        <f>[1]monsters!$Q592</f>
        <v>103.38</v>
      </c>
      <c r="BY592" s="3">
        <f>[1]monsters!$R592</f>
        <v>15.53</v>
      </c>
      <c r="BZ592" s="3">
        <f>[1]monsters!$S592</f>
        <v>1.55</v>
      </c>
      <c r="CA592" s="3">
        <f>[1]monsters!$K592</f>
        <v>1.6</v>
      </c>
      <c r="CB592" s="12">
        <f>[1]monsters!$D592</f>
        <v>4</v>
      </c>
      <c r="CC592" s="12">
        <f t="shared" ca="1" si="55"/>
        <v>0.1</v>
      </c>
      <c r="CD592" s="12">
        <f t="shared" ca="1" si="56"/>
        <v>64.764964758698099</v>
      </c>
      <c r="CE592" s="12">
        <f t="shared" ca="1" si="57"/>
        <v>6.4764964758698103</v>
      </c>
      <c r="CS592" s="33"/>
      <c r="CT592" s="33"/>
      <c r="CU592" s="33"/>
      <c r="CV592" s="32"/>
      <c r="CW592" s="32"/>
      <c r="CX592" s="32"/>
      <c r="CY592" s="34"/>
      <c r="CZ592" s="34"/>
      <c r="DA592" s="34"/>
      <c r="DB592" s="33"/>
      <c r="DC592" s="33"/>
      <c r="DD592" s="33"/>
      <c r="DE592" s="33"/>
      <c r="DF592" s="33"/>
      <c r="DG592" s="33"/>
      <c r="DH592" s="34"/>
      <c r="DI592" s="34"/>
      <c r="DJ592" s="34"/>
      <c r="DK592" s="33"/>
      <c r="DL592" s="33"/>
      <c r="DM592" s="33"/>
      <c r="DN592" s="12">
        <v>4304042</v>
      </c>
      <c r="DS592" s="21"/>
      <c r="DT592" s="21"/>
      <c r="DU592" s="21"/>
    </row>
    <row r="593" spans="72:125" ht="13.5" customHeight="1">
      <c r="BT593" s="12">
        <v>4503042</v>
      </c>
      <c r="BU593" s="3">
        <f>[1]monsters!$N593</f>
        <v>143.36000000000001</v>
      </c>
      <c r="BV593" s="3">
        <f>[1]monsters!$O593</f>
        <v>14.34</v>
      </c>
      <c r="BW593" s="3">
        <f>[1]monsters!$P593</f>
        <v>1120</v>
      </c>
      <c r="BX593" s="3">
        <f>[1]monsters!$Q593</f>
        <v>112</v>
      </c>
      <c r="BY593" s="3">
        <f>[1]monsters!$R593</f>
        <v>23.89</v>
      </c>
      <c r="BZ593" s="3">
        <f>[1]monsters!$S593</f>
        <v>2.39</v>
      </c>
      <c r="CA593" s="3">
        <f>[1]monsters!$K593</f>
        <v>1.6</v>
      </c>
      <c r="CB593" s="12">
        <f>[1]monsters!$D593</f>
        <v>5</v>
      </c>
      <c r="CC593" s="12">
        <f t="shared" ca="1" si="55"/>
        <v>0.1</v>
      </c>
      <c r="CD593" s="12">
        <f t="shared" ca="1" si="56"/>
        <v>74.372223569023603</v>
      </c>
      <c r="CE593" s="12">
        <f t="shared" ca="1" si="57"/>
        <v>7.4372223569023603</v>
      </c>
      <c r="CS593" s="33"/>
      <c r="CT593" s="33"/>
      <c r="CU593" s="33"/>
      <c r="CV593" s="32"/>
      <c r="CW593" s="32"/>
      <c r="CX593" s="32"/>
      <c r="CY593" s="34"/>
      <c r="CZ593" s="34"/>
      <c r="DA593" s="34"/>
      <c r="DB593" s="33"/>
      <c r="DC593" s="33"/>
      <c r="DD593" s="33"/>
      <c r="DE593" s="33"/>
      <c r="DF593" s="33"/>
      <c r="DG593" s="33"/>
      <c r="DH593" s="34"/>
      <c r="DI593" s="34"/>
      <c r="DJ593" s="34"/>
      <c r="DK593" s="33"/>
      <c r="DL593" s="33"/>
      <c r="DM593" s="33"/>
      <c r="DN593" s="12">
        <v>4503042</v>
      </c>
      <c r="DS593" s="21"/>
      <c r="DT593" s="21"/>
      <c r="DU593" s="21"/>
    </row>
    <row r="594" spans="72:125" ht="13.5" customHeight="1">
      <c r="BT594" s="12">
        <v>4504042</v>
      </c>
      <c r="BU594" s="3">
        <f>[1]monsters!$N594</f>
        <v>120.21</v>
      </c>
      <c r="BV594" s="3">
        <f>[1]monsters!$O594</f>
        <v>12.02</v>
      </c>
      <c r="BW594" s="3">
        <f>[1]monsters!$P594</f>
        <v>1168.7</v>
      </c>
      <c r="BX594" s="3">
        <f>[1]monsters!$Q594</f>
        <v>116.87</v>
      </c>
      <c r="BY594" s="3">
        <f>[1]monsters!$R594</f>
        <v>15.03</v>
      </c>
      <c r="BZ594" s="3">
        <f>[1]monsters!$S594</f>
        <v>1.5</v>
      </c>
      <c r="CA594" s="3">
        <f>[1]monsters!$K594</f>
        <v>1.4000000000000001</v>
      </c>
      <c r="CB594" s="12">
        <f>[1]monsters!$D594</f>
        <v>3</v>
      </c>
      <c r="CC594" s="12">
        <f t="shared" ca="1" si="55"/>
        <v>0.1</v>
      </c>
      <c r="CD594" s="12">
        <f t="shared" ca="1" si="56"/>
        <v>80.722623569023597</v>
      </c>
      <c r="CE594" s="12">
        <f t="shared" ca="1" si="57"/>
        <v>8.0722623569023604</v>
      </c>
      <c r="CS594" s="33"/>
      <c r="CT594" s="33"/>
      <c r="CU594" s="33"/>
      <c r="CV594" s="32"/>
      <c r="CW594" s="32"/>
      <c r="CX594" s="32"/>
      <c r="CY594" s="34"/>
      <c r="CZ594" s="34"/>
      <c r="DA594" s="34"/>
      <c r="DB594" s="33"/>
      <c r="DC594" s="33"/>
      <c r="DD594" s="33"/>
      <c r="DE594" s="33"/>
      <c r="DF594" s="33"/>
      <c r="DG594" s="33"/>
      <c r="DH594" s="34"/>
      <c r="DI594" s="34"/>
      <c r="DJ594" s="34"/>
      <c r="DK594" s="34"/>
      <c r="DL594" s="34"/>
      <c r="DM594" s="34"/>
      <c r="DN594" s="12">
        <v>4504042</v>
      </c>
      <c r="DS594" s="21"/>
      <c r="DT594" s="21"/>
      <c r="DU594" s="21"/>
    </row>
    <row r="595" spans="72:125" ht="13.5" customHeight="1">
      <c r="BT595" s="12">
        <v>4101042</v>
      </c>
      <c r="BU595" s="3">
        <f>[1]monsters!$N595</f>
        <v>87.36</v>
      </c>
      <c r="BV595" s="3">
        <f>[1]monsters!$O595</f>
        <v>8.74</v>
      </c>
      <c r="BW595" s="3">
        <f>[1]monsters!$P595</f>
        <v>1493.33</v>
      </c>
      <c r="BX595" s="3">
        <f>[1]monsters!$Q595</f>
        <v>149.33000000000001</v>
      </c>
      <c r="BY595" s="3">
        <f>[1]monsters!$R595</f>
        <v>17.47</v>
      </c>
      <c r="BZ595" s="3">
        <f>[1]monsters!$S595</f>
        <v>1.75</v>
      </c>
      <c r="CA595" s="3">
        <f>[1]monsters!$K595</f>
        <v>1.3</v>
      </c>
      <c r="CB595" s="12">
        <f>[1]monsters!$D595</f>
        <v>2</v>
      </c>
      <c r="CC595" s="12">
        <f t="shared" ca="1" si="55"/>
        <v>0.1</v>
      </c>
      <c r="CD595" s="12">
        <f t="shared" ca="1" si="56"/>
        <v>70.618828282828304</v>
      </c>
      <c r="CE595" s="12">
        <f t="shared" ca="1" si="57"/>
        <v>7.0618828282828296</v>
      </c>
      <c r="CS595" s="33"/>
      <c r="CT595" s="33"/>
      <c r="CU595" s="33"/>
      <c r="CV595" s="32"/>
      <c r="CW595" s="32"/>
      <c r="CX595" s="32"/>
      <c r="CY595" s="34"/>
      <c r="CZ595" s="34"/>
      <c r="DA595" s="34"/>
      <c r="DB595" s="33"/>
      <c r="DC595" s="33"/>
      <c r="DD595" s="33"/>
      <c r="DE595" s="33"/>
      <c r="DF595" s="33"/>
      <c r="DG595" s="33"/>
      <c r="DH595" s="34"/>
      <c r="DI595" s="34"/>
      <c r="DJ595" s="34"/>
      <c r="DK595" s="34"/>
      <c r="DL595" s="34"/>
      <c r="DM595" s="34"/>
      <c r="DN595" s="12">
        <v>4101042</v>
      </c>
      <c r="DS595" s="21"/>
      <c r="DT595" s="21"/>
      <c r="DU595" s="21"/>
    </row>
    <row r="596" spans="72:125" ht="13.5" customHeight="1">
      <c r="BT596" s="12">
        <v>4102042</v>
      </c>
      <c r="BU596" s="3">
        <f>[1]monsters!$N596</f>
        <v>116.48</v>
      </c>
      <c r="BV596" s="3">
        <f>[1]monsters!$O596</f>
        <v>11.65</v>
      </c>
      <c r="BW596" s="3">
        <f>[1]monsters!$P596</f>
        <v>1120</v>
      </c>
      <c r="BX596" s="3">
        <f>[1]monsters!$Q596</f>
        <v>112</v>
      </c>
      <c r="BY596" s="3">
        <f>[1]monsters!$R596</f>
        <v>11.65</v>
      </c>
      <c r="BZ596" s="3">
        <f>[1]monsters!$S596</f>
        <v>1.1599999999999999</v>
      </c>
      <c r="CA596" s="3">
        <f>[1]monsters!$K596</f>
        <v>1.3</v>
      </c>
      <c r="CB596" s="12">
        <f>[1]monsters!$D596</f>
        <v>4</v>
      </c>
      <c r="CC596" s="12">
        <f t="shared" ca="1" si="55"/>
        <v>0.1</v>
      </c>
      <c r="CD596" s="12">
        <f t="shared" ca="1" si="56"/>
        <v>65.326828282828302</v>
      </c>
      <c r="CE596" s="12">
        <f t="shared" ca="1" si="57"/>
        <v>6.5326828282828302</v>
      </c>
      <c r="CS596" s="33"/>
      <c r="CT596" s="33"/>
      <c r="CU596" s="33"/>
      <c r="CV596" s="32"/>
      <c r="CW596" s="32"/>
      <c r="CX596" s="32"/>
      <c r="CY596" s="34"/>
      <c r="CZ596" s="34"/>
      <c r="DA596" s="34"/>
      <c r="DB596" s="33"/>
      <c r="DC596" s="33"/>
      <c r="DD596" s="33"/>
      <c r="DE596" s="33"/>
      <c r="DF596" s="33"/>
      <c r="DG596" s="33"/>
      <c r="DH596" s="34"/>
      <c r="DI596" s="34"/>
      <c r="DJ596" s="34"/>
      <c r="DK596" s="34"/>
      <c r="DL596" s="34"/>
      <c r="DM596" s="34"/>
      <c r="DN596" s="12">
        <v>4102042</v>
      </c>
      <c r="DS596" s="21"/>
      <c r="DT596" s="21"/>
      <c r="DU596" s="21"/>
    </row>
    <row r="597" spans="72:125" ht="13.5" customHeight="1">
      <c r="BT597" s="12">
        <v>4206043</v>
      </c>
      <c r="BU597" s="3">
        <f>[1]monsters!$N597</f>
        <v>120.96</v>
      </c>
      <c r="BV597" s="3">
        <f>[1]monsters!$O597</f>
        <v>12.1</v>
      </c>
      <c r="BW597" s="3">
        <f>[1]monsters!$P597</f>
        <v>1493.33</v>
      </c>
      <c r="BX597" s="3">
        <f>[1]monsters!$Q597</f>
        <v>149.33000000000001</v>
      </c>
      <c r="BY597" s="3">
        <f>[1]monsters!$R597</f>
        <v>24.19</v>
      </c>
      <c r="BZ597" s="3">
        <f>[1]monsters!$S597</f>
        <v>2.42</v>
      </c>
      <c r="CA597" s="3">
        <f>[1]monsters!$K597</f>
        <v>1.8</v>
      </c>
      <c r="CB597" s="12">
        <f>[1]monsters!$D597</f>
        <v>2</v>
      </c>
      <c r="CC597" s="12">
        <f t="shared" ca="1" si="55"/>
        <v>0.1</v>
      </c>
      <c r="CD597" s="12">
        <f t="shared" ca="1" si="56"/>
        <v>71.339135353535397</v>
      </c>
      <c r="CE597" s="12">
        <f t="shared" ca="1" si="57"/>
        <v>7.1339135353535399</v>
      </c>
      <c r="CS597" s="33"/>
      <c r="CT597" s="33"/>
      <c r="CU597" s="33"/>
      <c r="CV597" s="32"/>
      <c r="CW597" s="32"/>
      <c r="CX597" s="32"/>
      <c r="CY597" s="34"/>
      <c r="CZ597" s="34"/>
      <c r="DA597" s="34"/>
      <c r="DB597" s="33"/>
      <c r="DC597" s="33"/>
      <c r="DD597" s="33"/>
      <c r="DE597" s="33"/>
      <c r="DF597" s="33"/>
      <c r="DG597" s="33"/>
      <c r="DH597" s="34"/>
      <c r="DI597" s="34"/>
      <c r="DJ597" s="34"/>
      <c r="DK597" s="34"/>
      <c r="DL597" s="34"/>
      <c r="DM597" s="34"/>
      <c r="DN597" s="12">
        <v>4206043</v>
      </c>
      <c r="DS597" s="21"/>
      <c r="DT597" s="21"/>
      <c r="DU597" s="21"/>
    </row>
    <row r="598" spans="72:125" ht="13.5" customHeight="1">
      <c r="BT598" s="12">
        <v>4406043</v>
      </c>
      <c r="BU598" s="3">
        <f>[1]monsters!$N598</f>
        <v>140</v>
      </c>
      <c r="BV598" s="3">
        <f>[1]monsters!$O598</f>
        <v>14</v>
      </c>
      <c r="BW598" s="3">
        <f>[1]monsters!$P598</f>
        <v>1075.2</v>
      </c>
      <c r="BX598" s="3">
        <f>[1]monsters!$Q598</f>
        <v>107.52</v>
      </c>
      <c r="BY598" s="3">
        <f>[1]monsters!$R598</f>
        <v>14</v>
      </c>
      <c r="BZ598" s="3">
        <f>[1]monsters!$S598</f>
        <v>1.4</v>
      </c>
      <c r="CA598" s="3">
        <f>[1]monsters!$K598</f>
        <v>1.5</v>
      </c>
      <c r="CB598" s="12">
        <f>[1]monsters!$D598</f>
        <v>4</v>
      </c>
      <c r="CC598" s="12">
        <f t="shared" ca="1" si="55"/>
        <v>0.1</v>
      </c>
      <c r="CD598" s="12">
        <f t="shared" ca="1" si="56"/>
        <v>66.460062075298495</v>
      </c>
      <c r="CE598" s="12">
        <f t="shared" ca="1" si="57"/>
        <v>6.6460062075298501</v>
      </c>
      <c r="CS598" s="33"/>
      <c r="CT598" s="33"/>
      <c r="CU598" s="33"/>
      <c r="CV598" s="32"/>
      <c r="CW598" s="32"/>
      <c r="CX598" s="32"/>
      <c r="CY598" s="34"/>
      <c r="CZ598" s="34"/>
      <c r="DA598" s="34"/>
      <c r="DB598" s="33"/>
      <c r="DC598" s="33"/>
      <c r="DD598" s="33"/>
      <c r="DE598" s="33"/>
      <c r="DF598" s="33"/>
      <c r="DG598" s="33"/>
      <c r="DH598" s="34"/>
      <c r="DI598" s="34"/>
      <c r="DJ598" s="34"/>
      <c r="DK598" s="34"/>
      <c r="DL598" s="34"/>
      <c r="DM598" s="34"/>
      <c r="DN598" s="12">
        <v>4406043</v>
      </c>
      <c r="DS598" s="21"/>
      <c r="DT598" s="21"/>
      <c r="DU598" s="21"/>
    </row>
    <row r="599" spans="72:125" ht="13.5" customHeight="1">
      <c r="BT599" s="12">
        <v>4205043</v>
      </c>
      <c r="BU599" s="3">
        <f>[1]monsters!$N599</f>
        <v>106.77</v>
      </c>
      <c r="BV599" s="3">
        <f>[1]monsters!$O599</f>
        <v>10.68</v>
      </c>
      <c r="BW599" s="3">
        <f>[1]monsters!$P599</f>
        <v>1221.82</v>
      </c>
      <c r="BX599" s="3">
        <f>[1]monsters!$Q599</f>
        <v>122.18</v>
      </c>
      <c r="BY599" s="3">
        <f>[1]monsters!$R599</f>
        <v>13.35</v>
      </c>
      <c r="BZ599" s="3">
        <f>[1]monsters!$S599</f>
        <v>1.33</v>
      </c>
      <c r="CA599" s="3">
        <f>[1]monsters!$K599</f>
        <v>1.3</v>
      </c>
      <c r="CB599" s="12">
        <f>[1]monsters!$D599</f>
        <v>3</v>
      </c>
      <c r="CC599" s="12">
        <f t="shared" ca="1" si="55"/>
        <v>0.1</v>
      </c>
      <c r="CD599" s="12">
        <f t="shared" ca="1" si="56"/>
        <v>77.689535353535305</v>
      </c>
      <c r="CE599" s="12">
        <f t="shared" ca="1" si="57"/>
        <v>7.7689535353535399</v>
      </c>
      <c r="CS599" s="33"/>
      <c r="CT599" s="33"/>
      <c r="CU599" s="33"/>
      <c r="CV599" s="32"/>
      <c r="CW599" s="32"/>
      <c r="CX599" s="32"/>
      <c r="CY599" s="34"/>
      <c r="CZ599" s="34"/>
      <c r="DA599" s="34"/>
      <c r="DB599" s="33"/>
      <c r="DC599" s="33"/>
      <c r="DD599" s="33"/>
      <c r="DE599" s="33"/>
      <c r="DF599" s="33"/>
      <c r="DG599" s="33"/>
      <c r="DH599" s="34"/>
      <c r="DI599" s="34"/>
      <c r="DJ599" s="34"/>
      <c r="DK599" s="34"/>
      <c r="DL599" s="34"/>
      <c r="DM599" s="34"/>
      <c r="DN599" s="12">
        <v>4205043</v>
      </c>
      <c r="DS599" s="21"/>
      <c r="DT599" s="21"/>
      <c r="DU599" s="21"/>
    </row>
    <row r="600" spans="72:125" ht="13.5" customHeight="1">
      <c r="BT600" s="12">
        <v>4405043</v>
      </c>
      <c r="BU600" s="3">
        <f>[1]monsters!$N600</f>
        <v>147.84</v>
      </c>
      <c r="BV600" s="3">
        <f>[1]monsters!$O600</f>
        <v>14.78</v>
      </c>
      <c r="BW600" s="3">
        <f>[1]monsters!$P600</f>
        <v>1221.82</v>
      </c>
      <c r="BX600" s="3">
        <f>[1]monsters!$Q600</f>
        <v>122.18</v>
      </c>
      <c r="BY600" s="3">
        <f>[1]monsters!$R600</f>
        <v>24.64</v>
      </c>
      <c r="BZ600" s="3">
        <f>[1]monsters!$S600</f>
        <v>2.46</v>
      </c>
      <c r="CA600" s="3">
        <f>[1]monsters!$K600</f>
        <v>1.8</v>
      </c>
      <c r="CB600" s="12">
        <f>[1]monsters!$D600</f>
        <v>5</v>
      </c>
      <c r="CC600" s="12">
        <f t="shared" ca="1" si="55"/>
        <v>0.1</v>
      </c>
      <c r="CD600" s="12">
        <f t="shared" ca="1" si="56"/>
        <v>69.370662075298497</v>
      </c>
      <c r="CE600" s="12">
        <f t="shared" ca="1" si="57"/>
        <v>6.9370662075298499</v>
      </c>
      <c r="CS600" s="33"/>
      <c r="CT600" s="33"/>
      <c r="CU600" s="33"/>
      <c r="CV600" s="32"/>
      <c r="CW600" s="32"/>
      <c r="CX600" s="32"/>
      <c r="CY600" s="34"/>
      <c r="CZ600" s="34"/>
      <c r="DA600" s="34"/>
      <c r="DB600" s="33"/>
      <c r="DC600" s="33"/>
      <c r="DD600" s="33"/>
      <c r="DE600" s="33"/>
      <c r="DF600" s="33"/>
      <c r="DG600" s="33"/>
      <c r="DH600" s="34"/>
      <c r="DI600" s="34"/>
      <c r="DJ600" s="34"/>
      <c r="DK600" s="34"/>
      <c r="DL600" s="34"/>
      <c r="DM600" s="34"/>
      <c r="DN600" s="12">
        <v>4405043</v>
      </c>
      <c r="DS600" s="21"/>
      <c r="DT600" s="21"/>
      <c r="DU600" s="21"/>
    </row>
    <row r="601" spans="72:125" ht="13.5" customHeight="1">
      <c r="BT601" s="12">
        <v>4203043</v>
      </c>
      <c r="BU601" s="3">
        <f>[1]monsters!$N601</f>
        <v>107.52</v>
      </c>
      <c r="BV601" s="3">
        <f>[1]monsters!$O601</f>
        <v>10.75</v>
      </c>
      <c r="BW601" s="3">
        <f>[1]monsters!$P601</f>
        <v>1493.33</v>
      </c>
      <c r="BX601" s="3">
        <f>[1]monsters!$Q601</f>
        <v>149.33000000000001</v>
      </c>
      <c r="BY601" s="3">
        <f>[1]monsters!$R601</f>
        <v>21.5</v>
      </c>
      <c r="BZ601" s="3">
        <f>[1]monsters!$S601</f>
        <v>2.15</v>
      </c>
      <c r="CA601" s="3">
        <f>[1]monsters!$K601</f>
        <v>1.6</v>
      </c>
      <c r="CB601" s="12">
        <f>[1]monsters!$D601</f>
        <v>2</v>
      </c>
      <c r="CC601" s="12">
        <f t="shared" ca="1" si="55"/>
        <v>0.1</v>
      </c>
      <c r="CD601" s="12">
        <f t="shared" ca="1" si="56"/>
        <v>62.871935353535299</v>
      </c>
      <c r="CE601" s="12">
        <f t="shared" ca="1" si="57"/>
        <v>6.2871935353535404</v>
      </c>
      <c r="CS601" s="33"/>
      <c r="CT601" s="33"/>
      <c r="CU601" s="33"/>
      <c r="CV601" s="32"/>
      <c r="CW601" s="32"/>
      <c r="CX601" s="32"/>
      <c r="CY601" s="34"/>
      <c r="CZ601" s="34"/>
      <c r="DA601" s="34"/>
      <c r="DB601" s="33"/>
      <c r="DC601" s="33"/>
      <c r="DD601" s="33"/>
      <c r="DE601" s="33"/>
      <c r="DF601" s="33"/>
      <c r="DG601" s="33"/>
      <c r="DH601" s="34"/>
      <c r="DI601" s="34"/>
      <c r="DJ601" s="34"/>
      <c r="DK601" s="34"/>
      <c r="DL601" s="34"/>
      <c r="DM601" s="34"/>
      <c r="DN601" s="12">
        <v>4203043</v>
      </c>
      <c r="DS601" s="21"/>
      <c r="DT601" s="21"/>
      <c r="DU601" s="21"/>
    </row>
    <row r="602" spans="72:125" ht="13.5" customHeight="1">
      <c r="BT602" s="12">
        <v>4403043</v>
      </c>
      <c r="BU602" s="3">
        <f>[1]monsters!$N602</f>
        <v>135.88999999999999</v>
      </c>
      <c r="BV602" s="3">
        <f>[1]monsters!$O602</f>
        <v>13.59</v>
      </c>
      <c r="BW602" s="3">
        <f>[1]monsters!$P602</f>
        <v>1033.8499999999999</v>
      </c>
      <c r="BX602" s="3">
        <f>[1]monsters!$Q602</f>
        <v>103.38</v>
      </c>
      <c r="BY602" s="3">
        <f>[1]monsters!$R602</f>
        <v>13.59</v>
      </c>
      <c r="BZ602" s="3">
        <f>[1]monsters!$S602</f>
        <v>1.36</v>
      </c>
      <c r="CA602" s="3">
        <f>[1]monsters!$K602</f>
        <v>1.4000000000000001</v>
      </c>
      <c r="CB602" s="12">
        <f>[1]monsters!$D602</f>
        <v>4</v>
      </c>
      <c r="CC602" s="12">
        <f t="shared" ca="1" si="55"/>
        <v>0.1</v>
      </c>
      <c r="CD602" s="12">
        <f t="shared" ca="1" si="56"/>
        <v>57.728262075298503</v>
      </c>
      <c r="CE602" s="12">
        <f t="shared" ca="1" si="57"/>
        <v>5.7728262075298504</v>
      </c>
      <c r="CS602" s="33"/>
      <c r="CT602" s="33"/>
      <c r="CU602" s="33"/>
      <c r="CV602" s="32"/>
      <c r="CW602" s="32"/>
      <c r="CX602" s="32"/>
      <c r="CY602" s="34"/>
      <c r="CZ602" s="34"/>
      <c r="DA602" s="34"/>
      <c r="DB602" s="33"/>
      <c r="DC602" s="33"/>
      <c r="DD602" s="33"/>
      <c r="DE602" s="33"/>
      <c r="DF602" s="33"/>
      <c r="DG602" s="33"/>
      <c r="DH602" s="34"/>
      <c r="DI602" s="34"/>
      <c r="DJ602" s="34"/>
      <c r="DK602" s="34"/>
      <c r="DL602" s="34"/>
      <c r="DM602" s="34"/>
      <c r="DN602" s="12">
        <v>4403043</v>
      </c>
      <c r="DS602" s="21"/>
      <c r="DT602" s="21"/>
      <c r="DU602" s="21"/>
    </row>
    <row r="603" spans="72:125" ht="13.5" customHeight="1">
      <c r="BT603" s="12">
        <v>4204043</v>
      </c>
      <c r="BU603" s="3">
        <f>[1]monsters!$N603</f>
        <v>94.08</v>
      </c>
      <c r="BV603" s="3">
        <f>[1]monsters!$O603</f>
        <v>9.41</v>
      </c>
      <c r="BW603" s="3">
        <f>[1]monsters!$P603</f>
        <v>1493.33</v>
      </c>
      <c r="BX603" s="3">
        <f>[1]monsters!$Q603</f>
        <v>149.33000000000001</v>
      </c>
      <c r="BY603" s="3">
        <f>[1]monsters!$R603</f>
        <v>18.82</v>
      </c>
      <c r="BZ603" s="3">
        <f>[1]monsters!$S603</f>
        <v>1.88</v>
      </c>
      <c r="CA603" s="3">
        <f>[1]monsters!$K603</f>
        <v>1.4000000000000001</v>
      </c>
      <c r="CB603" s="12">
        <f>[1]monsters!$D603</f>
        <v>2</v>
      </c>
      <c r="CC603" s="12">
        <f t="shared" ca="1" si="55"/>
        <v>0.1</v>
      </c>
      <c r="CD603" s="12">
        <f t="shared" ca="1" si="56"/>
        <v>64.988735353535304</v>
      </c>
      <c r="CE603" s="12">
        <f t="shared" ca="1" si="57"/>
        <v>6.4988735353535398</v>
      </c>
      <c r="CS603" s="33"/>
      <c r="CT603" s="33"/>
      <c r="CU603" s="33"/>
      <c r="CV603" s="32"/>
      <c r="CW603" s="32"/>
      <c r="CX603" s="32"/>
      <c r="CY603" s="34"/>
      <c r="CZ603" s="34"/>
      <c r="DA603" s="34"/>
      <c r="DB603" s="33"/>
      <c r="DC603" s="33"/>
      <c r="DD603" s="33"/>
      <c r="DE603" s="33"/>
      <c r="DF603" s="33"/>
      <c r="DG603" s="33"/>
      <c r="DH603" s="34"/>
      <c r="DI603" s="34"/>
      <c r="DJ603" s="34"/>
      <c r="DK603" s="34"/>
      <c r="DL603" s="34"/>
      <c r="DM603" s="34"/>
      <c r="DN603" s="12">
        <v>4204043</v>
      </c>
      <c r="DS603" s="21"/>
      <c r="DT603" s="21"/>
      <c r="DU603" s="21"/>
    </row>
    <row r="604" spans="72:125" ht="13.5" customHeight="1">
      <c r="BT604" s="12">
        <v>4404043</v>
      </c>
      <c r="BU604" s="3">
        <f>[1]monsters!$N604</f>
        <v>155.31</v>
      </c>
      <c r="BV604" s="3">
        <f>[1]monsters!$O604</f>
        <v>15.53</v>
      </c>
      <c r="BW604" s="3">
        <f>[1]monsters!$P604</f>
        <v>1033.8499999999999</v>
      </c>
      <c r="BX604" s="3">
        <f>[1]monsters!$Q604</f>
        <v>103.38</v>
      </c>
      <c r="BY604" s="3">
        <f>[1]monsters!$R604</f>
        <v>15.53</v>
      </c>
      <c r="BZ604" s="3">
        <f>[1]monsters!$S604</f>
        <v>1.55</v>
      </c>
      <c r="CA604" s="3">
        <f>[1]monsters!$K604</f>
        <v>1.6</v>
      </c>
      <c r="CB604" s="12">
        <f>[1]monsters!$D604</f>
        <v>4</v>
      </c>
      <c r="CC604" s="12">
        <f t="shared" ca="1" si="55"/>
        <v>0.1</v>
      </c>
      <c r="CD604" s="12">
        <f t="shared" ca="1" si="56"/>
        <v>69.370662075298497</v>
      </c>
      <c r="CE604" s="12">
        <f t="shared" ca="1" si="57"/>
        <v>6.9370662075298499</v>
      </c>
      <c r="CS604" s="33"/>
      <c r="CT604" s="33"/>
      <c r="CU604" s="33"/>
      <c r="CV604" s="32"/>
      <c r="CW604" s="32"/>
      <c r="CX604" s="32"/>
      <c r="CY604" s="34"/>
      <c r="CZ604" s="34"/>
      <c r="DA604" s="34"/>
      <c r="DB604" s="33"/>
      <c r="DC604" s="33"/>
      <c r="DD604" s="33"/>
      <c r="DE604" s="33"/>
      <c r="DF604" s="33"/>
      <c r="DG604" s="33"/>
      <c r="DH604" s="34"/>
      <c r="DI604" s="34"/>
      <c r="DJ604" s="34"/>
      <c r="DK604" s="34"/>
      <c r="DL604" s="34"/>
      <c r="DM604" s="34"/>
      <c r="DN604" s="12">
        <v>4404043</v>
      </c>
      <c r="DS604" s="21"/>
      <c r="DT604" s="21"/>
      <c r="DU604" s="21"/>
    </row>
    <row r="605" spans="72:125" ht="13.5" customHeight="1">
      <c r="BT605" s="12">
        <v>4303043</v>
      </c>
      <c r="BU605" s="3">
        <f>[1]monsters!$N605</f>
        <v>143.36000000000001</v>
      </c>
      <c r="BV605" s="3">
        <f>[1]monsters!$O605</f>
        <v>14.34</v>
      </c>
      <c r="BW605" s="3">
        <f>[1]monsters!$P605</f>
        <v>1120</v>
      </c>
      <c r="BX605" s="3">
        <f>[1]monsters!$Q605</f>
        <v>112</v>
      </c>
      <c r="BY605" s="3">
        <f>[1]monsters!$R605</f>
        <v>23.89</v>
      </c>
      <c r="BZ605" s="3">
        <f>[1]monsters!$S605</f>
        <v>2.39</v>
      </c>
      <c r="CA605" s="3">
        <f>[1]monsters!$K605</f>
        <v>1.6</v>
      </c>
      <c r="CB605" s="12">
        <f>[1]monsters!$D605</f>
        <v>5</v>
      </c>
      <c r="CC605" s="12">
        <f t="shared" ca="1" si="55"/>
        <v>0.1</v>
      </c>
      <c r="CD605" s="12">
        <f t="shared" ca="1" si="56"/>
        <v>62.3835647586981</v>
      </c>
      <c r="CE605" s="12">
        <f t="shared" ca="1" si="57"/>
        <v>6.2383564758698098</v>
      </c>
      <c r="CS605" s="33"/>
      <c r="CT605" s="33"/>
      <c r="CU605" s="33"/>
      <c r="CV605" s="32"/>
      <c r="CW605" s="32"/>
      <c r="CX605" s="32"/>
      <c r="CY605" s="34"/>
      <c r="CZ605" s="34"/>
      <c r="DA605" s="34"/>
      <c r="DB605" s="33"/>
      <c r="DC605" s="33"/>
      <c r="DD605" s="33"/>
      <c r="DE605" s="33"/>
      <c r="DF605" s="33"/>
      <c r="DG605" s="33"/>
      <c r="DH605" s="34"/>
      <c r="DI605" s="34"/>
      <c r="DJ605" s="34"/>
      <c r="DK605" s="34"/>
      <c r="DL605" s="34"/>
      <c r="DM605" s="34"/>
      <c r="DN605" s="12">
        <v>4303043</v>
      </c>
      <c r="DS605" s="21"/>
      <c r="DT605" s="21"/>
      <c r="DU605" s="21"/>
    </row>
    <row r="606" spans="72:125" ht="13.5" customHeight="1">
      <c r="BT606" s="12">
        <v>4304043</v>
      </c>
      <c r="BU606" s="3">
        <f>[1]monsters!$N606</f>
        <v>120.21</v>
      </c>
      <c r="BV606" s="3">
        <f>[1]monsters!$O606</f>
        <v>12.02</v>
      </c>
      <c r="BW606" s="3">
        <f>[1]monsters!$P606</f>
        <v>1168.7</v>
      </c>
      <c r="BX606" s="3">
        <f>[1]monsters!$Q606</f>
        <v>116.87</v>
      </c>
      <c r="BY606" s="3">
        <f>[1]monsters!$R606</f>
        <v>15.03</v>
      </c>
      <c r="BZ606" s="3">
        <f>[1]monsters!$S606</f>
        <v>1.5</v>
      </c>
      <c r="CA606" s="3">
        <f>[1]monsters!$K606</f>
        <v>1.4000000000000001</v>
      </c>
      <c r="CB606" s="12">
        <f>[1]monsters!$D606</f>
        <v>3</v>
      </c>
      <c r="CC606" s="12">
        <f t="shared" ca="1" si="55"/>
        <v>0.1</v>
      </c>
      <c r="CD606" s="12">
        <f t="shared" ca="1" si="56"/>
        <v>64.764964758698099</v>
      </c>
      <c r="CE606" s="12">
        <f t="shared" ca="1" si="57"/>
        <v>6.4764964758698103</v>
      </c>
      <c r="CS606" s="33"/>
      <c r="CT606" s="33"/>
      <c r="CU606" s="33"/>
      <c r="CV606" s="32"/>
      <c r="CW606" s="32"/>
      <c r="CX606" s="32"/>
      <c r="CY606" s="34"/>
      <c r="CZ606" s="34"/>
      <c r="DA606" s="34"/>
      <c r="DB606" s="33"/>
      <c r="DC606" s="33"/>
      <c r="DD606" s="33"/>
      <c r="DE606" s="33"/>
      <c r="DF606" s="33"/>
      <c r="DG606" s="33"/>
      <c r="DH606" s="34"/>
      <c r="DI606" s="34"/>
      <c r="DJ606" s="34"/>
      <c r="DK606" s="34"/>
      <c r="DL606" s="34"/>
      <c r="DM606" s="34"/>
      <c r="DN606" s="12">
        <v>4304043</v>
      </c>
      <c r="DS606" s="21"/>
      <c r="DT606" s="21"/>
      <c r="DU606" s="21"/>
    </row>
    <row r="607" spans="72:125" ht="13.5" customHeight="1">
      <c r="BT607" s="12">
        <v>4503043</v>
      </c>
      <c r="BU607" s="3">
        <f>[1]monsters!$N607</f>
        <v>85.33</v>
      </c>
      <c r="BV607" s="3">
        <f>[1]monsters!$O607</f>
        <v>8.5299999999999994</v>
      </c>
      <c r="BW607" s="3">
        <f>[1]monsters!$P607</f>
        <v>960</v>
      </c>
      <c r="BX607" s="3">
        <f>[1]monsters!$Q607</f>
        <v>96</v>
      </c>
      <c r="BY607" s="3">
        <f>[1]monsters!$R607</f>
        <v>28.44</v>
      </c>
      <c r="BZ607" s="3">
        <f>[1]monsters!$S607</f>
        <v>2.84</v>
      </c>
      <c r="CA607" s="3">
        <f>[1]monsters!$K607</f>
        <v>1.6</v>
      </c>
      <c r="CB607" s="12">
        <f>[1]monsters!$D607</f>
        <v>2</v>
      </c>
      <c r="CC607" s="12">
        <f t="shared" ca="1" si="55"/>
        <v>0.1</v>
      </c>
      <c r="CD607" s="12">
        <f t="shared" ca="1" si="56"/>
        <v>74.372223569023603</v>
      </c>
      <c r="CE607" s="12">
        <f t="shared" ca="1" si="57"/>
        <v>7.4372223569023603</v>
      </c>
      <c r="CS607" s="33"/>
      <c r="CT607" s="33"/>
      <c r="CU607" s="33"/>
      <c r="CV607" s="32"/>
      <c r="CW607" s="32"/>
      <c r="CX607" s="32"/>
      <c r="CY607" s="34"/>
      <c r="CZ607" s="34"/>
      <c r="DA607" s="34"/>
      <c r="DB607" s="33"/>
      <c r="DC607" s="33"/>
      <c r="DD607" s="33"/>
      <c r="DE607" s="33"/>
      <c r="DF607" s="33"/>
      <c r="DG607" s="33"/>
      <c r="DH607" s="34"/>
      <c r="DI607" s="34"/>
      <c r="DJ607" s="34"/>
      <c r="DK607" s="34"/>
      <c r="DL607" s="34"/>
      <c r="DM607" s="34"/>
      <c r="DN607" s="12">
        <v>4503043</v>
      </c>
      <c r="DS607" s="21"/>
      <c r="DT607" s="21"/>
      <c r="DU607" s="21"/>
    </row>
    <row r="608" spans="72:125" ht="13.5" customHeight="1">
      <c r="BT608" s="12">
        <v>4504043</v>
      </c>
      <c r="BU608" s="3">
        <f>[1]monsters!$N608</f>
        <v>85.33</v>
      </c>
      <c r="BV608" s="3">
        <f>[1]monsters!$O608</f>
        <v>8.5299999999999994</v>
      </c>
      <c r="BW608" s="3">
        <f>[1]monsters!$P608</f>
        <v>960</v>
      </c>
      <c r="BX608" s="3">
        <f>[1]monsters!$Q608</f>
        <v>96</v>
      </c>
      <c r="BY608" s="3">
        <f>[1]monsters!$R608</f>
        <v>28.44</v>
      </c>
      <c r="BZ608" s="3">
        <f>[1]monsters!$S608</f>
        <v>2.84</v>
      </c>
      <c r="CA608" s="3">
        <f>[1]monsters!$K608</f>
        <v>1.6</v>
      </c>
      <c r="CB608" s="12">
        <f>[1]monsters!$D608</f>
        <v>2</v>
      </c>
      <c r="CC608" s="12">
        <f t="shared" ca="1" si="55"/>
        <v>0.1</v>
      </c>
      <c r="CD608" s="12">
        <f t="shared" ca="1" si="56"/>
        <v>80.722623569023597</v>
      </c>
      <c r="CE608" s="12">
        <f t="shared" ca="1" si="57"/>
        <v>8.0722623569023604</v>
      </c>
      <c r="CS608" s="33"/>
      <c r="CT608" s="33"/>
      <c r="CU608" s="33"/>
      <c r="CV608" s="32"/>
      <c r="CW608" s="32"/>
      <c r="CX608" s="32"/>
      <c r="CY608" s="34"/>
      <c r="CZ608" s="34"/>
      <c r="DA608" s="34"/>
      <c r="DB608" s="33"/>
      <c r="DC608" s="33"/>
      <c r="DD608" s="33"/>
      <c r="DE608" s="33"/>
      <c r="DF608" s="33"/>
      <c r="DG608" s="33"/>
      <c r="DH608" s="34"/>
      <c r="DI608" s="34"/>
      <c r="DJ608" s="34"/>
      <c r="DK608" s="34"/>
      <c r="DL608" s="34"/>
      <c r="DM608" s="34"/>
      <c r="DN608" s="12">
        <v>4504043</v>
      </c>
      <c r="DS608" s="21"/>
      <c r="DT608" s="21"/>
      <c r="DU608" s="21"/>
    </row>
    <row r="609" spans="72:125" ht="13.5" customHeight="1">
      <c r="BT609" s="12">
        <v>4101043</v>
      </c>
      <c r="BU609" s="3">
        <f>[1]monsters!$N609</f>
        <v>85.33</v>
      </c>
      <c r="BV609" s="3">
        <f>[1]monsters!$O609</f>
        <v>8.5299999999999994</v>
      </c>
      <c r="BW609" s="3">
        <f>[1]monsters!$P609</f>
        <v>960</v>
      </c>
      <c r="BX609" s="3">
        <f>[1]monsters!$Q609</f>
        <v>96</v>
      </c>
      <c r="BY609" s="3">
        <f>[1]monsters!$R609</f>
        <v>28.44</v>
      </c>
      <c r="BZ609" s="3">
        <f>[1]monsters!$S609</f>
        <v>2.84</v>
      </c>
      <c r="CA609" s="3">
        <f>[1]monsters!$K609</f>
        <v>1.6</v>
      </c>
      <c r="CB609" s="12">
        <f>[1]monsters!$D609</f>
        <v>2</v>
      </c>
      <c r="CC609" s="12">
        <f t="shared" ca="1" si="55"/>
        <v>0.1</v>
      </c>
      <c r="CD609" s="12">
        <f t="shared" ca="1" si="56"/>
        <v>70.618828282828304</v>
      </c>
      <c r="CE609" s="12">
        <f t="shared" ca="1" si="57"/>
        <v>7.0618828282828296</v>
      </c>
      <c r="CS609" s="33"/>
      <c r="CT609" s="33"/>
      <c r="CU609" s="33"/>
      <c r="CV609" s="32"/>
      <c r="CW609" s="32"/>
      <c r="CX609" s="32"/>
      <c r="CY609" s="34"/>
      <c r="CZ609" s="34"/>
      <c r="DA609" s="34"/>
      <c r="DB609" s="33"/>
      <c r="DC609" s="33"/>
      <c r="DD609" s="33"/>
      <c r="DE609" s="33"/>
      <c r="DF609" s="33"/>
      <c r="DG609" s="33"/>
      <c r="DH609" s="34"/>
      <c r="DI609" s="34"/>
      <c r="DJ609" s="34"/>
      <c r="DK609" s="34"/>
      <c r="DL609" s="34"/>
      <c r="DM609" s="34"/>
      <c r="DN609" s="12">
        <v>4101043</v>
      </c>
      <c r="DS609" s="21"/>
      <c r="DT609" s="21"/>
      <c r="DU609" s="21"/>
    </row>
    <row r="610" spans="72:125" ht="13.5" customHeight="1">
      <c r="BT610" s="12">
        <v>4102043</v>
      </c>
      <c r="BU610" s="3">
        <f>[1]monsters!$N610</f>
        <v>85.33</v>
      </c>
      <c r="BV610" s="3">
        <f>[1]monsters!$O610</f>
        <v>8.5299999999999994</v>
      </c>
      <c r="BW610" s="3">
        <f>[1]monsters!$P610</f>
        <v>960</v>
      </c>
      <c r="BX610" s="3">
        <f>[1]monsters!$Q610</f>
        <v>96</v>
      </c>
      <c r="BY610" s="3">
        <f>[1]monsters!$R610</f>
        <v>28.44</v>
      </c>
      <c r="BZ610" s="3">
        <f>[1]monsters!$S610</f>
        <v>2.84</v>
      </c>
      <c r="CA610" s="3">
        <f>[1]monsters!$K610</f>
        <v>1.6</v>
      </c>
      <c r="CB610" s="12">
        <f>[1]monsters!$D610</f>
        <v>2</v>
      </c>
      <c r="CC610" s="12">
        <f t="shared" ca="1" si="55"/>
        <v>0.1</v>
      </c>
      <c r="CD610" s="12">
        <f t="shared" ca="1" si="56"/>
        <v>65.326828282828302</v>
      </c>
      <c r="CE610" s="12">
        <f t="shared" ca="1" si="57"/>
        <v>6.5326828282828302</v>
      </c>
      <c r="CS610" s="33"/>
      <c r="CT610" s="33"/>
      <c r="CU610" s="33"/>
      <c r="CV610" s="32"/>
      <c r="CW610" s="32"/>
      <c r="CX610" s="32"/>
      <c r="CY610" s="34"/>
      <c r="CZ610" s="34"/>
      <c r="DA610" s="34"/>
      <c r="DB610" s="33"/>
      <c r="DC610" s="33"/>
      <c r="DD610" s="33"/>
      <c r="DE610" s="33"/>
      <c r="DF610" s="33"/>
      <c r="DG610" s="33"/>
      <c r="DH610" s="34"/>
      <c r="DI610" s="34"/>
      <c r="DJ610" s="34"/>
      <c r="DK610" s="34"/>
      <c r="DL610" s="34"/>
      <c r="DM610" s="34"/>
      <c r="DN610" s="12">
        <v>4102043</v>
      </c>
      <c r="DS610" s="21"/>
      <c r="DT610" s="21"/>
      <c r="DU610" s="21"/>
    </row>
    <row r="611" spans="72:125" ht="13.5" customHeight="1">
      <c r="BT611" s="12">
        <v>4206044</v>
      </c>
      <c r="BU611" s="3">
        <f>[1]monsters!$N611</f>
        <v>85.33</v>
      </c>
      <c r="BV611" s="3">
        <f>[1]monsters!$O611</f>
        <v>8.5299999999999994</v>
      </c>
      <c r="BW611" s="3">
        <f>[1]monsters!$P611</f>
        <v>960</v>
      </c>
      <c r="BX611" s="3">
        <f>[1]monsters!$Q611</f>
        <v>96</v>
      </c>
      <c r="BY611" s="3">
        <f>[1]monsters!$R611</f>
        <v>28.44</v>
      </c>
      <c r="BZ611" s="3">
        <f>[1]monsters!$S611</f>
        <v>2.84</v>
      </c>
      <c r="CA611" s="3">
        <f>[1]monsters!$K611</f>
        <v>1.6</v>
      </c>
      <c r="CB611" s="12">
        <f>[1]monsters!$D611</f>
        <v>2</v>
      </c>
      <c r="CC611" s="12">
        <f t="shared" ca="1" si="55"/>
        <v>0.1</v>
      </c>
      <c r="CD611" s="12">
        <f t="shared" ca="1" si="56"/>
        <v>71.339135353535397</v>
      </c>
      <c r="CE611" s="12">
        <f t="shared" ca="1" si="57"/>
        <v>7.1339135353535399</v>
      </c>
      <c r="CS611" s="33"/>
      <c r="CT611" s="33"/>
      <c r="CU611" s="33"/>
      <c r="CV611" s="32"/>
      <c r="CW611" s="32"/>
      <c r="CX611" s="32"/>
      <c r="CY611" s="34"/>
      <c r="CZ611" s="34"/>
      <c r="DA611" s="34"/>
      <c r="DB611" s="33"/>
      <c r="DC611" s="33"/>
      <c r="DD611" s="33"/>
      <c r="DE611" s="33"/>
      <c r="DF611" s="33"/>
      <c r="DG611" s="33"/>
      <c r="DH611" s="34"/>
      <c r="DI611" s="34"/>
      <c r="DJ611" s="34"/>
      <c r="DK611" s="34"/>
      <c r="DL611" s="34"/>
      <c r="DM611" s="34"/>
      <c r="DN611" s="12">
        <v>4206044</v>
      </c>
      <c r="DS611" s="21"/>
      <c r="DT611" s="21"/>
      <c r="DU611" s="21"/>
    </row>
    <row r="612" spans="72:125" ht="13.5" customHeight="1">
      <c r="BT612" s="12">
        <v>4406044</v>
      </c>
      <c r="BU612" s="3">
        <f>[1]monsters!$N612</f>
        <v>93.87</v>
      </c>
      <c r="BV612" s="3">
        <f>[1]monsters!$O612</f>
        <v>9.39</v>
      </c>
      <c r="BW612" s="3">
        <f>[1]monsters!$P612</f>
        <v>1056</v>
      </c>
      <c r="BX612" s="3">
        <f>[1]monsters!$Q612</f>
        <v>105.6</v>
      </c>
      <c r="BY612" s="3">
        <f>[1]monsters!$R612</f>
        <v>31.29</v>
      </c>
      <c r="BZ612" s="3">
        <f>[1]monsters!$S612</f>
        <v>3.13</v>
      </c>
      <c r="CA612" s="3">
        <f>[1]monsters!$K612</f>
        <v>1.6</v>
      </c>
      <c r="CB612" s="12">
        <f>[1]monsters!$D612</f>
        <v>2</v>
      </c>
      <c r="CC612" s="12">
        <f t="shared" ca="1" si="55"/>
        <v>0.1</v>
      </c>
      <c r="CD612" s="12">
        <f t="shared" ca="1" si="56"/>
        <v>66.460062075298495</v>
      </c>
      <c r="CE612" s="12">
        <f t="shared" ca="1" si="57"/>
        <v>6.6460062075298501</v>
      </c>
      <c r="CS612" s="33"/>
      <c r="CT612" s="33"/>
      <c r="CU612" s="33"/>
      <c r="CV612" s="32"/>
      <c r="CW612" s="32"/>
      <c r="CX612" s="32"/>
      <c r="CY612" s="34"/>
      <c r="CZ612" s="34"/>
      <c r="DA612" s="34"/>
      <c r="DB612" s="33"/>
      <c r="DC612" s="33"/>
      <c r="DD612" s="33"/>
      <c r="DE612" s="33"/>
      <c r="DF612" s="33"/>
      <c r="DG612" s="33"/>
      <c r="DH612" s="34"/>
      <c r="DI612" s="34"/>
      <c r="DJ612" s="34"/>
      <c r="DK612" s="34"/>
      <c r="DL612" s="34"/>
      <c r="DM612" s="34"/>
      <c r="DN612" s="12">
        <v>4406044</v>
      </c>
      <c r="DS612" s="21"/>
      <c r="DT612" s="21"/>
      <c r="DU612" s="21"/>
    </row>
    <row r="613" spans="72:125" ht="13.5" customHeight="1">
      <c r="BT613" s="12">
        <v>4205044</v>
      </c>
      <c r="BU613" s="3">
        <f>[1]monsters!$N613</f>
        <v>93.87</v>
      </c>
      <c r="BV613" s="3">
        <f>[1]monsters!$O613</f>
        <v>9.39</v>
      </c>
      <c r="BW613" s="3">
        <f>[1]monsters!$P613</f>
        <v>1056</v>
      </c>
      <c r="BX613" s="3">
        <f>[1]monsters!$Q613</f>
        <v>105.6</v>
      </c>
      <c r="BY613" s="3">
        <f>[1]monsters!$R613</f>
        <v>31.29</v>
      </c>
      <c r="BZ613" s="3">
        <f>[1]monsters!$S613</f>
        <v>3.13</v>
      </c>
      <c r="CA613" s="3">
        <f>[1]monsters!$K613</f>
        <v>1.6</v>
      </c>
      <c r="CB613" s="12">
        <f>[1]monsters!$D613</f>
        <v>2</v>
      </c>
      <c r="CC613" s="12">
        <f t="shared" ca="1" si="55"/>
        <v>0.1</v>
      </c>
      <c r="CD613" s="12">
        <f t="shared" ca="1" si="56"/>
        <v>77.689535353535305</v>
      </c>
      <c r="CE613" s="12">
        <f t="shared" ca="1" si="57"/>
        <v>7.7689535353535399</v>
      </c>
      <c r="CS613" s="33"/>
      <c r="CT613" s="33"/>
      <c r="CU613" s="33"/>
      <c r="CV613" s="32"/>
      <c r="CW613" s="32"/>
      <c r="CX613" s="32"/>
      <c r="CY613" s="34"/>
      <c r="CZ613" s="34"/>
      <c r="DA613" s="34"/>
      <c r="DB613" s="33"/>
      <c r="DC613" s="33"/>
      <c r="DD613" s="33"/>
      <c r="DE613" s="33"/>
      <c r="DF613" s="33"/>
      <c r="DG613" s="33"/>
      <c r="DH613" s="34"/>
      <c r="DI613" s="34"/>
      <c r="DJ613" s="34"/>
      <c r="DK613" s="34"/>
      <c r="DL613" s="34"/>
      <c r="DM613" s="34"/>
      <c r="DN613" s="12">
        <v>4205044</v>
      </c>
      <c r="DS613" s="21"/>
      <c r="DT613" s="21"/>
      <c r="DU613" s="21"/>
    </row>
    <row r="614" spans="72:125" ht="13.5" customHeight="1">
      <c r="BT614" s="12">
        <v>4405044</v>
      </c>
      <c r="BU614" s="3">
        <f>[1]monsters!$N614</f>
        <v>93.87</v>
      </c>
      <c r="BV614" s="3">
        <f>[1]monsters!$O614</f>
        <v>9.39</v>
      </c>
      <c r="BW614" s="3">
        <f>[1]monsters!$P614</f>
        <v>1056</v>
      </c>
      <c r="BX614" s="3">
        <f>[1]monsters!$Q614</f>
        <v>105.6</v>
      </c>
      <c r="BY614" s="3">
        <f>[1]monsters!$R614</f>
        <v>31.29</v>
      </c>
      <c r="BZ614" s="3">
        <f>[1]monsters!$S614</f>
        <v>3.13</v>
      </c>
      <c r="CA614" s="3">
        <f>[1]monsters!$K614</f>
        <v>1.6</v>
      </c>
      <c r="CB614" s="12">
        <f>[1]monsters!$D614</f>
        <v>2</v>
      </c>
      <c r="CC614" s="12">
        <f t="shared" ca="1" si="55"/>
        <v>0.1</v>
      </c>
      <c r="CD614" s="12">
        <f t="shared" ca="1" si="56"/>
        <v>69.370662075298497</v>
      </c>
      <c r="CE614" s="12">
        <f t="shared" ca="1" si="57"/>
        <v>6.9370662075298499</v>
      </c>
      <c r="CS614" s="33"/>
      <c r="CT614" s="33"/>
      <c r="CU614" s="33"/>
      <c r="CV614" s="32"/>
      <c r="CW614" s="32"/>
      <c r="CX614" s="32"/>
      <c r="CY614" s="34"/>
      <c r="CZ614" s="34"/>
      <c r="DA614" s="34"/>
      <c r="DB614" s="33"/>
      <c r="DC614" s="33"/>
      <c r="DD614" s="33"/>
      <c r="DE614" s="33"/>
      <c r="DF614" s="33"/>
      <c r="DG614" s="33"/>
      <c r="DH614" s="34"/>
      <c r="DI614" s="34"/>
      <c r="DJ614" s="34"/>
      <c r="DK614" s="34"/>
      <c r="DL614" s="34"/>
      <c r="DM614" s="34"/>
      <c r="DN614" s="12">
        <v>4405044</v>
      </c>
      <c r="DS614" s="21"/>
      <c r="DT614" s="21"/>
      <c r="DU614" s="21"/>
    </row>
    <row r="615" spans="72:125" ht="13.5" customHeight="1">
      <c r="BT615" s="12">
        <v>4203044</v>
      </c>
      <c r="BU615" s="3">
        <f>[1]monsters!$N615</f>
        <v>93.87</v>
      </c>
      <c r="BV615" s="3">
        <f>[1]monsters!$O615</f>
        <v>9.39</v>
      </c>
      <c r="BW615" s="3">
        <f>[1]monsters!$P615</f>
        <v>1056</v>
      </c>
      <c r="BX615" s="3">
        <f>[1]monsters!$Q615</f>
        <v>105.6</v>
      </c>
      <c r="BY615" s="3">
        <f>[1]monsters!$R615</f>
        <v>31.29</v>
      </c>
      <c r="BZ615" s="3">
        <f>[1]monsters!$S615</f>
        <v>3.13</v>
      </c>
      <c r="CA615" s="3">
        <f>[1]monsters!$K615</f>
        <v>1.6</v>
      </c>
      <c r="CB615" s="12">
        <f>[1]monsters!$D615</f>
        <v>2</v>
      </c>
      <c r="CC615" s="12">
        <f t="shared" ca="1" si="55"/>
        <v>0.1</v>
      </c>
      <c r="CD615" s="12">
        <f t="shared" ca="1" si="56"/>
        <v>62.871935353535299</v>
      </c>
      <c r="CE615" s="12">
        <f t="shared" ca="1" si="57"/>
        <v>6.2871935353535404</v>
      </c>
      <c r="CS615" s="33"/>
      <c r="CT615" s="33"/>
      <c r="CU615" s="33"/>
      <c r="CV615" s="32"/>
      <c r="CW615" s="32"/>
      <c r="CX615" s="32"/>
      <c r="CY615" s="34"/>
      <c r="CZ615" s="34"/>
      <c r="DA615" s="34"/>
      <c r="DB615" s="33"/>
      <c r="DC615" s="33"/>
      <c r="DD615" s="33"/>
      <c r="DE615" s="33"/>
      <c r="DF615" s="33"/>
      <c r="DG615" s="33"/>
      <c r="DH615" s="34"/>
      <c r="DI615" s="34"/>
      <c r="DJ615" s="34"/>
      <c r="DK615" s="34"/>
      <c r="DL615" s="34"/>
      <c r="DM615" s="34"/>
      <c r="DN615" s="12">
        <v>4203044</v>
      </c>
      <c r="DS615" s="21"/>
      <c r="DT615" s="21"/>
      <c r="DU615" s="21"/>
    </row>
    <row r="616" spans="72:125" ht="13.5" customHeight="1">
      <c r="BT616" s="12">
        <v>4403044</v>
      </c>
      <c r="BU616" s="3">
        <f>[1]monsters!$N616</f>
        <v>93.87</v>
      </c>
      <c r="BV616" s="3">
        <f>[1]monsters!$O616</f>
        <v>9.39</v>
      </c>
      <c r="BW616" s="3">
        <f>[1]monsters!$P616</f>
        <v>1056</v>
      </c>
      <c r="BX616" s="3">
        <f>[1]monsters!$Q616</f>
        <v>105.6</v>
      </c>
      <c r="BY616" s="3">
        <f>[1]monsters!$R616</f>
        <v>31.29</v>
      </c>
      <c r="BZ616" s="3">
        <f>[1]monsters!$S616</f>
        <v>3.13</v>
      </c>
      <c r="CA616" s="3">
        <f>[1]monsters!$K616</f>
        <v>1.6</v>
      </c>
      <c r="CB616" s="12">
        <f>[1]monsters!$D616</f>
        <v>2</v>
      </c>
      <c r="CC616" s="12">
        <f t="shared" ca="1" si="55"/>
        <v>0.1</v>
      </c>
      <c r="CD616" s="12">
        <f t="shared" ca="1" si="56"/>
        <v>57.728262075298503</v>
      </c>
      <c r="CE616" s="12">
        <f t="shared" ca="1" si="57"/>
        <v>5.7728262075298504</v>
      </c>
      <c r="CS616" s="33"/>
      <c r="CT616" s="33"/>
      <c r="CU616" s="33"/>
      <c r="CV616" s="32"/>
      <c r="CW616" s="32"/>
      <c r="CX616" s="32"/>
      <c r="CY616" s="34"/>
      <c r="CZ616" s="34"/>
      <c r="DA616" s="34"/>
      <c r="DB616" s="33"/>
      <c r="DC616" s="33"/>
      <c r="DD616" s="33"/>
      <c r="DE616" s="33"/>
      <c r="DF616" s="33"/>
      <c r="DG616" s="33"/>
      <c r="DH616" s="34"/>
      <c r="DI616" s="34"/>
      <c r="DJ616" s="34"/>
      <c r="DK616" s="34"/>
      <c r="DL616" s="34"/>
      <c r="DM616" s="34"/>
      <c r="DN616" s="12">
        <v>4403044</v>
      </c>
      <c r="DS616" s="21"/>
      <c r="DT616" s="21"/>
      <c r="DU616" s="21"/>
    </row>
    <row r="617" spans="72:125" ht="13.5" customHeight="1">
      <c r="BT617" s="12">
        <v>4204044</v>
      </c>
      <c r="BU617" s="3">
        <f>[1]monsters!$N617</f>
        <v>102.4</v>
      </c>
      <c r="BV617" s="3">
        <f>[1]monsters!$O617</f>
        <v>10.24</v>
      </c>
      <c r="BW617" s="3">
        <f>[1]monsters!$P617</f>
        <v>1152</v>
      </c>
      <c r="BX617" s="3">
        <f>[1]monsters!$Q617</f>
        <v>115.2</v>
      </c>
      <c r="BY617" s="3">
        <f>[1]monsters!$R617</f>
        <v>34.130000000000003</v>
      </c>
      <c r="BZ617" s="3">
        <f>[1]monsters!$S617</f>
        <v>3.41</v>
      </c>
      <c r="CA617" s="3">
        <f>[1]monsters!$K617</f>
        <v>1.6</v>
      </c>
      <c r="CB617" s="12">
        <f>[1]monsters!$D617</f>
        <v>2</v>
      </c>
      <c r="CC617" s="12">
        <f t="shared" ca="1" si="55"/>
        <v>0.1</v>
      </c>
      <c r="CD617" s="12">
        <f t="shared" ca="1" si="56"/>
        <v>64.988735353535304</v>
      </c>
      <c r="CE617" s="12">
        <f t="shared" ca="1" si="57"/>
        <v>6.4988735353535398</v>
      </c>
      <c r="CS617" s="33"/>
      <c r="CT617" s="33"/>
      <c r="CU617" s="33"/>
      <c r="CV617" s="32"/>
      <c r="CW617" s="32"/>
      <c r="CX617" s="32"/>
      <c r="CY617" s="34"/>
      <c r="CZ617" s="34"/>
      <c r="DA617" s="34"/>
      <c r="DB617" s="33"/>
      <c r="DC617" s="33"/>
      <c r="DD617" s="33"/>
      <c r="DE617" s="33"/>
      <c r="DF617" s="33"/>
      <c r="DG617" s="33"/>
      <c r="DH617" s="34"/>
      <c r="DI617" s="34"/>
      <c r="DJ617" s="34"/>
      <c r="DK617" s="34"/>
      <c r="DL617" s="34"/>
      <c r="DM617" s="34"/>
      <c r="DN617" s="12">
        <v>4204044</v>
      </c>
      <c r="DS617" s="21"/>
      <c r="DT617" s="21"/>
      <c r="DU617" s="21"/>
    </row>
    <row r="618" spans="72:125" ht="13.5" customHeight="1">
      <c r="BT618" s="12">
        <v>4404044</v>
      </c>
      <c r="BU618" s="3">
        <f>[1]monsters!$N618</f>
        <v>102.4</v>
      </c>
      <c r="BV618" s="3">
        <f>[1]monsters!$O618</f>
        <v>10.24</v>
      </c>
      <c r="BW618" s="3">
        <f>[1]monsters!$P618</f>
        <v>1152</v>
      </c>
      <c r="BX618" s="3">
        <f>[1]monsters!$Q618</f>
        <v>115.2</v>
      </c>
      <c r="BY618" s="3">
        <f>[1]monsters!$R618</f>
        <v>34.130000000000003</v>
      </c>
      <c r="BZ618" s="3">
        <f>[1]monsters!$S618</f>
        <v>3.41</v>
      </c>
      <c r="CA618" s="3">
        <f>[1]monsters!$K618</f>
        <v>1.6</v>
      </c>
      <c r="CB618" s="12">
        <f>[1]monsters!$D618</f>
        <v>2</v>
      </c>
      <c r="CC618" s="12">
        <f t="shared" ca="1" si="55"/>
        <v>0.1</v>
      </c>
      <c r="CD618" s="12">
        <f t="shared" ca="1" si="56"/>
        <v>69.370662075298497</v>
      </c>
      <c r="CE618" s="12">
        <f t="shared" ca="1" si="57"/>
        <v>6.9370662075298499</v>
      </c>
      <c r="CS618" s="33"/>
      <c r="CT618" s="33"/>
      <c r="CU618" s="33"/>
      <c r="CV618" s="32"/>
      <c r="CW618" s="32"/>
      <c r="CX618" s="32"/>
      <c r="CY618" s="34"/>
      <c r="CZ618" s="34"/>
      <c r="DA618" s="34"/>
      <c r="DB618" s="33"/>
      <c r="DC618" s="33"/>
      <c r="DD618" s="33"/>
      <c r="DE618" s="33"/>
      <c r="DF618" s="33"/>
      <c r="DG618" s="33"/>
      <c r="DH618" s="34"/>
      <c r="DI618" s="34"/>
      <c r="DJ618" s="34"/>
      <c r="DK618" s="34"/>
      <c r="DL618" s="34"/>
      <c r="DM618" s="34"/>
      <c r="DN618" s="12">
        <v>4404044</v>
      </c>
      <c r="DS618" s="21"/>
      <c r="DT618" s="21"/>
      <c r="DU618" s="21"/>
    </row>
    <row r="619" spans="72:125" ht="13.5" customHeight="1">
      <c r="BT619" s="12">
        <v>4303044</v>
      </c>
      <c r="BU619" s="3">
        <f>[1]monsters!$N619</f>
        <v>102.4</v>
      </c>
      <c r="BV619" s="3">
        <f>[1]monsters!$O619</f>
        <v>10.24</v>
      </c>
      <c r="BW619" s="3">
        <f>[1]monsters!$P619</f>
        <v>1152</v>
      </c>
      <c r="BX619" s="3">
        <f>[1]monsters!$Q619</f>
        <v>115.2</v>
      </c>
      <c r="BY619" s="3">
        <f>[1]monsters!$R619</f>
        <v>34.130000000000003</v>
      </c>
      <c r="BZ619" s="3">
        <f>[1]monsters!$S619</f>
        <v>3.41</v>
      </c>
      <c r="CA619" s="3">
        <f>[1]monsters!$K619</f>
        <v>1.6</v>
      </c>
      <c r="CB619" s="12">
        <f>[1]monsters!$D619</f>
        <v>2</v>
      </c>
      <c r="CC619" s="12">
        <f t="shared" ca="1" si="55"/>
        <v>0.1</v>
      </c>
      <c r="CD619" s="12">
        <f t="shared" ca="1" si="56"/>
        <v>62.3835647586981</v>
      </c>
      <c r="CE619" s="12">
        <f t="shared" ca="1" si="57"/>
        <v>6.2383564758698098</v>
      </c>
      <c r="CS619" s="33"/>
      <c r="CT619" s="33"/>
      <c r="CU619" s="33"/>
      <c r="CV619" s="32"/>
      <c r="CW619" s="32"/>
      <c r="CX619" s="32"/>
      <c r="CY619" s="34"/>
      <c r="CZ619" s="34"/>
      <c r="DA619" s="34"/>
      <c r="DB619" s="33"/>
      <c r="DC619" s="33"/>
      <c r="DD619" s="33"/>
      <c r="DE619" s="33"/>
      <c r="DF619" s="33"/>
      <c r="DG619" s="33"/>
      <c r="DH619" s="34"/>
      <c r="DI619" s="34"/>
      <c r="DJ619" s="34"/>
      <c r="DK619" s="34"/>
      <c r="DL619" s="34"/>
      <c r="DM619" s="34"/>
      <c r="DN619" s="12">
        <v>4303044</v>
      </c>
      <c r="DS619" s="21"/>
      <c r="DT619" s="21"/>
      <c r="DU619" s="21"/>
    </row>
    <row r="620" spans="72:125" ht="13.5" customHeight="1">
      <c r="BT620" s="12">
        <v>4304044</v>
      </c>
      <c r="BU620" s="3">
        <f>[1]monsters!$N620</f>
        <v>102.4</v>
      </c>
      <c r="BV620" s="3">
        <f>[1]monsters!$O620</f>
        <v>10.24</v>
      </c>
      <c r="BW620" s="3">
        <f>[1]monsters!$P620</f>
        <v>1152</v>
      </c>
      <c r="BX620" s="3">
        <f>[1]monsters!$Q620</f>
        <v>115.2</v>
      </c>
      <c r="BY620" s="3">
        <f>[1]monsters!$R620</f>
        <v>34.130000000000003</v>
      </c>
      <c r="BZ620" s="3">
        <f>[1]monsters!$S620</f>
        <v>3.41</v>
      </c>
      <c r="CA620" s="3">
        <f>[1]monsters!$K620</f>
        <v>1.6</v>
      </c>
      <c r="CB620" s="12">
        <f>[1]monsters!$D620</f>
        <v>2</v>
      </c>
      <c r="CC620" s="12">
        <f t="shared" ca="1" si="55"/>
        <v>0.1</v>
      </c>
      <c r="CD620" s="12">
        <f t="shared" ca="1" si="56"/>
        <v>64.764964758698099</v>
      </c>
      <c r="CE620" s="12">
        <f t="shared" ca="1" si="57"/>
        <v>6.4764964758698103</v>
      </c>
      <c r="CS620" s="33"/>
      <c r="CT620" s="33"/>
      <c r="CU620" s="33"/>
      <c r="CV620" s="32"/>
      <c r="CW620" s="32"/>
      <c r="CX620" s="32"/>
      <c r="CY620" s="34"/>
      <c r="CZ620" s="34"/>
      <c r="DA620" s="34"/>
      <c r="DB620" s="33"/>
      <c r="DC620" s="33"/>
      <c r="DD620" s="33"/>
      <c r="DE620" s="33"/>
      <c r="DF620" s="33"/>
      <c r="DG620" s="33"/>
      <c r="DH620" s="34"/>
      <c r="DI620" s="34"/>
      <c r="DJ620" s="34"/>
      <c r="DK620" s="34"/>
      <c r="DL620" s="34"/>
      <c r="DM620" s="34"/>
      <c r="DN620" s="12">
        <v>4304044</v>
      </c>
      <c r="DS620" s="21"/>
      <c r="DT620" s="21"/>
      <c r="DU620" s="21"/>
    </row>
    <row r="621" spans="72:125" ht="13.5" customHeight="1">
      <c r="BT621" s="12">
        <v>4503044</v>
      </c>
      <c r="BU621" s="3">
        <f>[1]monsters!$N621</f>
        <v>102.4</v>
      </c>
      <c r="BV621" s="3">
        <f>[1]monsters!$O621</f>
        <v>10.24</v>
      </c>
      <c r="BW621" s="3">
        <f>[1]monsters!$P621</f>
        <v>1152</v>
      </c>
      <c r="BX621" s="3">
        <f>[1]monsters!$Q621</f>
        <v>115.2</v>
      </c>
      <c r="BY621" s="3">
        <f>[1]monsters!$R621</f>
        <v>34.130000000000003</v>
      </c>
      <c r="BZ621" s="3">
        <f>[1]monsters!$S621</f>
        <v>3.41</v>
      </c>
      <c r="CA621" s="3">
        <f>[1]monsters!$K621</f>
        <v>1.6</v>
      </c>
      <c r="CB621" s="12">
        <f>[1]monsters!$D621</f>
        <v>2</v>
      </c>
      <c r="CC621" s="12">
        <f t="shared" ca="1" si="55"/>
        <v>0.1</v>
      </c>
      <c r="CD621" s="12">
        <f t="shared" ca="1" si="56"/>
        <v>74.372223569023603</v>
      </c>
      <c r="CE621" s="12">
        <f t="shared" ca="1" si="57"/>
        <v>7.4372223569023603</v>
      </c>
      <c r="CS621" s="33"/>
      <c r="CT621" s="33"/>
      <c r="CU621" s="33"/>
      <c r="CV621" s="32"/>
      <c r="CW621" s="32"/>
      <c r="CX621" s="32"/>
      <c r="CY621" s="34"/>
      <c r="CZ621" s="34"/>
      <c r="DA621" s="34"/>
      <c r="DB621" s="33"/>
      <c r="DC621" s="33"/>
      <c r="DD621" s="33"/>
      <c r="DE621" s="33"/>
      <c r="DF621" s="33"/>
      <c r="DG621" s="33"/>
      <c r="DH621" s="34"/>
      <c r="DI621" s="34"/>
      <c r="DJ621" s="34"/>
      <c r="DK621" s="34"/>
      <c r="DL621" s="34"/>
      <c r="DM621" s="34"/>
      <c r="DN621" s="12">
        <v>4503044</v>
      </c>
      <c r="DS621" s="21"/>
      <c r="DT621" s="21"/>
      <c r="DU621" s="21"/>
    </row>
    <row r="622" spans="72:125" ht="13.5" customHeight="1">
      <c r="BT622" s="12">
        <v>4504044</v>
      </c>
      <c r="BU622" s="3">
        <f>[1]monsters!$N622</f>
        <v>119.47</v>
      </c>
      <c r="BV622" s="3">
        <f>[1]monsters!$O622</f>
        <v>11.95</v>
      </c>
      <c r="BW622" s="3">
        <f>[1]monsters!$P622</f>
        <v>1344</v>
      </c>
      <c r="BX622" s="3">
        <f>[1]monsters!$Q622</f>
        <v>134.4</v>
      </c>
      <c r="BY622" s="3">
        <f>[1]monsters!$R622</f>
        <v>39.82</v>
      </c>
      <c r="BZ622" s="3">
        <f>[1]monsters!$S622</f>
        <v>3.98</v>
      </c>
      <c r="CA622" s="3">
        <f>[1]monsters!$K622</f>
        <v>1.6</v>
      </c>
      <c r="CB622" s="12">
        <f>[1]monsters!$D622</f>
        <v>2</v>
      </c>
      <c r="CC622" s="12">
        <f t="shared" ca="1" si="55"/>
        <v>0.1</v>
      </c>
      <c r="CD622" s="12">
        <f t="shared" ca="1" si="56"/>
        <v>80.722623569023597</v>
      </c>
      <c r="CE622" s="12">
        <f t="shared" ca="1" si="57"/>
        <v>8.0722623569023604</v>
      </c>
      <c r="CS622" s="33"/>
      <c r="CT622" s="33"/>
      <c r="CU622" s="33"/>
      <c r="CV622" s="32"/>
      <c r="CW622" s="32"/>
      <c r="CX622" s="32"/>
      <c r="CY622" s="34"/>
      <c r="CZ622" s="34"/>
      <c r="DA622" s="34"/>
      <c r="DB622" s="33"/>
      <c r="DC622" s="33"/>
      <c r="DD622" s="33"/>
      <c r="DE622" s="33"/>
      <c r="DF622" s="33"/>
      <c r="DG622" s="33"/>
      <c r="DH622" s="34"/>
      <c r="DI622" s="34"/>
      <c r="DJ622" s="34"/>
      <c r="DK622" s="34"/>
      <c r="DL622" s="34"/>
      <c r="DM622" s="34"/>
      <c r="DN622" s="12">
        <v>4504044</v>
      </c>
      <c r="DS622" s="21"/>
      <c r="DT622" s="21"/>
      <c r="DU622" s="21"/>
    </row>
    <row r="623" spans="72:125" ht="13.5" customHeight="1">
      <c r="BT623" s="12">
        <v>4101044</v>
      </c>
      <c r="BU623" s="3">
        <f>[1]monsters!$N623</f>
        <v>119.47</v>
      </c>
      <c r="BV623" s="3">
        <f>[1]monsters!$O623</f>
        <v>11.95</v>
      </c>
      <c r="BW623" s="3">
        <f>[1]monsters!$P623</f>
        <v>1344</v>
      </c>
      <c r="BX623" s="3">
        <f>[1]monsters!$Q623</f>
        <v>134.4</v>
      </c>
      <c r="BY623" s="3">
        <f>[1]monsters!$R623</f>
        <v>39.82</v>
      </c>
      <c r="BZ623" s="3">
        <f>[1]monsters!$S623</f>
        <v>3.98</v>
      </c>
      <c r="CA623" s="3">
        <f>[1]monsters!$K623</f>
        <v>1.6</v>
      </c>
      <c r="CB623" s="12">
        <f>[1]monsters!$D623</f>
        <v>2</v>
      </c>
      <c r="CC623" s="12">
        <f t="shared" ca="1" si="55"/>
        <v>0.1</v>
      </c>
      <c r="CD623" s="12">
        <f t="shared" ca="1" si="56"/>
        <v>70.618828282828304</v>
      </c>
      <c r="CE623" s="12">
        <f t="shared" ca="1" si="57"/>
        <v>7.0618828282828296</v>
      </c>
      <c r="CS623" s="33"/>
      <c r="CT623" s="33"/>
      <c r="CU623" s="33"/>
      <c r="CV623" s="32"/>
      <c r="CW623" s="32"/>
      <c r="CX623" s="32"/>
      <c r="CY623" s="34"/>
      <c r="CZ623" s="34"/>
      <c r="DA623" s="34"/>
      <c r="DB623" s="33"/>
      <c r="DC623" s="33"/>
      <c r="DD623" s="33"/>
      <c r="DE623" s="33"/>
      <c r="DF623" s="33"/>
      <c r="DG623" s="33"/>
      <c r="DH623" s="34"/>
      <c r="DI623" s="34"/>
      <c r="DJ623" s="34"/>
      <c r="DK623" s="34"/>
      <c r="DL623" s="34"/>
      <c r="DM623" s="34"/>
      <c r="DN623" s="12">
        <v>4101044</v>
      </c>
      <c r="DS623" s="21"/>
      <c r="DT623" s="21"/>
      <c r="DU623" s="21"/>
    </row>
    <row r="624" spans="72:125" ht="13.5" customHeight="1">
      <c r="BT624" s="12">
        <v>4102044</v>
      </c>
      <c r="BU624" s="3">
        <f>[1]monsters!$N624</f>
        <v>119.47</v>
      </c>
      <c r="BV624" s="3">
        <f>[1]monsters!$O624</f>
        <v>11.95</v>
      </c>
      <c r="BW624" s="3">
        <f>[1]monsters!$P624</f>
        <v>1344</v>
      </c>
      <c r="BX624" s="3">
        <f>[1]monsters!$Q624</f>
        <v>134.4</v>
      </c>
      <c r="BY624" s="3">
        <f>[1]monsters!$R624</f>
        <v>39.82</v>
      </c>
      <c r="BZ624" s="3">
        <f>[1]monsters!$S624</f>
        <v>3.98</v>
      </c>
      <c r="CA624" s="3">
        <f>[1]monsters!$K624</f>
        <v>1.6</v>
      </c>
      <c r="CB624" s="12">
        <f>[1]monsters!$D624</f>
        <v>2</v>
      </c>
      <c r="CC624" s="12">
        <f t="shared" ca="1" si="55"/>
        <v>0.1</v>
      </c>
      <c r="CD624" s="12">
        <f t="shared" ca="1" si="56"/>
        <v>65.326828282828302</v>
      </c>
      <c r="CE624" s="12">
        <f t="shared" ca="1" si="57"/>
        <v>6.5326828282828302</v>
      </c>
      <c r="CS624" s="33"/>
      <c r="CT624" s="33"/>
      <c r="CU624" s="33"/>
      <c r="CV624" s="32"/>
      <c r="CW624" s="32"/>
      <c r="CX624" s="32"/>
      <c r="CY624" s="34"/>
      <c r="CZ624" s="34"/>
      <c r="DA624" s="34"/>
      <c r="DB624" s="33"/>
      <c r="DC624" s="33"/>
      <c r="DD624" s="33"/>
      <c r="DE624" s="33"/>
      <c r="DF624" s="33"/>
      <c r="DG624" s="33"/>
      <c r="DH624" s="34"/>
      <c r="DI624" s="34"/>
      <c r="DJ624" s="34"/>
      <c r="DK624" s="34"/>
      <c r="DL624" s="34"/>
      <c r="DM624" s="34"/>
      <c r="DN624" s="12">
        <v>4102044</v>
      </c>
      <c r="DS624" s="21"/>
      <c r="DT624" s="21"/>
      <c r="DU624" s="21"/>
    </row>
    <row r="625" spans="72:125" ht="13.5" customHeight="1">
      <c r="BT625" s="12">
        <v>4206045</v>
      </c>
      <c r="BU625" s="3">
        <f>[1]monsters!$N625</f>
        <v>119.47</v>
      </c>
      <c r="BV625" s="3">
        <f>[1]monsters!$O625</f>
        <v>11.95</v>
      </c>
      <c r="BW625" s="3">
        <f>[1]monsters!$P625</f>
        <v>1344</v>
      </c>
      <c r="BX625" s="3">
        <f>[1]monsters!$Q625</f>
        <v>134.4</v>
      </c>
      <c r="BY625" s="3">
        <f>[1]monsters!$R625</f>
        <v>39.82</v>
      </c>
      <c r="BZ625" s="3">
        <f>[1]monsters!$S625</f>
        <v>3.98</v>
      </c>
      <c r="CA625" s="3">
        <f>[1]monsters!$K625</f>
        <v>1.6</v>
      </c>
      <c r="CB625" s="12">
        <f>[1]monsters!$D625</f>
        <v>2</v>
      </c>
      <c r="CC625" s="12">
        <f t="shared" ca="1" si="55"/>
        <v>0.1</v>
      </c>
      <c r="CD625" s="12">
        <f t="shared" ca="1" si="56"/>
        <v>71.339135353535397</v>
      </c>
      <c r="CE625" s="12">
        <f t="shared" ca="1" si="57"/>
        <v>7.1339135353535399</v>
      </c>
      <c r="CS625" s="33"/>
      <c r="CT625" s="33"/>
      <c r="CU625" s="33"/>
      <c r="CV625" s="32"/>
      <c r="CW625" s="32"/>
      <c r="CX625" s="32"/>
      <c r="CY625" s="34"/>
      <c r="CZ625" s="34"/>
      <c r="DA625" s="34"/>
      <c r="DB625" s="33"/>
      <c r="DC625" s="33"/>
      <c r="DD625" s="33"/>
      <c r="DE625" s="33"/>
      <c r="DF625" s="33"/>
      <c r="DG625" s="33"/>
      <c r="DH625" s="34"/>
      <c r="DI625" s="34"/>
      <c r="DJ625" s="34"/>
      <c r="DK625" s="34"/>
      <c r="DL625" s="34"/>
      <c r="DM625" s="34"/>
      <c r="DN625" s="12">
        <v>4206045</v>
      </c>
      <c r="DS625" s="21"/>
      <c r="DT625" s="21"/>
      <c r="DU625" s="21"/>
    </row>
    <row r="626" spans="72:125" ht="13.5" customHeight="1">
      <c r="BT626" s="12">
        <v>4406045</v>
      </c>
      <c r="BU626" s="3">
        <f>[1]monsters!$N626</f>
        <v>119.47</v>
      </c>
      <c r="BV626" s="3">
        <f>[1]monsters!$O626</f>
        <v>11.95</v>
      </c>
      <c r="BW626" s="3">
        <f>[1]monsters!$P626</f>
        <v>1344</v>
      </c>
      <c r="BX626" s="3">
        <f>[1]monsters!$Q626</f>
        <v>134.4</v>
      </c>
      <c r="BY626" s="3">
        <f>[1]monsters!$R626</f>
        <v>39.82</v>
      </c>
      <c r="BZ626" s="3">
        <f>[1]monsters!$S626</f>
        <v>3.98</v>
      </c>
      <c r="CA626" s="3">
        <f>[1]monsters!$K626</f>
        <v>1.6</v>
      </c>
      <c r="CB626" s="12">
        <f>[1]monsters!$D626</f>
        <v>2</v>
      </c>
      <c r="CC626" s="12">
        <f t="shared" ca="1" si="55"/>
        <v>0.1</v>
      </c>
      <c r="CD626" s="12">
        <f t="shared" ca="1" si="56"/>
        <v>66.460062075298495</v>
      </c>
      <c r="CE626" s="12">
        <f t="shared" ca="1" si="57"/>
        <v>6.6460062075298501</v>
      </c>
      <c r="CS626" s="33"/>
      <c r="CT626" s="33"/>
      <c r="CU626" s="33"/>
      <c r="CV626" s="32"/>
      <c r="CW626" s="32"/>
      <c r="CX626" s="32"/>
      <c r="CY626" s="34"/>
      <c r="CZ626" s="34"/>
      <c r="DA626" s="34"/>
      <c r="DB626" s="33"/>
      <c r="DC626" s="33"/>
      <c r="DD626" s="33"/>
      <c r="DE626" s="33"/>
      <c r="DF626" s="33"/>
      <c r="DG626" s="33"/>
      <c r="DH626" s="34"/>
      <c r="DI626" s="34"/>
      <c r="DJ626" s="34"/>
      <c r="DK626" s="34"/>
      <c r="DL626" s="34"/>
      <c r="DM626" s="34"/>
      <c r="DN626" s="12">
        <v>4406045</v>
      </c>
      <c r="DS626" s="21"/>
      <c r="DT626" s="21"/>
      <c r="DU626" s="21"/>
    </row>
    <row r="627" spans="72:125" ht="13.5" customHeight="1">
      <c r="BT627" s="12">
        <v>4205045</v>
      </c>
      <c r="BU627" s="3">
        <f>[1]monsters!$N627</f>
        <v>136.53</v>
      </c>
      <c r="BV627" s="3">
        <f>[1]monsters!$O627</f>
        <v>13.65</v>
      </c>
      <c r="BW627" s="3">
        <f>[1]monsters!$P627</f>
        <v>1536</v>
      </c>
      <c r="BX627" s="3">
        <f>[1]monsters!$Q627</f>
        <v>153.6</v>
      </c>
      <c r="BY627" s="3">
        <f>[1]monsters!$R627</f>
        <v>45.51</v>
      </c>
      <c r="BZ627" s="3">
        <f>[1]monsters!$S627</f>
        <v>4.55</v>
      </c>
      <c r="CA627" s="3">
        <f>[1]monsters!$K627</f>
        <v>1.6</v>
      </c>
      <c r="CB627" s="12">
        <f>[1]monsters!$D627</f>
        <v>2</v>
      </c>
      <c r="CC627" s="12">
        <f t="shared" ca="1" si="55"/>
        <v>0.1</v>
      </c>
      <c r="CD627" s="12">
        <f t="shared" ca="1" si="56"/>
        <v>77.689535353535305</v>
      </c>
      <c r="CE627" s="12">
        <f t="shared" ca="1" si="57"/>
        <v>7.7689535353535399</v>
      </c>
      <c r="CS627" s="33"/>
      <c r="CT627" s="33"/>
      <c r="CU627" s="33"/>
      <c r="CV627" s="32"/>
      <c r="CW627" s="32"/>
      <c r="CX627" s="32"/>
      <c r="CY627" s="34"/>
      <c r="CZ627" s="34"/>
      <c r="DA627" s="34"/>
      <c r="DB627" s="33"/>
      <c r="DC627" s="33"/>
      <c r="DD627" s="33"/>
      <c r="DE627" s="33"/>
      <c r="DF627" s="33"/>
      <c r="DG627" s="33"/>
      <c r="DH627" s="34"/>
      <c r="DI627" s="34"/>
      <c r="DJ627" s="34"/>
      <c r="DK627" s="34"/>
      <c r="DL627" s="34"/>
      <c r="DM627" s="34"/>
      <c r="DN627" s="12">
        <v>4205045</v>
      </c>
      <c r="DS627" s="21"/>
      <c r="DT627" s="21"/>
      <c r="DU627" s="21"/>
    </row>
    <row r="628" spans="72:125" ht="13.5" customHeight="1">
      <c r="BT628" s="12">
        <v>4405045</v>
      </c>
      <c r="BU628" s="3">
        <f>[1]monsters!$N628</f>
        <v>136.53</v>
      </c>
      <c r="BV628" s="3">
        <f>[1]monsters!$O628</f>
        <v>13.65</v>
      </c>
      <c r="BW628" s="3">
        <f>[1]monsters!$P628</f>
        <v>1536</v>
      </c>
      <c r="BX628" s="3">
        <f>[1]monsters!$Q628</f>
        <v>153.6</v>
      </c>
      <c r="BY628" s="3">
        <f>[1]monsters!$R628</f>
        <v>45.51</v>
      </c>
      <c r="BZ628" s="3">
        <f>[1]monsters!$S628</f>
        <v>4.55</v>
      </c>
      <c r="CA628" s="3">
        <f>[1]monsters!$K628</f>
        <v>1.6</v>
      </c>
      <c r="CB628" s="12">
        <f>[1]monsters!$D628</f>
        <v>2</v>
      </c>
      <c r="CC628" s="12">
        <f t="shared" ca="1" si="55"/>
        <v>0.1</v>
      </c>
      <c r="CD628" s="12">
        <f t="shared" ca="1" si="56"/>
        <v>69.370662075298497</v>
      </c>
      <c r="CE628" s="12">
        <f t="shared" ca="1" si="57"/>
        <v>6.9370662075298499</v>
      </c>
      <c r="CS628" s="33"/>
      <c r="CT628" s="33"/>
      <c r="CU628" s="33"/>
      <c r="CV628" s="32"/>
      <c r="CW628" s="32"/>
      <c r="CX628" s="32"/>
      <c r="CY628" s="34"/>
      <c r="CZ628" s="34"/>
      <c r="DA628" s="34"/>
      <c r="DB628" s="33"/>
      <c r="DC628" s="33"/>
      <c r="DD628" s="33"/>
      <c r="DE628" s="33"/>
      <c r="DF628" s="33"/>
      <c r="DG628" s="33"/>
      <c r="DH628" s="34"/>
      <c r="DI628" s="34"/>
      <c r="DJ628" s="34"/>
      <c r="DK628" s="34"/>
      <c r="DL628" s="34"/>
      <c r="DM628" s="34"/>
      <c r="DN628" s="12">
        <v>4405045</v>
      </c>
      <c r="DS628" s="21"/>
      <c r="DT628" s="21"/>
      <c r="DU628" s="21"/>
    </row>
    <row r="629" spans="72:125" ht="13.5" customHeight="1">
      <c r="BT629" s="12">
        <v>4203045</v>
      </c>
      <c r="BU629" s="3">
        <f>[1]monsters!$N629</f>
        <v>136.53</v>
      </c>
      <c r="BV629" s="3">
        <f>[1]monsters!$O629</f>
        <v>13.65</v>
      </c>
      <c r="BW629" s="3">
        <f>[1]monsters!$P629</f>
        <v>1536</v>
      </c>
      <c r="BX629" s="3">
        <f>[1]monsters!$Q629</f>
        <v>153.6</v>
      </c>
      <c r="BY629" s="3">
        <f>[1]monsters!$R629</f>
        <v>45.51</v>
      </c>
      <c r="BZ629" s="3">
        <f>[1]monsters!$S629</f>
        <v>4.55</v>
      </c>
      <c r="CA629" s="3">
        <f>[1]monsters!$K629</f>
        <v>1.6</v>
      </c>
      <c r="CB629" s="12">
        <f>[1]monsters!$D629</f>
        <v>2</v>
      </c>
      <c r="CC629" s="12">
        <f t="shared" ca="1" si="55"/>
        <v>0.1</v>
      </c>
      <c r="CD629" s="12">
        <f t="shared" ca="1" si="56"/>
        <v>62.871935353535299</v>
      </c>
      <c r="CE629" s="12">
        <f t="shared" ca="1" si="57"/>
        <v>6.2871935353535404</v>
      </c>
      <c r="CS629" s="33"/>
      <c r="CT629" s="33"/>
      <c r="CU629" s="33"/>
      <c r="CV629" s="32"/>
      <c r="CW629" s="32"/>
      <c r="CX629" s="32"/>
      <c r="CY629" s="34"/>
      <c r="CZ629" s="34"/>
      <c r="DA629" s="34"/>
      <c r="DB629" s="33"/>
      <c r="DC629" s="33"/>
      <c r="DD629" s="33"/>
      <c r="DE629" s="33"/>
      <c r="DF629" s="33"/>
      <c r="DG629" s="33"/>
      <c r="DH629" s="34"/>
      <c r="DI629" s="34"/>
      <c r="DJ629" s="34"/>
      <c r="DK629" s="34"/>
      <c r="DL629" s="34"/>
      <c r="DM629" s="34"/>
      <c r="DN629" s="12">
        <v>4203045</v>
      </c>
      <c r="DS629" s="21"/>
      <c r="DT629" s="21"/>
      <c r="DU629" s="21"/>
    </row>
    <row r="630" spans="72:125" ht="13.5" customHeight="1">
      <c r="BT630" s="12">
        <v>4403045</v>
      </c>
      <c r="BU630" s="3">
        <f>[1]monsters!$N630</f>
        <v>136.53</v>
      </c>
      <c r="BV630" s="3">
        <f>[1]monsters!$O630</f>
        <v>13.65</v>
      </c>
      <c r="BW630" s="3">
        <f>[1]monsters!$P630</f>
        <v>1536</v>
      </c>
      <c r="BX630" s="3">
        <f>[1]monsters!$Q630</f>
        <v>153.6</v>
      </c>
      <c r="BY630" s="3">
        <f>[1]monsters!$R630</f>
        <v>45.51</v>
      </c>
      <c r="BZ630" s="3">
        <f>[1]monsters!$S630</f>
        <v>4.55</v>
      </c>
      <c r="CA630" s="3">
        <f>[1]monsters!$K630</f>
        <v>1.6</v>
      </c>
      <c r="CB630" s="12">
        <f>[1]monsters!$D630</f>
        <v>2</v>
      </c>
      <c r="CC630" s="12">
        <f t="shared" ca="1" si="55"/>
        <v>0.1</v>
      </c>
      <c r="CD630" s="12">
        <f t="shared" ca="1" si="56"/>
        <v>57.728262075298503</v>
      </c>
      <c r="CE630" s="12">
        <f t="shared" ca="1" si="57"/>
        <v>5.7728262075298504</v>
      </c>
      <c r="CS630" s="33"/>
      <c r="CT630" s="33"/>
      <c r="CU630" s="33"/>
      <c r="CV630" s="32"/>
      <c r="CW630" s="32"/>
      <c r="CX630" s="32"/>
      <c r="CY630" s="34"/>
      <c r="CZ630" s="34"/>
      <c r="DA630" s="34"/>
      <c r="DB630" s="33"/>
      <c r="DC630" s="33"/>
      <c r="DD630" s="33"/>
      <c r="DE630" s="33"/>
      <c r="DF630" s="33"/>
      <c r="DG630" s="33"/>
      <c r="DH630" s="34"/>
      <c r="DI630" s="34"/>
      <c r="DJ630" s="34"/>
      <c r="DK630" s="34"/>
      <c r="DL630" s="34"/>
      <c r="DM630" s="34"/>
      <c r="DN630" s="12">
        <v>4403045</v>
      </c>
      <c r="DS630" s="21"/>
      <c r="DT630" s="21"/>
      <c r="DU630" s="21"/>
    </row>
    <row r="631" spans="72:125" ht="13.5" customHeight="1">
      <c r="BT631" s="12">
        <v>4204045</v>
      </c>
      <c r="BU631" s="3">
        <f>[1]monsters!$N631</f>
        <v>136.53</v>
      </c>
      <c r="BV631" s="3">
        <f>[1]monsters!$O631</f>
        <v>13.65</v>
      </c>
      <c r="BW631" s="3">
        <f>[1]monsters!$P631</f>
        <v>1536</v>
      </c>
      <c r="BX631" s="3">
        <f>[1]monsters!$Q631</f>
        <v>153.6</v>
      </c>
      <c r="BY631" s="3">
        <f>[1]monsters!$R631</f>
        <v>45.51</v>
      </c>
      <c r="BZ631" s="3">
        <f>[1]monsters!$S631</f>
        <v>4.55</v>
      </c>
      <c r="CA631" s="3">
        <f>[1]monsters!$K631</f>
        <v>1.6</v>
      </c>
      <c r="CB631" s="12">
        <f>[1]monsters!$D631</f>
        <v>2</v>
      </c>
      <c r="CC631" s="12">
        <f t="shared" ca="1" si="55"/>
        <v>0.1</v>
      </c>
      <c r="CD631" s="12">
        <f t="shared" ca="1" si="56"/>
        <v>64.988735353535304</v>
      </c>
      <c r="CE631" s="12">
        <f t="shared" ca="1" si="57"/>
        <v>6.4988735353535398</v>
      </c>
      <c r="CS631" s="33"/>
      <c r="CT631" s="33"/>
      <c r="CU631" s="33"/>
      <c r="CV631" s="32"/>
      <c r="CW631" s="32"/>
      <c r="CX631" s="32"/>
      <c r="CY631" s="34"/>
      <c r="CZ631" s="34"/>
      <c r="DA631" s="34"/>
      <c r="DB631" s="33"/>
      <c r="DC631" s="33"/>
      <c r="DD631" s="33"/>
      <c r="DE631" s="33"/>
      <c r="DF631" s="33"/>
      <c r="DG631" s="33"/>
      <c r="DH631" s="34"/>
      <c r="DI631" s="34"/>
      <c r="DJ631" s="34"/>
      <c r="DK631" s="34"/>
      <c r="DL631" s="34"/>
      <c r="DM631" s="34"/>
      <c r="DN631" s="12">
        <v>4204045</v>
      </c>
      <c r="DS631" s="21"/>
      <c r="DT631" s="21"/>
      <c r="DU631" s="21"/>
    </row>
    <row r="632" spans="72:125" ht="13.5" customHeight="1">
      <c r="BT632" s="12">
        <v>4404045</v>
      </c>
      <c r="BU632" s="3">
        <f>[1]monsters!$N632</f>
        <v>153.6</v>
      </c>
      <c r="BV632" s="3">
        <f>[1]monsters!$O632</f>
        <v>15.36</v>
      </c>
      <c r="BW632" s="3">
        <f>[1]monsters!$P632</f>
        <v>1728</v>
      </c>
      <c r="BX632" s="3">
        <f>[1]monsters!$Q632</f>
        <v>172.8</v>
      </c>
      <c r="BY632" s="3">
        <f>[1]monsters!$R632</f>
        <v>51.2</v>
      </c>
      <c r="BZ632" s="3">
        <f>[1]monsters!$S632</f>
        <v>5.12</v>
      </c>
      <c r="CA632" s="3">
        <f>[1]monsters!$K632</f>
        <v>1.6</v>
      </c>
      <c r="CB632" s="12">
        <f>[1]monsters!$D632</f>
        <v>2</v>
      </c>
      <c r="CC632" s="12">
        <f t="shared" ca="1" si="55"/>
        <v>0.1</v>
      </c>
      <c r="CD632" s="12">
        <f t="shared" ca="1" si="56"/>
        <v>69.370662075298497</v>
      </c>
      <c r="CE632" s="12">
        <f t="shared" ca="1" si="57"/>
        <v>6.9370662075298499</v>
      </c>
      <c r="CS632" s="33"/>
      <c r="CT632" s="33"/>
      <c r="CU632" s="33"/>
      <c r="CV632" s="32"/>
      <c r="CW632" s="32"/>
      <c r="CX632" s="32"/>
      <c r="CY632" s="34"/>
      <c r="CZ632" s="34"/>
      <c r="DA632" s="34"/>
      <c r="DB632" s="33"/>
      <c r="DC632" s="33"/>
      <c r="DD632" s="33"/>
      <c r="DE632" s="33"/>
      <c r="DF632" s="33"/>
      <c r="DG632" s="33"/>
      <c r="DH632" s="34"/>
      <c r="DI632" s="34"/>
      <c r="DJ632" s="34"/>
      <c r="DK632" s="34"/>
      <c r="DL632" s="34"/>
      <c r="DM632" s="34"/>
      <c r="DN632" s="12">
        <v>4404045</v>
      </c>
      <c r="DS632" s="21"/>
      <c r="DT632" s="21"/>
      <c r="DU632" s="21"/>
    </row>
    <row r="633" spans="72:125" ht="13.5" customHeight="1">
      <c r="BT633" s="12">
        <v>4303045</v>
      </c>
      <c r="BU633" s="3">
        <f>[1]monsters!$N633</f>
        <v>153.6</v>
      </c>
      <c r="BV633" s="3">
        <f>[1]monsters!$O633</f>
        <v>15.36</v>
      </c>
      <c r="BW633" s="3">
        <f>[1]monsters!$P633</f>
        <v>1728</v>
      </c>
      <c r="BX633" s="3">
        <f>[1]monsters!$Q633</f>
        <v>172.8</v>
      </c>
      <c r="BY633" s="3">
        <f>[1]monsters!$R633</f>
        <v>51.2</v>
      </c>
      <c r="BZ633" s="3">
        <f>[1]monsters!$S633</f>
        <v>5.12</v>
      </c>
      <c r="CA633" s="3">
        <f>[1]monsters!$K633</f>
        <v>1.6</v>
      </c>
      <c r="CB633" s="12">
        <f>[1]monsters!$D633</f>
        <v>2</v>
      </c>
      <c r="CC633" s="12">
        <f t="shared" ca="1" si="55"/>
        <v>0.1</v>
      </c>
      <c r="CD633" s="12">
        <f t="shared" ca="1" si="56"/>
        <v>62.3835647586981</v>
      </c>
      <c r="CE633" s="12">
        <f t="shared" ca="1" si="57"/>
        <v>6.2383564758698098</v>
      </c>
      <c r="CS633" s="33"/>
      <c r="CT633" s="33"/>
      <c r="CU633" s="33"/>
      <c r="CV633" s="32"/>
      <c r="CW633" s="32"/>
      <c r="CX633" s="32"/>
      <c r="CY633" s="34"/>
      <c r="CZ633" s="34"/>
      <c r="DA633" s="34"/>
      <c r="DB633" s="33"/>
      <c r="DC633" s="33"/>
      <c r="DD633" s="33"/>
      <c r="DE633" s="33"/>
      <c r="DF633" s="33"/>
      <c r="DG633" s="33"/>
      <c r="DH633" s="34"/>
      <c r="DI633" s="34"/>
      <c r="DJ633" s="34"/>
      <c r="DK633" s="34"/>
      <c r="DL633" s="34"/>
      <c r="DM633" s="34"/>
      <c r="DN633" s="12">
        <v>4303045</v>
      </c>
      <c r="DS633" s="21"/>
      <c r="DT633" s="21"/>
      <c r="DU633" s="21"/>
    </row>
    <row r="634" spans="72:125" ht="13.5" customHeight="1">
      <c r="BT634" s="12">
        <v>4304045</v>
      </c>
      <c r="BU634" s="3">
        <f>[1]monsters!$N634</f>
        <v>153.6</v>
      </c>
      <c r="BV634" s="3">
        <f>[1]monsters!$O634</f>
        <v>15.36</v>
      </c>
      <c r="BW634" s="3">
        <f>[1]monsters!$P634</f>
        <v>1728</v>
      </c>
      <c r="BX634" s="3">
        <f>[1]monsters!$Q634</f>
        <v>172.8</v>
      </c>
      <c r="BY634" s="3">
        <f>[1]monsters!$R634</f>
        <v>51.2</v>
      </c>
      <c r="BZ634" s="3">
        <f>[1]monsters!$S634</f>
        <v>5.12</v>
      </c>
      <c r="CA634" s="3">
        <f>[1]monsters!$K634</f>
        <v>1.6</v>
      </c>
      <c r="CB634" s="12">
        <f>[1]monsters!$D634</f>
        <v>2</v>
      </c>
      <c r="CC634" s="12">
        <f t="shared" ca="1" si="55"/>
        <v>0.1</v>
      </c>
      <c r="CD634" s="12">
        <f t="shared" ca="1" si="56"/>
        <v>64.764964758698099</v>
      </c>
      <c r="CE634" s="12">
        <f t="shared" ca="1" si="57"/>
        <v>6.4764964758698103</v>
      </c>
      <c r="CS634" s="33"/>
      <c r="CT634" s="33"/>
      <c r="CU634" s="33"/>
      <c r="CV634" s="32"/>
      <c r="CW634" s="32"/>
      <c r="CX634" s="32"/>
      <c r="CY634" s="34"/>
      <c r="CZ634" s="34"/>
      <c r="DA634" s="34"/>
      <c r="DB634" s="33"/>
      <c r="DC634" s="33"/>
      <c r="DD634" s="33"/>
      <c r="DE634" s="33"/>
      <c r="DF634" s="33"/>
      <c r="DG634" s="33"/>
      <c r="DH634" s="34"/>
      <c r="DI634" s="34"/>
      <c r="DJ634" s="34"/>
      <c r="DK634" s="34"/>
      <c r="DL634" s="34"/>
      <c r="DM634" s="34"/>
      <c r="DN634" s="12">
        <v>4304045</v>
      </c>
      <c r="DS634" s="21"/>
      <c r="DT634" s="21"/>
      <c r="DU634" s="21"/>
    </row>
    <row r="635" spans="72:125" ht="13.5" customHeight="1">
      <c r="BT635" s="12">
        <v>4503045</v>
      </c>
      <c r="BU635" s="3">
        <f>[1]monsters!$N635</f>
        <v>153.6</v>
      </c>
      <c r="BV635" s="3">
        <f>[1]monsters!$O635</f>
        <v>15.36</v>
      </c>
      <c r="BW635" s="3">
        <f>[1]monsters!$P635</f>
        <v>1728</v>
      </c>
      <c r="BX635" s="3">
        <f>[1]monsters!$Q635</f>
        <v>172.8</v>
      </c>
      <c r="BY635" s="3">
        <f>[1]monsters!$R635</f>
        <v>51.2</v>
      </c>
      <c r="BZ635" s="3">
        <f>[1]monsters!$S635</f>
        <v>5.12</v>
      </c>
      <c r="CA635" s="3">
        <f>[1]monsters!$K635</f>
        <v>1.6</v>
      </c>
      <c r="CB635" s="12">
        <f>[1]monsters!$D635</f>
        <v>2</v>
      </c>
      <c r="CC635" s="12">
        <f t="shared" ca="1" si="55"/>
        <v>0.1</v>
      </c>
      <c r="CD635" s="12">
        <f t="shared" ca="1" si="56"/>
        <v>74.372223569023603</v>
      </c>
      <c r="CE635" s="12">
        <f t="shared" ca="1" si="57"/>
        <v>7.4372223569023603</v>
      </c>
      <c r="CS635" s="33"/>
      <c r="CT635" s="33"/>
      <c r="CU635" s="33"/>
      <c r="CV635" s="32"/>
      <c r="CW635" s="32"/>
      <c r="CX635" s="32"/>
      <c r="CY635" s="34"/>
      <c r="CZ635" s="34"/>
      <c r="DA635" s="34"/>
      <c r="DB635" s="33"/>
      <c r="DC635" s="33"/>
      <c r="DD635" s="33"/>
      <c r="DE635" s="33"/>
      <c r="DF635" s="33"/>
      <c r="DG635" s="33"/>
      <c r="DH635" s="34"/>
      <c r="DI635" s="34"/>
      <c r="DJ635" s="34"/>
      <c r="DK635" s="34"/>
      <c r="DL635" s="34"/>
      <c r="DM635" s="34"/>
      <c r="DN635" s="12">
        <v>4503045</v>
      </c>
      <c r="DS635" s="21"/>
      <c r="DT635" s="21"/>
      <c r="DU635" s="21"/>
    </row>
    <row r="636" spans="72:125" ht="13.5" customHeight="1">
      <c r="BT636" s="12">
        <v>4504045</v>
      </c>
      <c r="BU636" s="3">
        <f>[1]monsters!$N636</f>
        <v>153.6</v>
      </c>
      <c r="BV636" s="3">
        <f>[1]monsters!$O636</f>
        <v>15.36</v>
      </c>
      <c r="BW636" s="3">
        <f>[1]monsters!$P636</f>
        <v>1728</v>
      </c>
      <c r="BX636" s="3">
        <f>[1]monsters!$Q636</f>
        <v>172.8</v>
      </c>
      <c r="BY636" s="3">
        <f>[1]monsters!$R636</f>
        <v>51.2</v>
      </c>
      <c r="BZ636" s="3">
        <f>[1]monsters!$S636</f>
        <v>5.12</v>
      </c>
      <c r="CA636" s="3">
        <f>[1]monsters!$K636</f>
        <v>1.6</v>
      </c>
      <c r="CB636" s="12">
        <f>[1]monsters!$D636</f>
        <v>2</v>
      </c>
      <c r="CC636" s="12">
        <f t="shared" ca="1" si="55"/>
        <v>0.1</v>
      </c>
      <c r="CD636" s="12">
        <f t="shared" ca="1" si="56"/>
        <v>80.722623569023597</v>
      </c>
      <c r="CE636" s="12">
        <f t="shared" ca="1" si="57"/>
        <v>8.0722623569023604</v>
      </c>
      <c r="CS636" s="33"/>
      <c r="CT636" s="33"/>
      <c r="CU636" s="33"/>
      <c r="CV636" s="32"/>
      <c r="CW636" s="32"/>
      <c r="CX636" s="32"/>
      <c r="CY636" s="34"/>
      <c r="CZ636" s="34"/>
      <c r="DA636" s="34"/>
      <c r="DB636" s="33"/>
      <c r="DC636" s="33"/>
      <c r="DD636" s="33"/>
      <c r="DE636" s="33"/>
      <c r="DF636" s="33"/>
      <c r="DG636" s="33"/>
      <c r="DH636" s="34"/>
      <c r="DI636" s="34"/>
      <c r="DJ636" s="34"/>
      <c r="DK636" s="34"/>
      <c r="DL636" s="34"/>
      <c r="DM636" s="34"/>
      <c r="DN636" s="12">
        <v>4504045</v>
      </c>
      <c r="DS636" s="21"/>
      <c r="DT636" s="21"/>
      <c r="DU636" s="21"/>
    </row>
    <row r="637" spans="72:125" ht="13.5" customHeight="1">
      <c r="BT637" s="12">
        <v>4101045</v>
      </c>
      <c r="BU637" s="3">
        <f>[1]monsters!$N637</f>
        <v>170.67</v>
      </c>
      <c r="BV637" s="3">
        <f>[1]monsters!$O637</f>
        <v>17.07</v>
      </c>
      <c r="BW637" s="3">
        <f>[1]monsters!$P637</f>
        <v>1920</v>
      </c>
      <c r="BX637" s="3">
        <f>[1]monsters!$Q637</f>
        <v>192</v>
      </c>
      <c r="BY637" s="3">
        <f>[1]monsters!$R637</f>
        <v>56.89</v>
      </c>
      <c r="BZ637" s="3">
        <f>[1]monsters!$S637</f>
        <v>5.69</v>
      </c>
      <c r="CA637" s="3">
        <f>[1]monsters!$K637</f>
        <v>1.6</v>
      </c>
      <c r="CB637" s="12">
        <f>[1]monsters!$D637</f>
        <v>2</v>
      </c>
      <c r="CC637" s="12">
        <f t="shared" ca="1" si="55"/>
        <v>0.1</v>
      </c>
      <c r="CD637" s="12">
        <f t="shared" ca="1" si="56"/>
        <v>70.618828282828304</v>
      </c>
      <c r="CE637" s="12">
        <f t="shared" ca="1" si="57"/>
        <v>7.0618828282828296</v>
      </c>
      <c r="CS637" s="33"/>
      <c r="CT637" s="33"/>
      <c r="CU637" s="33"/>
      <c r="CV637" s="32"/>
      <c r="CW637" s="32"/>
      <c r="CX637" s="32"/>
      <c r="CY637" s="34"/>
      <c r="CZ637" s="34"/>
      <c r="DA637" s="34"/>
      <c r="DB637" s="33"/>
      <c r="DC637" s="33"/>
      <c r="DD637" s="33"/>
      <c r="DE637" s="33"/>
      <c r="DF637" s="33"/>
      <c r="DG637" s="33"/>
      <c r="DH637" s="34"/>
      <c r="DI637" s="34"/>
      <c r="DJ637" s="34"/>
      <c r="DK637" s="34"/>
      <c r="DL637" s="34"/>
      <c r="DM637" s="34"/>
      <c r="DN637" s="12">
        <v>4101045</v>
      </c>
      <c r="DS637" s="21"/>
      <c r="DT637" s="21"/>
      <c r="DU637" s="21"/>
    </row>
    <row r="638" spans="72:125" ht="13.5" customHeight="1">
      <c r="BT638" s="12">
        <v>4102045</v>
      </c>
      <c r="BU638" s="3">
        <f>[1]monsters!$N638</f>
        <v>170.67</v>
      </c>
      <c r="BV638" s="3">
        <f>[1]monsters!$O638</f>
        <v>17.07</v>
      </c>
      <c r="BW638" s="3">
        <f>[1]monsters!$P638</f>
        <v>1920</v>
      </c>
      <c r="BX638" s="3">
        <f>[1]monsters!$Q638</f>
        <v>192</v>
      </c>
      <c r="BY638" s="3">
        <f>[1]monsters!$R638</f>
        <v>56.89</v>
      </c>
      <c r="BZ638" s="3">
        <f>[1]monsters!$S638</f>
        <v>5.69</v>
      </c>
      <c r="CA638" s="3">
        <f>[1]monsters!$K638</f>
        <v>1.6</v>
      </c>
      <c r="CB638" s="12">
        <f>[1]monsters!$D638</f>
        <v>2</v>
      </c>
      <c r="CC638" s="12">
        <f t="shared" ca="1" si="55"/>
        <v>0.1</v>
      </c>
      <c r="CD638" s="12">
        <f t="shared" ca="1" si="56"/>
        <v>65.326828282828302</v>
      </c>
      <c r="CE638" s="12">
        <f t="shared" ca="1" si="57"/>
        <v>6.5326828282828302</v>
      </c>
      <c r="CS638" s="33"/>
      <c r="CT638" s="33"/>
      <c r="CU638" s="33"/>
      <c r="CV638" s="32"/>
      <c r="CW638" s="32"/>
      <c r="CX638" s="32"/>
      <c r="CY638" s="34"/>
      <c r="CZ638" s="34"/>
      <c r="DA638" s="34"/>
      <c r="DB638" s="33"/>
      <c r="DC638" s="33"/>
      <c r="DD638" s="33"/>
      <c r="DE638" s="33"/>
      <c r="DF638" s="33"/>
      <c r="DG638" s="33"/>
      <c r="DH638" s="34"/>
      <c r="DI638" s="34"/>
      <c r="DJ638" s="34"/>
      <c r="DK638" s="34"/>
      <c r="DL638" s="34"/>
      <c r="DM638" s="34"/>
      <c r="DN638" s="12">
        <v>4102045</v>
      </c>
      <c r="DS638" s="21"/>
      <c r="DT638" s="21"/>
      <c r="DU638" s="21"/>
    </row>
    <row r="639" spans="72:125" ht="13.5" customHeight="1">
      <c r="BT639" s="12">
        <v>5206051</v>
      </c>
      <c r="BU639" s="3">
        <f>[1]monsters!$N639</f>
        <v>170.67</v>
      </c>
      <c r="BV639" s="3">
        <f>[1]monsters!$O639</f>
        <v>17.07</v>
      </c>
      <c r="BW639" s="3">
        <f>[1]monsters!$P639</f>
        <v>1920</v>
      </c>
      <c r="BX639" s="3">
        <f>[1]monsters!$Q639</f>
        <v>192</v>
      </c>
      <c r="BY639" s="3">
        <f>[1]monsters!$R639</f>
        <v>56.89</v>
      </c>
      <c r="BZ639" s="3">
        <f>[1]monsters!$S639</f>
        <v>5.69</v>
      </c>
      <c r="CA639" s="3">
        <f>[1]monsters!$K639</f>
        <v>1.6</v>
      </c>
      <c r="CB639" s="12">
        <f>[1]monsters!$D639</f>
        <v>2</v>
      </c>
      <c r="CC639" s="12">
        <f t="shared" ca="1" si="55"/>
        <v>0.1</v>
      </c>
      <c r="CD639" s="12">
        <f t="shared" ca="1" si="56"/>
        <v>81.530440404040405</v>
      </c>
      <c r="CE639" s="12">
        <f t="shared" ca="1" si="57"/>
        <v>8.1530440404040405</v>
      </c>
      <c r="CS639" s="33"/>
      <c r="CT639" s="33"/>
      <c r="CU639" s="33"/>
      <c r="CV639" s="32"/>
      <c r="CW639" s="32"/>
      <c r="CX639" s="32"/>
      <c r="CY639" s="34"/>
      <c r="CZ639" s="34"/>
      <c r="DA639" s="34"/>
      <c r="DB639" s="33"/>
      <c r="DC639" s="33"/>
      <c r="DD639" s="33"/>
      <c r="DE639" s="33"/>
      <c r="DF639" s="33"/>
      <c r="DG639" s="33"/>
      <c r="DH639" s="34"/>
      <c r="DI639" s="34"/>
      <c r="DJ639" s="34"/>
      <c r="DK639" s="34"/>
      <c r="DL639" s="34"/>
      <c r="DM639" s="34"/>
      <c r="DN639" s="12">
        <v>5206051</v>
      </c>
      <c r="DS639" s="21"/>
      <c r="DT639" s="21"/>
      <c r="DU639" s="21"/>
    </row>
    <row r="640" spans="72:125" ht="13.5" customHeight="1">
      <c r="BT640" s="12">
        <v>5406051</v>
      </c>
      <c r="BU640" s="3">
        <f>[1]monsters!$N640</f>
        <v>170.67</v>
      </c>
      <c r="BV640" s="3">
        <f>[1]monsters!$O640</f>
        <v>17.07</v>
      </c>
      <c r="BW640" s="3">
        <f>[1]monsters!$P640</f>
        <v>1920</v>
      </c>
      <c r="BX640" s="3">
        <f>[1]monsters!$Q640</f>
        <v>192</v>
      </c>
      <c r="BY640" s="3">
        <f>[1]monsters!$R640</f>
        <v>56.89</v>
      </c>
      <c r="BZ640" s="3">
        <f>[1]monsters!$S640</f>
        <v>5.69</v>
      </c>
      <c r="CA640" s="3">
        <f>[1]monsters!$K640</f>
        <v>1.6</v>
      </c>
      <c r="CB640" s="12">
        <f>[1]monsters!$D640</f>
        <v>2</v>
      </c>
      <c r="CC640" s="12">
        <f t="shared" ca="1" si="55"/>
        <v>0.1</v>
      </c>
      <c r="CD640" s="12">
        <f t="shared" ca="1" si="56"/>
        <v>75.954356657483899</v>
      </c>
      <c r="CE640" s="12">
        <f t="shared" ca="1" si="57"/>
        <v>7.5954356657483899</v>
      </c>
      <c r="CS640" s="33"/>
      <c r="CT640" s="33"/>
      <c r="CU640" s="33"/>
      <c r="CV640" s="32"/>
      <c r="CW640" s="32"/>
      <c r="CX640" s="32"/>
      <c r="CY640" s="34"/>
      <c r="CZ640" s="34"/>
      <c r="DA640" s="34"/>
      <c r="DB640" s="33"/>
      <c r="DC640" s="33"/>
      <c r="DD640" s="33"/>
      <c r="DE640" s="33"/>
      <c r="DF640" s="33"/>
      <c r="DG640" s="33"/>
      <c r="DH640" s="34"/>
      <c r="DI640" s="34"/>
      <c r="DJ640" s="34"/>
      <c r="DK640" s="34"/>
      <c r="DL640" s="34"/>
      <c r="DM640" s="34"/>
      <c r="DN640" s="12">
        <v>5406051</v>
      </c>
      <c r="DS640" s="21"/>
      <c r="DT640" s="21"/>
      <c r="DU640" s="21"/>
    </row>
    <row r="641" spans="72:125" ht="13.5" customHeight="1">
      <c r="BT641" s="12">
        <v>5205051</v>
      </c>
      <c r="BU641" s="3">
        <f>[1]monsters!$N641</f>
        <v>170.67</v>
      </c>
      <c r="BV641" s="3">
        <f>[1]monsters!$O641</f>
        <v>17.07</v>
      </c>
      <c r="BW641" s="3">
        <f>[1]monsters!$P641</f>
        <v>1920</v>
      </c>
      <c r="BX641" s="3">
        <f>[1]monsters!$Q641</f>
        <v>192</v>
      </c>
      <c r="BY641" s="3">
        <f>[1]monsters!$R641</f>
        <v>56.89</v>
      </c>
      <c r="BZ641" s="3">
        <f>[1]monsters!$S641</f>
        <v>5.69</v>
      </c>
      <c r="CA641" s="3">
        <f>[1]monsters!$K641</f>
        <v>1.6</v>
      </c>
      <c r="CB641" s="12">
        <f>[1]monsters!$D641</f>
        <v>2</v>
      </c>
      <c r="CC641" s="12">
        <f t="shared" ca="1" si="55"/>
        <v>0.1</v>
      </c>
      <c r="CD641" s="12">
        <f t="shared" ca="1" si="56"/>
        <v>88.788040404040402</v>
      </c>
      <c r="CE641" s="12">
        <f t="shared" ca="1" si="57"/>
        <v>8.8788040404040398</v>
      </c>
      <c r="CS641" s="33"/>
      <c r="CT641" s="33"/>
      <c r="CU641" s="33"/>
      <c r="CV641" s="32"/>
      <c r="CW641" s="32"/>
      <c r="CX641" s="32"/>
      <c r="CY641" s="34"/>
      <c r="CZ641" s="34"/>
      <c r="DA641" s="34"/>
      <c r="DB641" s="33"/>
      <c r="DC641" s="33"/>
      <c r="DD641" s="33"/>
      <c r="DE641" s="33"/>
      <c r="DF641" s="33"/>
      <c r="DG641" s="33"/>
      <c r="DH641" s="34"/>
      <c r="DI641" s="34"/>
      <c r="DJ641" s="34"/>
      <c r="DK641" s="34"/>
      <c r="DL641" s="34"/>
      <c r="DM641" s="34"/>
      <c r="DN641" s="12">
        <v>5205051</v>
      </c>
      <c r="DS641" s="21"/>
      <c r="DT641" s="21"/>
      <c r="DU641" s="21"/>
    </row>
    <row r="642" spans="72:125" ht="13.5" customHeight="1">
      <c r="BT642" s="12">
        <v>5405051</v>
      </c>
      <c r="BU642" s="3">
        <f>[1]monsters!$N642</f>
        <v>187.73</v>
      </c>
      <c r="BV642" s="3">
        <f>[1]monsters!$O642</f>
        <v>18.77</v>
      </c>
      <c r="BW642" s="3">
        <f>[1]monsters!$P642</f>
        <v>2112</v>
      </c>
      <c r="BX642" s="3">
        <f>[1]monsters!$Q642</f>
        <v>211.2</v>
      </c>
      <c r="BY642" s="3">
        <f>[1]monsters!$R642</f>
        <v>62.58</v>
      </c>
      <c r="BZ642" s="3">
        <f>[1]monsters!$S642</f>
        <v>6.26</v>
      </c>
      <c r="CA642" s="3">
        <f>[1]monsters!$K642</f>
        <v>1.6</v>
      </c>
      <c r="CB642" s="12">
        <f>[1]monsters!$D642</f>
        <v>2</v>
      </c>
      <c r="CC642" s="12">
        <f t="shared" ca="1" si="55"/>
        <v>0.1</v>
      </c>
      <c r="CD642" s="12">
        <f t="shared" ca="1" si="56"/>
        <v>79.280756657483906</v>
      </c>
      <c r="CE642" s="12">
        <f t="shared" ca="1" si="57"/>
        <v>7.9280756657483904</v>
      </c>
      <c r="CS642" s="33"/>
      <c r="CT642" s="33"/>
      <c r="CU642" s="33"/>
      <c r="CV642" s="32"/>
      <c r="CW642" s="32"/>
      <c r="CX642" s="32"/>
      <c r="CY642" s="34"/>
      <c r="CZ642" s="34"/>
      <c r="DA642" s="34"/>
      <c r="DB642" s="33"/>
      <c r="DC642" s="33"/>
      <c r="DD642" s="33"/>
      <c r="DE642" s="33"/>
      <c r="DF642" s="33"/>
      <c r="DG642" s="33"/>
      <c r="DH642" s="34"/>
      <c r="DI642" s="34"/>
      <c r="DJ642" s="34"/>
      <c r="DK642" s="34"/>
      <c r="DL642" s="34"/>
      <c r="DM642" s="34"/>
      <c r="DN642" s="12">
        <v>5405051</v>
      </c>
      <c r="DS642" s="21"/>
      <c r="DT642" s="21"/>
      <c r="DU642" s="21"/>
    </row>
    <row r="643" spans="72:125" ht="13.5" customHeight="1">
      <c r="BT643" s="12">
        <v>5203051</v>
      </c>
      <c r="BU643" s="3">
        <f>[1]monsters!$N643</f>
        <v>187.73</v>
      </c>
      <c r="BV643" s="3">
        <f>[1]monsters!$O643</f>
        <v>18.77</v>
      </c>
      <c r="BW643" s="3">
        <f>[1]monsters!$P643</f>
        <v>2112</v>
      </c>
      <c r="BX643" s="3">
        <f>[1]monsters!$Q643</f>
        <v>211.2</v>
      </c>
      <c r="BY643" s="3">
        <f>[1]monsters!$R643</f>
        <v>62.58</v>
      </c>
      <c r="BZ643" s="3">
        <f>[1]monsters!$S643</f>
        <v>6.26</v>
      </c>
      <c r="CA643" s="3">
        <f>[1]monsters!$K643</f>
        <v>1.6</v>
      </c>
      <c r="CB643" s="12">
        <f>[1]monsters!$D643</f>
        <v>2</v>
      </c>
      <c r="CC643" s="12">
        <f t="shared" ca="1" si="55"/>
        <v>0.1</v>
      </c>
      <c r="CD643" s="12">
        <f t="shared" ca="1" si="56"/>
        <v>71.853640404040405</v>
      </c>
      <c r="CE643" s="12">
        <f t="shared" ca="1" si="57"/>
        <v>7.18536404040404</v>
      </c>
      <c r="CS643" s="33"/>
      <c r="CT643" s="33"/>
      <c r="CU643" s="33"/>
      <c r="CV643" s="32"/>
      <c r="CW643" s="32"/>
      <c r="CX643" s="32"/>
      <c r="CY643" s="34"/>
      <c r="CZ643" s="34"/>
      <c r="DA643" s="34"/>
      <c r="DB643" s="33"/>
      <c r="DC643" s="33"/>
      <c r="DD643" s="33"/>
      <c r="DE643" s="33"/>
      <c r="DF643" s="33"/>
      <c r="DG643" s="33"/>
      <c r="DH643" s="34"/>
      <c r="DI643" s="34"/>
      <c r="DJ643" s="34"/>
      <c r="DK643" s="34"/>
      <c r="DL643" s="34"/>
      <c r="DM643" s="34"/>
      <c r="DN643" s="12">
        <v>5203051</v>
      </c>
      <c r="DS643" s="21"/>
      <c r="DT643" s="21"/>
      <c r="DU643" s="21"/>
    </row>
    <row r="644" spans="72:125" ht="13.5" customHeight="1">
      <c r="BT644" s="12">
        <v>5403051</v>
      </c>
      <c r="BU644" s="3">
        <f>[1]monsters!$N644</f>
        <v>187.73</v>
      </c>
      <c r="BV644" s="3">
        <f>[1]monsters!$O644</f>
        <v>18.77</v>
      </c>
      <c r="BW644" s="3">
        <f>[1]monsters!$P644</f>
        <v>2112</v>
      </c>
      <c r="BX644" s="3">
        <f>[1]monsters!$Q644</f>
        <v>211.2</v>
      </c>
      <c r="BY644" s="3">
        <f>[1]monsters!$R644</f>
        <v>62.58</v>
      </c>
      <c r="BZ644" s="3">
        <f>[1]monsters!$S644</f>
        <v>6.26</v>
      </c>
      <c r="CA644" s="3">
        <f>[1]monsters!$K644</f>
        <v>1.6</v>
      </c>
      <c r="CB644" s="12">
        <f>[1]monsters!$D644</f>
        <v>2</v>
      </c>
      <c r="CC644" s="12">
        <f t="shared" ref="CC644:CC707" ca="1" si="58">INDEX($CK$5:$CK$10,MATCH($CC644,$CJ$5:$CJ$10))</f>
        <v>0.1</v>
      </c>
      <c r="CD644" s="12">
        <f t="shared" ca="1" si="56"/>
        <v>65.975156657483893</v>
      </c>
      <c r="CE644" s="12">
        <f t="shared" ca="1" si="57"/>
        <v>6.5975156657483902</v>
      </c>
      <c r="CS644" s="33"/>
      <c r="CT644" s="33"/>
      <c r="CU644" s="33"/>
      <c r="CV644" s="32"/>
      <c r="CW644" s="32"/>
      <c r="CX644" s="32"/>
      <c r="CY644" s="34"/>
      <c r="CZ644" s="34"/>
      <c r="DA644" s="34"/>
      <c r="DB644" s="33"/>
      <c r="DC644" s="33"/>
      <c r="DD644" s="33"/>
      <c r="DE644" s="33"/>
      <c r="DF644" s="33"/>
      <c r="DG644" s="33"/>
      <c r="DH644" s="34"/>
      <c r="DI644" s="34"/>
      <c r="DJ644" s="34"/>
      <c r="DK644" s="34"/>
      <c r="DL644" s="34"/>
      <c r="DM644" s="34"/>
      <c r="DN644" s="12">
        <v>5403051</v>
      </c>
      <c r="DS644" s="21"/>
      <c r="DT644" s="21"/>
      <c r="DU644" s="21"/>
    </row>
    <row r="645" spans="72:125" ht="13.5" customHeight="1">
      <c r="BT645" s="12">
        <v>5204051</v>
      </c>
      <c r="BU645" s="3">
        <f>[1]monsters!$N645</f>
        <v>187.73</v>
      </c>
      <c r="BV645" s="3">
        <f>[1]monsters!$O645</f>
        <v>18.77</v>
      </c>
      <c r="BW645" s="3">
        <f>[1]monsters!$P645</f>
        <v>2112</v>
      </c>
      <c r="BX645" s="3">
        <f>[1]monsters!$Q645</f>
        <v>211.2</v>
      </c>
      <c r="BY645" s="3">
        <f>[1]monsters!$R645</f>
        <v>62.58</v>
      </c>
      <c r="BZ645" s="3">
        <f>[1]monsters!$S645</f>
        <v>6.26</v>
      </c>
      <c r="CA645" s="3">
        <f>[1]monsters!$K645</f>
        <v>1.6</v>
      </c>
      <c r="CB645" s="12">
        <f>[1]monsters!$D645</f>
        <v>2</v>
      </c>
      <c r="CC645" s="12">
        <f t="shared" ca="1" si="58"/>
        <v>0.1</v>
      </c>
      <c r="CD645" s="12">
        <f t="shared" ref="CD645:CD708" ca="1" si="59">(BW645/33/(1-CC645)/(1-0)+BU645*(1+0.5*0.1)*0.9)</f>
        <v>74.272840404040394</v>
      </c>
      <c r="CE645" s="12">
        <f t="shared" ref="CE645:CE708" ca="1" si="60">(BW645/33/(1-CC645)/(1-0)+BU645*(1+0.5*0.1)*0.9)*0.1</f>
        <v>7.4272840404040403</v>
      </c>
      <c r="CS645" s="33"/>
      <c r="CT645" s="33"/>
      <c r="CU645" s="33"/>
      <c r="CV645" s="32"/>
      <c r="CW645" s="32"/>
      <c r="CX645" s="32"/>
      <c r="CY645" s="34"/>
      <c r="CZ645" s="34"/>
      <c r="DA645" s="34"/>
      <c r="DB645" s="33"/>
      <c r="DC645" s="33"/>
      <c r="DD645" s="33"/>
      <c r="DE645" s="33"/>
      <c r="DF645" s="33"/>
      <c r="DG645" s="33"/>
      <c r="DH645" s="34"/>
      <c r="DI645" s="34"/>
      <c r="DJ645" s="34"/>
      <c r="DK645" s="34"/>
      <c r="DL645" s="34"/>
      <c r="DM645" s="34"/>
      <c r="DN645" s="12">
        <v>5204051</v>
      </c>
      <c r="DS645" s="21"/>
      <c r="DT645" s="21"/>
      <c r="DU645" s="21"/>
    </row>
    <row r="646" spans="72:125" ht="13.5" customHeight="1">
      <c r="BT646" s="12">
        <v>5404051</v>
      </c>
      <c r="BU646" s="3">
        <f>[1]monsters!$N646</f>
        <v>187.73</v>
      </c>
      <c r="BV646" s="3">
        <f>[1]monsters!$O646</f>
        <v>18.77</v>
      </c>
      <c r="BW646" s="3">
        <f>[1]monsters!$P646</f>
        <v>2112</v>
      </c>
      <c r="BX646" s="3">
        <f>[1]monsters!$Q646</f>
        <v>211.2</v>
      </c>
      <c r="BY646" s="3">
        <f>[1]monsters!$R646</f>
        <v>62.58</v>
      </c>
      <c r="BZ646" s="3">
        <f>[1]monsters!$S646</f>
        <v>6.26</v>
      </c>
      <c r="CA646" s="3">
        <f>[1]monsters!$K646</f>
        <v>1.6</v>
      </c>
      <c r="CB646" s="12">
        <f>[1]monsters!$D646</f>
        <v>2</v>
      </c>
      <c r="CC646" s="12">
        <f t="shared" ca="1" si="58"/>
        <v>0.1</v>
      </c>
      <c r="CD646" s="12">
        <f t="shared" ca="1" si="59"/>
        <v>79.280756657483906</v>
      </c>
      <c r="CE646" s="12">
        <f t="shared" ca="1" si="60"/>
        <v>7.9280756657483904</v>
      </c>
      <c r="CS646" s="33"/>
      <c r="CT646" s="33"/>
      <c r="CU646" s="33"/>
      <c r="CV646" s="32"/>
      <c r="CW646" s="32"/>
      <c r="CX646" s="32"/>
      <c r="CY646" s="34"/>
      <c r="CZ646" s="34"/>
      <c r="DA646" s="34"/>
      <c r="DB646" s="33"/>
      <c r="DC646" s="33"/>
      <c r="DD646" s="33"/>
      <c r="DE646" s="33"/>
      <c r="DF646" s="33"/>
      <c r="DG646" s="33"/>
      <c r="DH646" s="34"/>
      <c r="DI646" s="34"/>
      <c r="DJ646" s="34"/>
      <c r="DK646" s="34"/>
      <c r="DL646" s="34"/>
      <c r="DM646" s="34"/>
      <c r="DN646" s="12">
        <v>5404051</v>
      </c>
      <c r="DS646" s="21"/>
      <c r="DT646" s="21"/>
      <c r="DU646" s="21"/>
    </row>
    <row r="647" spans="72:125" ht="13.5" customHeight="1">
      <c r="BT647" s="12">
        <v>5303051</v>
      </c>
      <c r="BU647" s="3">
        <f>[1]monsters!$N647</f>
        <v>204.8</v>
      </c>
      <c r="BV647" s="3">
        <f>[1]monsters!$O647</f>
        <v>20.48</v>
      </c>
      <c r="BW647" s="3">
        <f>[1]monsters!$P647</f>
        <v>2304</v>
      </c>
      <c r="BX647" s="3">
        <f>[1]monsters!$Q647</f>
        <v>230.4</v>
      </c>
      <c r="BY647" s="3">
        <f>[1]monsters!$R647</f>
        <v>68.27</v>
      </c>
      <c r="BZ647" s="3">
        <f>[1]monsters!$S647</f>
        <v>6.83</v>
      </c>
      <c r="CA647" s="3">
        <f>[1]monsters!$K647</f>
        <v>1.6</v>
      </c>
      <c r="CB647" s="12">
        <f>[1]monsters!$D647</f>
        <v>2</v>
      </c>
      <c r="CC647" s="12">
        <f t="shared" ca="1" si="58"/>
        <v>0.1</v>
      </c>
      <c r="CD647" s="12">
        <f t="shared" ca="1" si="59"/>
        <v>71.295502581369405</v>
      </c>
      <c r="CE647" s="12">
        <f t="shared" ca="1" si="60"/>
        <v>7.1295502581369403</v>
      </c>
      <c r="CS647" s="33"/>
      <c r="CT647" s="33"/>
      <c r="CU647" s="33"/>
      <c r="CV647" s="32"/>
      <c r="CW647" s="32"/>
      <c r="CX647" s="32"/>
      <c r="CY647" s="34"/>
      <c r="CZ647" s="34"/>
      <c r="DA647" s="34"/>
      <c r="DB647" s="33"/>
      <c r="DC647" s="33"/>
      <c r="DD647" s="33"/>
      <c r="DE647" s="33"/>
      <c r="DF647" s="33"/>
      <c r="DG647" s="33"/>
      <c r="DH647" s="34"/>
      <c r="DI647" s="34"/>
      <c r="DJ647" s="34"/>
      <c r="DK647" s="34"/>
      <c r="DL647" s="34"/>
      <c r="DM647" s="34"/>
      <c r="DN647" s="12">
        <v>5303051</v>
      </c>
      <c r="DS647" s="21"/>
      <c r="DT647" s="21"/>
      <c r="DU647" s="21"/>
    </row>
    <row r="648" spans="72:125" ht="13.5" customHeight="1">
      <c r="BT648" s="12">
        <v>5304051</v>
      </c>
      <c r="BU648" s="3">
        <f>[1]monsters!$N648</f>
        <v>204.8</v>
      </c>
      <c r="BV648" s="3">
        <f>[1]monsters!$O648</f>
        <v>20.48</v>
      </c>
      <c r="BW648" s="3">
        <f>[1]monsters!$P648</f>
        <v>2304</v>
      </c>
      <c r="BX648" s="3">
        <f>[1]monsters!$Q648</f>
        <v>230.4</v>
      </c>
      <c r="BY648" s="3">
        <f>[1]monsters!$R648</f>
        <v>68.27</v>
      </c>
      <c r="BZ648" s="3">
        <f>[1]monsters!$S648</f>
        <v>6.83</v>
      </c>
      <c r="CA648" s="3">
        <f>[1]monsters!$K648</f>
        <v>1.6</v>
      </c>
      <c r="CB648" s="12">
        <f>[1]monsters!$D648</f>
        <v>2</v>
      </c>
      <c r="CC648" s="12">
        <f t="shared" ca="1" si="58"/>
        <v>0.1</v>
      </c>
      <c r="CD648" s="12">
        <f t="shared" ca="1" si="59"/>
        <v>74.0171025813694</v>
      </c>
      <c r="CE648" s="12">
        <f t="shared" ca="1" si="60"/>
        <v>7.4017102581369398</v>
      </c>
      <c r="CS648" s="33"/>
      <c r="CT648" s="33"/>
      <c r="CU648" s="33"/>
      <c r="CV648" s="32"/>
      <c r="CW648" s="32"/>
      <c r="CX648" s="32"/>
      <c r="CY648" s="34"/>
      <c r="CZ648" s="34"/>
      <c r="DA648" s="34"/>
      <c r="DB648" s="33"/>
      <c r="DC648" s="33"/>
      <c r="DD648" s="33"/>
      <c r="DE648" s="33"/>
      <c r="DF648" s="33"/>
      <c r="DG648" s="33"/>
      <c r="DH648" s="34"/>
      <c r="DI648" s="34"/>
      <c r="DJ648" s="34"/>
      <c r="DK648" s="34"/>
      <c r="DL648" s="34"/>
      <c r="DM648" s="34"/>
      <c r="DN648" s="12">
        <v>5304051</v>
      </c>
      <c r="DS648" s="21"/>
      <c r="DT648" s="21"/>
      <c r="DU648" s="21"/>
    </row>
    <row r="649" spans="72:125" ht="13.5" customHeight="1">
      <c r="BT649" s="12">
        <v>5503051</v>
      </c>
      <c r="BU649" s="3">
        <f>[1]monsters!$N649</f>
        <v>204.8</v>
      </c>
      <c r="BV649" s="3">
        <f>[1]monsters!$O649</f>
        <v>20.48</v>
      </c>
      <c r="BW649" s="3">
        <f>[1]monsters!$P649</f>
        <v>2304</v>
      </c>
      <c r="BX649" s="3">
        <f>[1]monsters!$Q649</f>
        <v>230.4</v>
      </c>
      <c r="BY649" s="3">
        <f>[1]monsters!$R649</f>
        <v>68.27</v>
      </c>
      <c r="BZ649" s="3">
        <f>[1]monsters!$S649</f>
        <v>6.83</v>
      </c>
      <c r="CA649" s="3">
        <f>[1]monsters!$K649</f>
        <v>1.6</v>
      </c>
      <c r="CB649" s="12">
        <f>[1]monsters!$D649</f>
        <v>2</v>
      </c>
      <c r="CC649" s="12">
        <f t="shared" ca="1" si="58"/>
        <v>0.1</v>
      </c>
      <c r="CD649" s="12">
        <f t="shared" ca="1" si="59"/>
        <v>84.996826936026906</v>
      </c>
      <c r="CE649" s="12">
        <f t="shared" ca="1" si="60"/>
        <v>8.4996826936026899</v>
      </c>
      <c r="CS649" s="33"/>
      <c r="CT649" s="33"/>
      <c r="CU649" s="33"/>
      <c r="CV649" s="32"/>
      <c r="CW649" s="32"/>
      <c r="CX649" s="32"/>
      <c r="CY649" s="34"/>
      <c r="CZ649" s="34"/>
      <c r="DA649" s="34"/>
      <c r="DB649" s="33"/>
      <c r="DC649" s="33"/>
      <c r="DD649" s="33"/>
      <c r="DE649" s="33"/>
      <c r="DF649" s="33"/>
      <c r="DG649" s="33"/>
      <c r="DH649" s="34"/>
      <c r="DI649" s="34"/>
      <c r="DJ649" s="34"/>
      <c r="DK649" s="34"/>
      <c r="DL649" s="34"/>
      <c r="DM649" s="34"/>
      <c r="DN649" s="12">
        <v>5503051</v>
      </c>
      <c r="DS649" s="21"/>
      <c r="DT649" s="21"/>
      <c r="DU649" s="21"/>
    </row>
    <row r="650" spans="72:125" ht="13.5" customHeight="1">
      <c r="BT650" s="12">
        <v>5504051</v>
      </c>
      <c r="BU650" s="3">
        <f>[1]monsters!$N650</f>
        <v>204.8</v>
      </c>
      <c r="BV650" s="3">
        <f>[1]monsters!$O650</f>
        <v>20.48</v>
      </c>
      <c r="BW650" s="3">
        <f>[1]monsters!$P650</f>
        <v>2304</v>
      </c>
      <c r="BX650" s="3">
        <f>[1]monsters!$Q650</f>
        <v>230.4</v>
      </c>
      <c r="BY650" s="3">
        <f>[1]monsters!$R650</f>
        <v>68.27</v>
      </c>
      <c r="BZ650" s="3">
        <f>[1]monsters!$S650</f>
        <v>6.83</v>
      </c>
      <c r="CA650" s="3">
        <f>[1]monsters!$K650</f>
        <v>1.6</v>
      </c>
      <c r="CB650" s="12">
        <f>[1]monsters!$D650</f>
        <v>2</v>
      </c>
      <c r="CC650" s="12">
        <f t="shared" ca="1" si="58"/>
        <v>0.1</v>
      </c>
      <c r="CD650" s="12">
        <f t="shared" ca="1" si="59"/>
        <v>92.254426936026903</v>
      </c>
      <c r="CE650" s="12">
        <f t="shared" ca="1" si="60"/>
        <v>9.2254426936026892</v>
      </c>
      <c r="CS650" s="33"/>
      <c r="CT650" s="33"/>
      <c r="CU650" s="33"/>
      <c r="CV650" s="32"/>
      <c r="CW650" s="32"/>
      <c r="CX650" s="32"/>
      <c r="CY650" s="34"/>
      <c r="CZ650" s="34"/>
      <c r="DA650" s="34"/>
      <c r="DB650" s="33"/>
      <c r="DC650" s="33"/>
      <c r="DD650" s="33"/>
      <c r="DE650" s="33"/>
      <c r="DF650" s="33"/>
      <c r="DG650" s="33"/>
      <c r="DH650" s="34"/>
      <c r="DI650" s="34"/>
      <c r="DJ650" s="34"/>
      <c r="DK650" s="34"/>
      <c r="DL650" s="34"/>
      <c r="DM650" s="34"/>
      <c r="DN650" s="12">
        <v>5504051</v>
      </c>
      <c r="DS650" s="21"/>
      <c r="DT650" s="21"/>
      <c r="DU650" s="21"/>
    </row>
    <row r="651" spans="72:125" ht="13.5" customHeight="1">
      <c r="BT651" s="12">
        <v>5101051</v>
      </c>
      <c r="BU651" s="3">
        <f>[1]monsters!$N651</f>
        <v>204.8</v>
      </c>
      <c r="BV651" s="3">
        <f>[1]monsters!$O651</f>
        <v>20.48</v>
      </c>
      <c r="BW651" s="3">
        <f>[1]monsters!$P651</f>
        <v>2304</v>
      </c>
      <c r="BX651" s="3">
        <f>[1]monsters!$Q651</f>
        <v>230.4</v>
      </c>
      <c r="BY651" s="3">
        <f>[1]monsters!$R651</f>
        <v>68.27</v>
      </c>
      <c r="BZ651" s="3">
        <f>[1]monsters!$S651</f>
        <v>6.83</v>
      </c>
      <c r="CA651" s="3">
        <f>[1]monsters!$K651</f>
        <v>1.6</v>
      </c>
      <c r="CB651" s="12">
        <f>[1]monsters!$D651</f>
        <v>2</v>
      </c>
      <c r="CC651" s="12">
        <f t="shared" ca="1" si="58"/>
        <v>0.1</v>
      </c>
      <c r="CD651" s="12">
        <f t="shared" ca="1" si="59"/>
        <v>80.707232323232304</v>
      </c>
      <c r="CE651" s="12">
        <f t="shared" ca="1" si="60"/>
        <v>8.0707232323232301</v>
      </c>
      <c r="CS651" s="33"/>
      <c r="CT651" s="33"/>
      <c r="CU651" s="33"/>
      <c r="CV651" s="32"/>
      <c r="CW651" s="32"/>
      <c r="CX651" s="32"/>
      <c r="CY651" s="34"/>
      <c r="CZ651" s="34"/>
      <c r="DA651" s="34"/>
      <c r="DB651" s="33"/>
      <c r="DC651" s="33"/>
      <c r="DD651" s="33"/>
      <c r="DE651" s="33"/>
      <c r="DF651" s="33"/>
      <c r="DG651" s="33"/>
      <c r="DH651" s="34"/>
      <c r="DI651" s="34"/>
      <c r="DJ651" s="34"/>
      <c r="DK651" s="34"/>
      <c r="DL651" s="34"/>
      <c r="DM651" s="34"/>
      <c r="DN651" s="12">
        <v>5101051</v>
      </c>
      <c r="DS651" s="21"/>
      <c r="DT651" s="21"/>
      <c r="DU651" s="21"/>
    </row>
    <row r="652" spans="72:125" ht="13.5" customHeight="1">
      <c r="BT652" s="12">
        <v>5102051</v>
      </c>
      <c r="BU652" s="3">
        <f>[1]monsters!$N652</f>
        <v>221.87</v>
      </c>
      <c r="BV652" s="3">
        <f>[1]monsters!$O652</f>
        <v>22.19</v>
      </c>
      <c r="BW652" s="3">
        <f>[1]monsters!$P652</f>
        <v>2496</v>
      </c>
      <c r="BX652" s="3">
        <f>[1]monsters!$Q652</f>
        <v>249.6</v>
      </c>
      <c r="BY652" s="3">
        <f>[1]monsters!$R652</f>
        <v>73.959999999999994</v>
      </c>
      <c r="BZ652" s="3">
        <f>[1]monsters!$S652</f>
        <v>7.4</v>
      </c>
      <c r="CA652" s="3">
        <f>[1]monsters!$K652</f>
        <v>1.6</v>
      </c>
      <c r="CB652" s="12">
        <f>[1]monsters!$D652</f>
        <v>2</v>
      </c>
      <c r="CC652" s="12">
        <f t="shared" ca="1" si="58"/>
        <v>0.1</v>
      </c>
      <c r="CD652" s="12">
        <f t="shared" ca="1" si="59"/>
        <v>74.659232323232303</v>
      </c>
      <c r="CE652" s="12">
        <f t="shared" ca="1" si="60"/>
        <v>7.4659232323232301</v>
      </c>
      <c r="CS652" s="33"/>
      <c r="CT652" s="33"/>
      <c r="CU652" s="33"/>
      <c r="CV652" s="32"/>
      <c r="CW652" s="32"/>
      <c r="CX652" s="32"/>
      <c r="CY652" s="34"/>
      <c r="CZ652" s="34"/>
      <c r="DA652" s="34"/>
      <c r="DB652" s="33"/>
      <c r="DC652" s="33"/>
      <c r="DD652" s="33"/>
      <c r="DE652" s="33"/>
      <c r="DF652" s="33"/>
      <c r="DG652" s="33"/>
      <c r="DH652" s="34"/>
      <c r="DI652" s="34"/>
      <c r="DJ652" s="34"/>
      <c r="DK652" s="34"/>
      <c r="DL652" s="34"/>
      <c r="DM652" s="34"/>
      <c r="DN652" s="12">
        <v>5102051</v>
      </c>
      <c r="DS652" s="21"/>
      <c r="DT652" s="21"/>
      <c r="DU652" s="21"/>
    </row>
    <row r="653" spans="72:125" ht="13.5" customHeight="1">
      <c r="BT653" s="12">
        <v>5206052</v>
      </c>
      <c r="BU653" s="3">
        <f>[1]monsters!$N653</f>
        <v>221.87</v>
      </c>
      <c r="BV653" s="3">
        <f>[1]monsters!$O653</f>
        <v>22.19</v>
      </c>
      <c r="BW653" s="3">
        <f>[1]monsters!$P653</f>
        <v>2496</v>
      </c>
      <c r="BX653" s="3">
        <f>[1]monsters!$Q653</f>
        <v>249.6</v>
      </c>
      <c r="BY653" s="3">
        <f>[1]monsters!$R653</f>
        <v>73.959999999999994</v>
      </c>
      <c r="BZ653" s="3">
        <f>[1]monsters!$S653</f>
        <v>7.4</v>
      </c>
      <c r="CA653" s="3">
        <f>[1]monsters!$K653</f>
        <v>1.6</v>
      </c>
      <c r="CB653" s="12">
        <f>[1]monsters!$D653</f>
        <v>2</v>
      </c>
      <c r="CC653" s="12">
        <f t="shared" ca="1" si="58"/>
        <v>0.1</v>
      </c>
      <c r="CD653" s="12">
        <f t="shared" ca="1" si="59"/>
        <v>81.530440404040405</v>
      </c>
      <c r="CE653" s="12">
        <f t="shared" ca="1" si="60"/>
        <v>8.1530440404040405</v>
      </c>
      <c r="CS653" s="33"/>
      <c r="CT653" s="33"/>
      <c r="CU653" s="33"/>
      <c r="CV653" s="32"/>
      <c r="CW653" s="32"/>
      <c r="CX653" s="32"/>
      <c r="CY653" s="34"/>
      <c r="CZ653" s="34"/>
      <c r="DA653" s="34"/>
      <c r="DB653" s="33"/>
      <c r="DC653" s="33"/>
      <c r="DD653" s="33"/>
      <c r="DE653" s="33"/>
      <c r="DF653" s="33"/>
      <c r="DG653" s="33"/>
      <c r="DH653" s="34"/>
      <c r="DI653" s="34"/>
      <c r="DJ653" s="34"/>
      <c r="DK653" s="34"/>
      <c r="DL653" s="34"/>
      <c r="DM653" s="34"/>
      <c r="DN653" s="12">
        <v>5206052</v>
      </c>
      <c r="DS653" s="21"/>
      <c r="DT653" s="21"/>
      <c r="DU653" s="21"/>
    </row>
    <row r="654" spans="72:125" ht="13.5" customHeight="1">
      <c r="BT654" s="12">
        <v>5406052</v>
      </c>
      <c r="BU654" s="3">
        <f>[1]monsters!$N654</f>
        <v>221.87</v>
      </c>
      <c r="BV654" s="3">
        <f>[1]monsters!$O654</f>
        <v>22.19</v>
      </c>
      <c r="BW654" s="3">
        <f>[1]monsters!$P654</f>
        <v>2496</v>
      </c>
      <c r="BX654" s="3">
        <f>[1]monsters!$Q654</f>
        <v>249.6</v>
      </c>
      <c r="BY654" s="3">
        <f>[1]monsters!$R654</f>
        <v>73.959999999999994</v>
      </c>
      <c r="BZ654" s="3">
        <f>[1]monsters!$S654</f>
        <v>7.4</v>
      </c>
      <c r="CA654" s="3">
        <f>[1]monsters!$K654</f>
        <v>1.6</v>
      </c>
      <c r="CB654" s="12">
        <f>[1]monsters!$D654</f>
        <v>2</v>
      </c>
      <c r="CC654" s="12">
        <f t="shared" ca="1" si="58"/>
        <v>0.1</v>
      </c>
      <c r="CD654" s="12">
        <f t="shared" ca="1" si="59"/>
        <v>75.954356657483899</v>
      </c>
      <c r="CE654" s="12">
        <f t="shared" ca="1" si="60"/>
        <v>7.5954356657483899</v>
      </c>
      <c r="CS654" s="33"/>
      <c r="CT654" s="33"/>
      <c r="CU654" s="33"/>
      <c r="CV654" s="32"/>
      <c r="CW654" s="32"/>
      <c r="CX654" s="32"/>
      <c r="CY654" s="34"/>
      <c r="CZ654" s="34"/>
      <c r="DA654" s="34"/>
      <c r="DB654" s="33"/>
      <c r="DC654" s="33"/>
      <c r="DD654" s="33"/>
      <c r="DE654" s="33"/>
      <c r="DF654" s="33"/>
      <c r="DG654" s="33"/>
      <c r="DH654" s="34"/>
      <c r="DI654" s="34"/>
      <c r="DJ654" s="34"/>
      <c r="DK654" s="34"/>
      <c r="DL654" s="34"/>
      <c r="DM654" s="34"/>
      <c r="DN654" s="12">
        <v>5406052</v>
      </c>
      <c r="DS654" s="21"/>
      <c r="DT654" s="21"/>
      <c r="DU654" s="21"/>
    </row>
    <row r="655" spans="72:125" ht="13.5" customHeight="1">
      <c r="BT655" s="12">
        <v>5205052</v>
      </c>
      <c r="BU655" s="3">
        <f>[1]monsters!$N655</f>
        <v>221.87</v>
      </c>
      <c r="BV655" s="3">
        <f>[1]monsters!$O655</f>
        <v>22.19</v>
      </c>
      <c r="BW655" s="3">
        <f>[1]monsters!$P655</f>
        <v>2496</v>
      </c>
      <c r="BX655" s="3">
        <f>[1]monsters!$Q655</f>
        <v>249.6</v>
      </c>
      <c r="BY655" s="3">
        <f>[1]monsters!$R655</f>
        <v>73.959999999999994</v>
      </c>
      <c r="BZ655" s="3">
        <f>[1]monsters!$S655</f>
        <v>7.4</v>
      </c>
      <c r="CA655" s="3">
        <f>[1]monsters!$K655</f>
        <v>1.6</v>
      </c>
      <c r="CB655" s="12">
        <f>[1]monsters!$D655</f>
        <v>2</v>
      </c>
      <c r="CC655" s="12">
        <f t="shared" ca="1" si="58"/>
        <v>0.1</v>
      </c>
      <c r="CD655" s="12">
        <f t="shared" ca="1" si="59"/>
        <v>88.788040404040402</v>
      </c>
      <c r="CE655" s="12">
        <f t="shared" ca="1" si="60"/>
        <v>8.8788040404040398</v>
      </c>
      <c r="CS655" s="33"/>
      <c r="CT655" s="33"/>
      <c r="CU655" s="33"/>
      <c r="CV655" s="32"/>
      <c r="CW655" s="32"/>
      <c r="CX655" s="32"/>
      <c r="CY655" s="34"/>
      <c r="CZ655" s="34"/>
      <c r="DA655" s="34"/>
      <c r="DB655" s="33"/>
      <c r="DC655" s="33"/>
      <c r="DD655" s="33"/>
      <c r="DE655" s="33"/>
      <c r="DF655" s="33"/>
      <c r="DG655" s="33"/>
      <c r="DH655" s="34"/>
      <c r="DI655" s="34"/>
      <c r="DJ655" s="34"/>
      <c r="DK655" s="34"/>
      <c r="DL655" s="34"/>
      <c r="DM655" s="34"/>
      <c r="DN655" s="12">
        <v>5205052</v>
      </c>
      <c r="DS655" s="21"/>
      <c r="DT655" s="21"/>
      <c r="DU655" s="21"/>
    </row>
    <row r="656" spans="72:125" ht="13.5" customHeight="1">
      <c r="BT656" s="12">
        <v>5405052</v>
      </c>
      <c r="BU656" s="3">
        <f>[1]monsters!$N656</f>
        <v>221.87</v>
      </c>
      <c r="BV656" s="3">
        <f>[1]monsters!$O656</f>
        <v>22.19</v>
      </c>
      <c r="BW656" s="3">
        <f>[1]monsters!$P656</f>
        <v>2496</v>
      </c>
      <c r="BX656" s="3">
        <f>[1]monsters!$Q656</f>
        <v>249.6</v>
      </c>
      <c r="BY656" s="3">
        <f>[1]monsters!$R656</f>
        <v>73.959999999999994</v>
      </c>
      <c r="BZ656" s="3">
        <f>[1]monsters!$S656</f>
        <v>7.4</v>
      </c>
      <c r="CA656" s="3">
        <f>[1]monsters!$K656</f>
        <v>1.6</v>
      </c>
      <c r="CB656" s="12">
        <f>[1]monsters!$D656</f>
        <v>2</v>
      </c>
      <c r="CC656" s="12">
        <f t="shared" ca="1" si="58"/>
        <v>0.1</v>
      </c>
      <c r="CD656" s="12">
        <f t="shared" ca="1" si="59"/>
        <v>79.280756657483906</v>
      </c>
      <c r="CE656" s="12">
        <f t="shared" ca="1" si="60"/>
        <v>7.9280756657483904</v>
      </c>
      <c r="CS656" s="33"/>
      <c r="CT656" s="33"/>
      <c r="CU656" s="33"/>
      <c r="CV656" s="32"/>
      <c r="CW656" s="32"/>
      <c r="CX656" s="32"/>
      <c r="CY656" s="34"/>
      <c r="CZ656" s="34"/>
      <c r="DA656" s="34"/>
      <c r="DB656" s="33"/>
      <c r="DC656" s="33"/>
      <c r="DD656" s="33"/>
      <c r="DE656" s="33"/>
      <c r="DF656" s="33"/>
      <c r="DG656" s="33"/>
      <c r="DH656" s="34"/>
      <c r="DI656" s="34"/>
      <c r="DJ656" s="34"/>
      <c r="DK656" s="34"/>
      <c r="DL656" s="34"/>
      <c r="DM656" s="34"/>
      <c r="DN656" s="12">
        <v>5405052</v>
      </c>
      <c r="DS656" s="21"/>
      <c r="DT656" s="21"/>
      <c r="DU656" s="21"/>
    </row>
    <row r="657" spans="72:125" ht="13.5" customHeight="1">
      <c r="BT657" s="12">
        <v>5203052</v>
      </c>
      <c r="BU657" s="3">
        <f>[1]monsters!$N657</f>
        <v>238.93</v>
      </c>
      <c r="BV657" s="3">
        <f>[1]monsters!$O657</f>
        <v>23.89</v>
      </c>
      <c r="BW657" s="3">
        <f>[1]monsters!$P657</f>
        <v>2688</v>
      </c>
      <c r="BX657" s="3">
        <f>[1]monsters!$Q657</f>
        <v>268.8</v>
      </c>
      <c r="BY657" s="3">
        <f>[1]monsters!$R657</f>
        <v>79.64</v>
      </c>
      <c r="BZ657" s="3">
        <f>[1]monsters!$S657</f>
        <v>7.96</v>
      </c>
      <c r="CA657" s="3">
        <f>[1]monsters!$K657</f>
        <v>1.6</v>
      </c>
      <c r="CB657" s="12">
        <f>[1]monsters!$D657</f>
        <v>2</v>
      </c>
      <c r="CC657" s="12">
        <f t="shared" ca="1" si="58"/>
        <v>0.1</v>
      </c>
      <c r="CD657" s="12">
        <f t="shared" ca="1" si="59"/>
        <v>71.853640404040405</v>
      </c>
      <c r="CE657" s="12">
        <f t="shared" ca="1" si="60"/>
        <v>7.18536404040404</v>
      </c>
      <c r="CS657" s="33"/>
      <c r="CT657" s="33"/>
      <c r="CU657" s="33"/>
      <c r="CV657" s="32"/>
      <c r="CW657" s="32"/>
      <c r="CX657" s="32"/>
      <c r="CY657" s="34"/>
      <c r="CZ657" s="34"/>
      <c r="DA657" s="34"/>
      <c r="DB657" s="33"/>
      <c r="DC657" s="33"/>
      <c r="DD657" s="33"/>
      <c r="DE657" s="33"/>
      <c r="DF657" s="33"/>
      <c r="DG657" s="33"/>
      <c r="DH657" s="34"/>
      <c r="DI657" s="34"/>
      <c r="DJ657" s="34"/>
      <c r="DK657" s="34"/>
      <c r="DL657" s="34"/>
      <c r="DM657" s="34"/>
      <c r="DN657" s="12">
        <v>5203052</v>
      </c>
      <c r="DS657" s="21"/>
      <c r="DT657" s="21"/>
      <c r="DU657" s="21"/>
    </row>
    <row r="658" spans="72:125" ht="13.5" customHeight="1">
      <c r="BT658" s="12">
        <v>5403052</v>
      </c>
      <c r="BU658" s="3">
        <f>[1]monsters!$N658</f>
        <v>238.93</v>
      </c>
      <c r="BV658" s="3">
        <f>[1]monsters!$O658</f>
        <v>23.89</v>
      </c>
      <c r="BW658" s="3">
        <f>[1]monsters!$P658</f>
        <v>2688</v>
      </c>
      <c r="BX658" s="3">
        <f>[1]monsters!$Q658</f>
        <v>268.8</v>
      </c>
      <c r="BY658" s="3">
        <f>[1]monsters!$R658</f>
        <v>79.64</v>
      </c>
      <c r="BZ658" s="3">
        <f>[1]monsters!$S658</f>
        <v>7.96</v>
      </c>
      <c r="CA658" s="3">
        <f>[1]monsters!$K658</f>
        <v>1.6</v>
      </c>
      <c r="CB658" s="12">
        <f>[1]monsters!$D658</f>
        <v>2</v>
      </c>
      <c r="CC658" s="12">
        <f t="shared" ca="1" si="58"/>
        <v>0.1</v>
      </c>
      <c r="CD658" s="12">
        <f t="shared" ca="1" si="59"/>
        <v>65.975156657483893</v>
      </c>
      <c r="CE658" s="12">
        <f t="shared" ca="1" si="60"/>
        <v>6.5975156657483902</v>
      </c>
      <c r="CS658" s="33"/>
      <c r="CT658" s="33"/>
      <c r="CU658" s="33"/>
      <c r="CV658" s="32"/>
      <c r="CW658" s="32"/>
      <c r="CX658" s="32"/>
      <c r="CY658" s="34"/>
      <c r="CZ658" s="34"/>
      <c r="DA658" s="34"/>
      <c r="DB658" s="33"/>
      <c r="DC658" s="33"/>
      <c r="DD658" s="33"/>
      <c r="DE658" s="33"/>
      <c r="DF658" s="33"/>
      <c r="DG658" s="33"/>
      <c r="DH658" s="34"/>
      <c r="DI658" s="34"/>
      <c r="DJ658" s="34"/>
      <c r="DK658" s="34"/>
      <c r="DL658" s="34"/>
      <c r="DM658" s="34"/>
      <c r="DN658" s="12">
        <v>5403052</v>
      </c>
      <c r="DS658" s="21"/>
      <c r="DT658" s="21"/>
      <c r="DU658" s="21"/>
    </row>
    <row r="659" spans="72:125" ht="13.5" customHeight="1">
      <c r="BT659" s="12">
        <v>5204052</v>
      </c>
      <c r="BU659" s="3">
        <f>[1]monsters!$N659</f>
        <v>238.93</v>
      </c>
      <c r="BV659" s="3">
        <f>[1]monsters!$O659</f>
        <v>23.89</v>
      </c>
      <c r="BW659" s="3">
        <f>[1]monsters!$P659</f>
        <v>2688</v>
      </c>
      <c r="BX659" s="3">
        <f>[1]monsters!$Q659</f>
        <v>268.8</v>
      </c>
      <c r="BY659" s="3">
        <f>[1]monsters!$R659</f>
        <v>79.64</v>
      </c>
      <c r="BZ659" s="3">
        <f>[1]monsters!$S659</f>
        <v>7.96</v>
      </c>
      <c r="CA659" s="3">
        <f>[1]monsters!$K659</f>
        <v>1.6</v>
      </c>
      <c r="CB659" s="12">
        <f>[1]monsters!$D659</f>
        <v>2</v>
      </c>
      <c r="CC659" s="12">
        <f t="shared" ca="1" si="58"/>
        <v>0.1</v>
      </c>
      <c r="CD659" s="12">
        <f t="shared" ca="1" si="59"/>
        <v>74.272840404040394</v>
      </c>
      <c r="CE659" s="12">
        <f t="shared" ca="1" si="60"/>
        <v>7.4272840404040403</v>
      </c>
      <c r="CS659" s="33"/>
      <c r="CT659" s="33"/>
      <c r="CU659" s="33"/>
      <c r="CV659" s="32"/>
      <c r="CW659" s="32"/>
      <c r="CX659" s="32"/>
      <c r="CY659" s="34"/>
      <c r="CZ659" s="34"/>
      <c r="DA659" s="34"/>
      <c r="DB659" s="33"/>
      <c r="DC659" s="33"/>
      <c r="DD659" s="33"/>
      <c r="DE659" s="33"/>
      <c r="DF659" s="33"/>
      <c r="DG659" s="33"/>
      <c r="DH659" s="34"/>
      <c r="DI659" s="34"/>
      <c r="DJ659" s="34"/>
      <c r="DK659" s="34"/>
      <c r="DL659" s="34"/>
      <c r="DM659" s="34"/>
      <c r="DN659" s="12">
        <v>5204052</v>
      </c>
      <c r="DS659" s="21"/>
      <c r="DT659" s="21"/>
      <c r="DU659" s="21"/>
    </row>
    <row r="660" spans="72:125" ht="13.5" customHeight="1">
      <c r="BT660" s="12">
        <v>5404052</v>
      </c>
      <c r="BU660" s="3">
        <f>[1]monsters!$N660</f>
        <v>238.93</v>
      </c>
      <c r="BV660" s="3">
        <f>[1]monsters!$O660</f>
        <v>23.89</v>
      </c>
      <c r="BW660" s="3">
        <f>[1]monsters!$P660</f>
        <v>2688</v>
      </c>
      <c r="BX660" s="3">
        <f>[1]monsters!$Q660</f>
        <v>268.8</v>
      </c>
      <c r="BY660" s="3">
        <f>[1]monsters!$R660</f>
        <v>79.64</v>
      </c>
      <c r="BZ660" s="3">
        <f>[1]monsters!$S660</f>
        <v>7.96</v>
      </c>
      <c r="CA660" s="3">
        <f>[1]monsters!$K660</f>
        <v>1.6</v>
      </c>
      <c r="CB660" s="12">
        <f>[1]monsters!$D660</f>
        <v>2</v>
      </c>
      <c r="CC660" s="12">
        <f t="shared" ca="1" si="58"/>
        <v>0.1</v>
      </c>
      <c r="CD660" s="12">
        <f t="shared" ca="1" si="59"/>
        <v>79.280756657483906</v>
      </c>
      <c r="CE660" s="12">
        <f t="shared" ca="1" si="60"/>
        <v>7.9280756657483904</v>
      </c>
      <c r="CS660" s="33"/>
      <c r="CT660" s="33"/>
      <c r="CU660" s="33"/>
      <c r="CV660" s="32"/>
      <c r="CW660" s="32"/>
      <c r="CX660" s="32"/>
      <c r="CY660" s="34"/>
      <c r="CZ660" s="34"/>
      <c r="DA660" s="34"/>
      <c r="DB660" s="33"/>
      <c r="DC660" s="33"/>
      <c r="DD660" s="33"/>
      <c r="DE660" s="33"/>
      <c r="DF660" s="33"/>
      <c r="DG660" s="33"/>
      <c r="DH660" s="34"/>
      <c r="DI660" s="34"/>
      <c r="DJ660" s="34"/>
      <c r="DK660" s="34"/>
      <c r="DL660" s="34"/>
      <c r="DM660" s="34"/>
      <c r="DN660" s="12">
        <v>5404052</v>
      </c>
      <c r="DS660" s="21"/>
      <c r="DT660" s="21"/>
      <c r="DU660" s="21"/>
    </row>
    <row r="661" spans="72:125" ht="13.5" customHeight="1">
      <c r="BT661" s="12">
        <v>5303052</v>
      </c>
      <c r="BU661" s="3">
        <f>[1]monsters!$N661</f>
        <v>238.93</v>
      </c>
      <c r="BV661" s="3">
        <f>[1]monsters!$O661</f>
        <v>23.89</v>
      </c>
      <c r="BW661" s="3">
        <f>[1]monsters!$P661</f>
        <v>2688</v>
      </c>
      <c r="BX661" s="3">
        <f>[1]monsters!$Q661</f>
        <v>268.8</v>
      </c>
      <c r="BY661" s="3">
        <f>[1]monsters!$R661</f>
        <v>79.64</v>
      </c>
      <c r="BZ661" s="3">
        <f>[1]monsters!$S661</f>
        <v>7.96</v>
      </c>
      <c r="CA661" s="3">
        <f>[1]monsters!$K661</f>
        <v>1.6</v>
      </c>
      <c r="CB661" s="12">
        <f>[1]monsters!$D661</f>
        <v>2</v>
      </c>
      <c r="CC661" s="12">
        <f t="shared" ca="1" si="58"/>
        <v>0.1</v>
      </c>
      <c r="CD661" s="12">
        <f t="shared" ca="1" si="59"/>
        <v>71.295502581369405</v>
      </c>
      <c r="CE661" s="12">
        <f t="shared" ca="1" si="60"/>
        <v>7.1295502581369403</v>
      </c>
      <c r="CS661" s="33"/>
      <c r="CT661" s="33"/>
      <c r="CU661" s="33"/>
      <c r="CV661" s="32"/>
      <c r="CW661" s="32"/>
      <c r="CX661" s="32"/>
      <c r="CY661" s="34"/>
      <c r="CZ661" s="34"/>
      <c r="DA661" s="34"/>
      <c r="DB661" s="33"/>
      <c r="DC661" s="33"/>
      <c r="DD661" s="33"/>
      <c r="DE661" s="33"/>
      <c r="DF661" s="33"/>
      <c r="DG661" s="33"/>
      <c r="DH661" s="34"/>
      <c r="DI661" s="34"/>
      <c r="DJ661" s="34"/>
      <c r="DK661" s="34"/>
      <c r="DL661" s="34"/>
      <c r="DM661" s="34"/>
      <c r="DN661" s="12">
        <v>5303052</v>
      </c>
      <c r="DS661" s="21"/>
      <c r="DT661" s="21"/>
      <c r="DU661" s="21"/>
    </row>
    <row r="662" spans="72:125" ht="13.5" customHeight="1">
      <c r="BT662" s="12">
        <v>5304052</v>
      </c>
      <c r="BU662" s="3">
        <f>[1]monsters!$N662</f>
        <v>256</v>
      </c>
      <c r="BV662" s="3">
        <f>[1]monsters!$O662</f>
        <v>25.6</v>
      </c>
      <c r="BW662" s="3">
        <f>[1]monsters!$P662</f>
        <v>2880</v>
      </c>
      <c r="BX662" s="3">
        <f>[1]monsters!$Q662</f>
        <v>288</v>
      </c>
      <c r="BY662" s="3">
        <f>[1]monsters!$R662</f>
        <v>85.33</v>
      </c>
      <c r="BZ662" s="3">
        <f>[1]monsters!$S662</f>
        <v>8.5299999999999994</v>
      </c>
      <c r="CA662" s="3">
        <f>[1]monsters!$K662</f>
        <v>1.6</v>
      </c>
      <c r="CB662" s="12">
        <f>[1]monsters!$D662</f>
        <v>2</v>
      </c>
      <c r="CC662" s="12">
        <f t="shared" ca="1" si="58"/>
        <v>0.1</v>
      </c>
      <c r="CD662" s="12">
        <f t="shared" ca="1" si="59"/>
        <v>74.0171025813694</v>
      </c>
      <c r="CE662" s="12">
        <f t="shared" ca="1" si="60"/>
        <v>7.4017102581369398</v>
      </c>
      <c r="CS662" s="33"/>
      <c r="CT662" s="33"/>
      <c r="CU662" s="33"/>
      <c r="CV662" s="32"/>
      <c r="CW662" s="32"/>
      <c r="CX662" s="32"/>
      <c r="CY662" s="34"/>
      <c r="CZ662" s="34"/>
      <c r="DA662" s="34"/>
      <c r="DB662" s="33"/>
      <c r="DC662" s="33"/>
      <c r="DD662" s="33"/>
      <c r="DE662" s="33"/>
      <c r="DF662" s="33"/>
      <c r="DG662" s="33"/>
      <c r="DH662" s="34"/>
      <c r="DI662" s="34"/>
      <c r="DJ662" s="34"/>
      <c r="DK662" s="34"/>
      <c r="DL662" s="34"/>
      <c r="DM662" s="34"/>
      <c r="DN662" s="12">
        <v>5304052</v>
      </c>
      <c r="DS662" s="21"/>
      <c r="DT662" s="21"/>
      <c r="DU662" s="21"/>
    </row>
    <row r="663" spans="72:125" ht="13.5" customHeight="1">
      <c r="BT663" s="12">
        <v>5503052</v>
      </c>
      <c r="BU663" s="3">
        <f>[1]monsters!$N663</f>
        <v>256</v>
      </c>
      <c r="BV663" s="3">
        <f>[1]monsters!$O663</f>
        <v>25.6</v>
      </c>
      <c r="BW663" s="3">
        <f>[1]monsters!$P663</f>
        <v>2880</v>
      </c>
      <c r="BX663" s="3">
        <f>[1]monsters!$Q663</f>
        <v>288</v>
      </c>
      <c r="BY663" s="3">
        <f>[1]monsters!$R663</f>
        <v>85.33</v>
      </c>
      <c r="BZ663" s="3">
        <f>[1]monsters!$S663</f>
        <v>8.5299999999999994</v>
      </c>
      <c r="CA663" s="3">
        <f>[1]monsters!$K663</f>
        <v>1.6</v>
      </c>
      <c r="CB663" s="12">
        <f>[1]monsters!$D663</f>
        <v>2</v>
      </c>
      <c r="CC663" s="12">
        <f t="shared" ca="1" si="58"/>
        <v>0.1</v>
      </c>
      <c r="CD663" s="12">
        <f t="shared" ca="1" si="59"/>
        <v>84.996826936026906</v>
      </c>
      <c r="CE663" s="12">
        <f t="shared" ca="1" si="60"/>
        <v>8.4996826936026899</v>
      </c>
      <c r="CS663" s="33"/>
      <c r="CT663" s="33"/>
      <c r="CU663" s="33"/>
      <c r="CV663" s="32"/>
      <c r="CW663" s="32"/>
      <c r="CX663" s="32"/>
      <c r="CY663" s="34"/>
      <c r="CZ663" s="34"/>
      <c r="DA663" s="34"/>
      <c r="DB663" s="33"/>
      <c r="DC663" s="33"/>
      <c r="DD663" s="33"/>
      <c r="DE663" s="33"/>
      <c r="DF663" s="33"/>
      <c r="DG663" s="33"/>
      <c r="DH663" s="34"/>
      <c r="DI663" s="34"/>
      <c r="DJ663" s="34"/>
      <c r="DK663" s="34"/>
      <c r="DL663" s="34"/>
      <c r="DM663" s="34"/>
      <c r="DN663" s="12">
        <v>5503052</v>
      </c>
      <c r="DS663" s="21"/>
      <c r="DT663" s="21"/>
      <c r="DU663" s="21"/>
    </row>
    <row r="664" spans="72:125" ht="13.5" customHeight="1">
      <c r="BT664" s="12">
        <v>5504052</v>
      </c>
      <c r="BU664" s="3">
        <f>[1]monsters!$N664</f>
        <v>256</v>
      </c>
      <c r="BV664" s="3">
        <f>[1]monsters!$O664</f>
        <v>25.6</v>
      </c>
      <c r="BW664" s="3">
        <f>[1]monsters!$P664</f>
        <v>2880</v>
      </c>
      <c r="BX664" s="3">
        <f>[1]monsters!$Q664</f>
        <v>288</v>
      </c>
      <c r="BY664" s="3">
        <f>[1]monsters!$R664</f>
        <v>85.33</v>
      </c>
      <c r="BZ664" s="3">
        <f>[1]monsters!$S664</f>
        <v>8.5299999999999994</v>
      </c>
      <c r="CA664" s="3">
        <f>[1]monsters!$K664</f>
        <v>1.6</v>
      </c>
      <c r="CB664" s="12">
        <f>[1]monsters!$D664</f>
        <v>2</v>
      </c>
      <c r="CC664" s="12">
        <f t="shared" ca="1" si="58"/>
        <v>0.1</v>
      </c>
      <c r="CD664" s="12">
        <f t="shared" ca="1" si="59"/>
        <v>92.254426936026903</v>
      </c>
      <c r="CE664" s="12">
        <f t="shared" ca="1" si="60"/>
        <v>9.2254426936026892</v>
      </c>
      <c r="CS664" s="33"/>
      <c r="CT664" s="33"/>
      <c r="CU664" s="33"/>
      <c r="CV664" s="32"/>
      <c r="CW664" s="32"/>
      <c r="CX664" s="32"/>
      <c r="CY664" s="34"/>
      <c r="CZ664" s="34"/>
      <c r="DA664" s="34"/>
      <c r="DB664" s="33"/>
      <c r="DC664" s="33"/>
      <c r="DD664" s="33"/>
      <c r="DE664" s="33"/>
      <c r="DF664" s="33"/>
      <c r="DG664" s="33"/>
      <c r="DH664" s="34"/>
      <c r="DI664" s="34"/>
      <c r="DJ664" s="34"/>
      <c r="DK664" s="34"/>
      <c r="DL664" s="34"/>
      <c r="DM664" s="34"/>
      <c r="DN664" s="12">
        <v>5504052</v>
      </c>
      <c r="DS664" s="21"/>
      <c r="DT664" s="21"/>
      <c r="DU664" s="21"/>
    </row>
    <row r="665" spans="72:125" ht="13.5" customHeight="1">
      <c r="BT665" s="12">
        <v>5101052</v>
      </c>
      <c r="BU665" s="3">
        <f>[1]monsters!$N665</f>
        <v>256</v>
      </c>
      <c r="BV665" s="3">
        <f>[1]monsters!$O665</f>
        <v>25.6</v>
      </c>
      <c r="BW665" s="3">
        <f>[1]monsters!$P665</f>
        <v>2880</v>
      </c>
      <c r="BX665" s="3">
        <f>[1]monsters!$Q665</f>
        <v>288</v>
      </c>
      <c r="BY665" s="3">
        <f>[1]monsters!$R665</f>
        <v>85.33</v>
      </c>
      <c r="BZ665" s="3">
        <f>[1]monsters!$S665</f>
        <v>8.5299999999999994</v>
      </c>
      <c r="CA665" s="3">
        <f>[1]monsters!$K665</f>
        <v>1.6</v>
      </c>
      <c r="CB665" s="12">
        <f>[1]monsters!$D665</f>
        <v>2</v>
      </c>
      <c r="CC665" s="12">
        <f t="shared" ca="1" si="58"/>
        <v>0.1</v>
      </c>
      <c r="CD665" s="12">
        <f t="shared" ca="1" si="59"/>
        <v>80.707232323232304</v>
      </c>
      <c r="CE665" s="12">
        <f t="shared" ca="1" si="60"/>
        <v>8.0707232323232301</v>
      </c>
      <c r="CS665" s="33"/>
      <c r="CT665" s="33"/>
      <c r="CU665" s="33"/>
      <c r="CV665" s="32"/>
      <c r="CW665" s="32"/>
      <c r="CX665" s="32"/>
      <c r="CY665" s="34"/>
      <c r="CZ665" s="34"/>
      <c r="DA665" s="34"/>
      <c r="DB665" s="33"/>
      <c r="DC665" s="33"/>
      <c r="DD665" s="33"/>
      <c r="DE665" s="33"/>
      <c r="DF665" s="33"/>
      <c r="DG665" s="33"/>
      <c r="DH665" s="34"/>
      <c r="DI665" s="34"/>
      <c r="DJ665" s="34"/>
      <c r="DK665" s="34"/>
      <c r="DL665" s="34"/>
      <c r="DM665" s="34"/>
      <c r="DN665" s="12">
        <v>5101052</v>
      </c>
      <c r="DS665" s="21"/>
      <c r="DT665" s="21"/>
      <c r="DU665" s="21"/>
    </row>
    <row r="666" spans="72:125" ht="13.5" customHeight="1">
      <c r="BT666" s="12">
        <v>5102052</v>
      </c>
      <c r="BU666" s="3">
        <f>[1]monsters!$N666</f>
        <v>256</v>
      </c>
      <c r="BV666" s="3">
        <f>[1]monsters!$O666</f>
        <v>25.6</v>
      </c>
      <c r="BW666" s="3">
        <f>[1]monsters!$P666</f>
        <v>2880</v>
      </c>
      <c r="BX666" s="3">
        <f>[1]monsters!$Q666</f>
        <v>288</v>
      </c>
      <c r="BY666" s="3">
        <f>[1]monsters!$R666</f>
        <v>85.33</v>
      </c>
      <c r="BZ666" s="3">
        <f>[1]monsters!$S666</f>
        <v>8.5299999999999994</v>
      </c>
      <c r="CA666" s="3">
        <f>[1]monsters!$K666</f>
        <v>1.6</v>
      </c>
      <c r="CB666" s="12">
        <f>[1]monsters!$D666</f>
        <v>2</v>
      </c>
      <c r="CC666" s="12">
        <f t="shared" ca="1" si="58"/>
        <v>0.1</v>
      </c>
      <c r="CD666" s="12">
        <f t="shared" ca="1" si="59"/>
        <v>74.659232323232303</v>
      </c>
      <c r="CE666" s="12">
        <f t="shared" ca="1" si="60"/>
        <v>7.4659232323232301</v>
      </c>
      <c r="CS666" s="33"/>
      <c r="CT666" s="33"/>
      <c r="CU666" s="33"/>
      <c r="CV666" s="32"/>
      <c r="CW666" s="32"/>
      <c r="CX666" s="32"/>
      <c r="CY666" s="34"/>
      <c r="CZ666" s="34"/>
      <c r="DA666" s="34"/>
      <c r="DB666" s="33"/>
      <c r="DC666" s="33"/>
      <c r="DD666" s="33"/>
      <c r="DE666" s="33"/>
      <c r="DF666" s="33"/>
      <c r="DG666" s="33"/>
      <c r="DH666" s="34"/>
      <c r="DI666" s="34"/>
      <c r="DJ666" s="34"/>
      <c r="DK666" s="34"/>
      <c r="DL666" s="34"/>
      <c r="DM666" s="34"/>
      <c r="DN666" s="12">
        <v>5102052</v>
      </c>
      <c r="DS666" s="21"/>
      <c r="DT666" s="21"/>
      <c r="DU666" s="21"/>
    </row>
    <row r="667" spans="72:125" ht="13.5" customHeight="1">
      <c r="BT667" s="12">
        <v>5206053</v>
      </c>
      <c r="BU667" s="3">
        <f>[1]monsters!$N667</f>
        <v>273.07</v>
      </c>
      <c r="BV667" s="3">
        <f>[1]monsters!$O667</f>
        <v>27.31</v>
      </c>
      <c r="BW667" s="3">
        <f>[1]monsters!$P667</f>
        <v>3072</v>
      </c>
      <c r="BX667" s="3">
        <f>[1]monsters!$Q667</f>
        <v>307.2</v>
      </c>
      <c r="BY667" s="3">
        <f>[1]monsters!$R667</f>
        <v>91.02</v>
      </c>
      <c r="BZ667" s="3">
        <f>[1]monsters!$S667</f>
        <v>9.1</v>
      </c>
      <c r="CA667" s="3">
        <f>[1]monsters!$K667</f>
        <v>1.6</v>
      </c>
      <c r="CB667" s="12">
        <f>[1]monsters!$D667</f>
        <v>2</v>
      </c>
      <c r="CC667" s="12">
        <f t="shared" ca="1" si="58"/>
        <v>0.1</v>
      </c>
      <c r="CD667" s="12">
        <f t="shared" ca="1" si="59"/>
        <v>81.530440404040405</v>
      </c>
      <c r="CE667" s="12">
        <f t="shared" ca="1" si="60"/>
        <v>8.1530440404040405</v>
      </c>
      <c r="CS667" s="33"/>
      <c r="CT667" s="33"/>
      <c r="CU667" s="33"/>
      <c r="CV667" s="32"/>
      <c r="CW667" s="32"/>
      <c r="CX667" s="32"/>
      <c r="CY667" s="34"/>
      <c r="CZ667" s="34"/>
      <c r="DA667" s="34"/>
      <c r="DB667" s="33"/>
      <c r="DC667" s="33"/>
      <c r="DD667" s="33"/>
      <c r="DE667" s="33"/>
      <c r="DF667" s="33"/>
      <c r="DG667" s="33"/>
      <c r="DH667" s="34"/>
      <c r="DI667" s="34"/>
      <c r="DJ667" s="34"/>
      <c r="DK667" s="34"/>
      <c r="DL667" s="34"/>
      <c r="DM667" s="34"/>
      <c r="DN667" s="12">
        <v>5206053</v>
      </c>
      <c r="DS667" s="21"/>
      <c r="DT667" s="21"/>
      <c r="DU667" s="21"/>
    </row>
    <row r="668" spans="72:125" ht="13.5" customHeight="1">
      <c r="BT668" s="12">
        <v>5406053</v>
      </c>
      <c r="BU668" s="3">
        <f>[1]monsters!$N668</f>
        <v>273.07</v>
      </c>
      <c r="BV668" s="3">
        <f>[1]monsters!$O668</f>
        <v>27.31</v>
      </c>
      <c r="BW668" s="3">
        <f>[1]monsters!$P668</f>
        <v>3072</v>
      </c>
      <c r="BX668" s="3">
        <f>[1]monsters!$Q668</f>
        <v>307.2</v>
      </c>
      <c r="BY668" s="3">
        <f>[1]monsters!$R668</f>
        <v>91.02</v>
      </c>
      <c r="BZ668" s="3">
        <f>[1]monsters!$S668</f>
        <v>9.1</v>
      </c>
      <c r="CA668" s="3">
        <f>[1]monsters!$K668</f>
        <v>1.6</v>
      </c>
      <c r="CB668" s="12">
        <f>[1]monsters!$D668</f>
        <v>2</v>
      </c>
      <c r="CC668" s="12">
        <f t="shared" ca="1" si="58"/>
        <v>0.1</v>
      </c>
      <c r="CD668" s="12">
        <f t="shared" ca="1" si="59"/>
        <v>75.954356657483899</v>
      </c>
      <c r="CE668" s="12">
        <f t="shared" ca="1" si="60"/>
        <v>7.5954356657483899</v>
      </c>
      <c r="CS668" s="33"/>
      <c r="CT668" s="33"/>
      <c r="CU668" s="33"/>
      <c r="CV668" s="32"/>
      <c r="CW668" s="32"/>
      <c r="CX668" s="32"/>
      <c r="CY668" s="34"/>
      <c r="CZ668" s="34"/>
      <c r="DA668" s="34"/>
      <c r="DB668" s="33"/>
      <c r="DC668" s="33"/>
      <c r="DD668" s="33"/>
      <c r="DE668" s="33"/>
      <c r="DF668" s="33"/>
      <c r="DG668" s="33"/>
      <c r="DH668" s="34"/>
      <c r="DI668" s="34"/>
      <c r="DJ668" s="34"/>
      <c r="DK668" s="34"/>
      <c r="DL668" s="34"/>
      <c r="DM668" s="34"/>
      <c r="DN668" s="12">
        <v>5406053</v>
      </c>
      <c r="DS668" s="21"/>
      <c r="DT668" s="21"/>
      <c r="DU668" s="21"/>
    </row>
    <row r="669" spans="72:125" ht="13.5" customHeight="1">
      <c r="BT669" s="12">
        <v>5205053</v>
      </c>
      <c r="BU669" s="3">
        <f>[1]monsters!$N669</f>
        <v>273.07</v>
      </c>
      <c r="BV669" s="3">
        <f>[1]monsters!$O669</f>
        <v>27.31</v>
      </c>
      <c r="BW669" s="3">
        <f>[1]monsters!$P669</f>
        <v>3072</v>
      </c>
      <c r="BX669" s="3">
        <f>[1]monsters!$Q669</f>
        <v>307.2</v>
      </c>
      <c r="BY669" s="3">
        <f>[1]monsters!$R669</f>
        <v>91.02</v>
      </c>
      <c r="BZ669" s="3">
        <f>[1]monsters!$S669</f>
        <v>9.1</v>
      </c>
      <c r="CA669" s="3">
        <f>[1]monsters!$K669</f>
        <v>1.6</v>
      </c>
      <c r="CB669" s="12">
        <f>[1]monsters!$D669</f>
        <v>2</v>
      </c>
      <c r="CC669" s="12">
        <f t="shared" ca="1" si="58"/>
        <v>0.1</v>
      </c>
      <c r="CD669" s="12">
        <f t="shared" ca="1" si="59"/>
        <v>88.788040404040402</v>
      </c>
      <c r="CE669" s="12">
        <f t="shared" ca="1" si="60"/>
        <v>8.8788040404040398</v>
      </c>
      <c r="CS669" s="33"/>
      <c r="CT669" s="33"/>
      <c r="CU669" s="33"/>
      <c r="CV669" s="32"/>
      <c r="CW669" s="32"/>
      <c r="CX669" s="32"/>
      <c r="CY669" s="34"/>
      <c r="CZ669" s="34"/>
      <c r="DA669" s="34"/>
      <c r="DB669" s="33"/>
      <c r="DC669" s="33"/>
      <c r="DD669" s="33"/>
      <c r="DE669" s="33"/>
      <c r="DF669" s="33"/>
      <c r="DG669" s="33"/>
      <c r="DH669" s="34"/>
      <c r="DI669" s="34"/>
      <c r="DJ669" s="34"/>
      <c r="DK669" s="34"/>
      <c r="DL669" s="34"/>
      <c r="DM669" s="34"/>
      <c r="DN669" s="12">
        <v>5205053</v>
      </c>
      <c r="DS669" s="21"/>
      <c r="DT669" s="21"/>
      <c r="DU669" s="21"/>
    </row>
    <row r="670" spans="72:125" ht="13.5" customHeight="1">
      <c r="BT670" s="12">
        <v>5405053</v>
      </c>
      <c r="BU670" s="3">
        <f>[1]monsters!$N670</f>
        <v>273.07</v>
      </c>
      <c r="BV670" s="3">
        <f>[1]monsters!$O670</f>
        <v>27.31</v>
      </c>
      <c r="BW670" s="3">
        <f>[1]monsters!$P670</f>
        <v>3072</v>
      </c>
      <c r="BX670" s="3">
        <f>[1]monsters!$Q670</f>
        <v>307.2</v>
      </c>
      <c r="BY670" s="3">
        <f>[1]monsters!$R670</f>
        <v>91.02</v>
      </c>
      <c r="BZ670" s="3">
        <f>[1]monsters!$S670</f>
        <v>9.1</v>
      </c>
      <c r="CA670" s="3">
        <f>[1]monsters!$K670</f>
        <v>1.6</v>
      </c>
      <c r="CB670" s="12">
        <f>[1]monsters!$D670</f>
        <v>2</v>
      </c>
      <c r="CC670" s="12">
        <f t="shared" ca="1" si="58"/>
        <v>0.1</v>
      </c>
      <c r="CD670" s="12">
        <f t="shared" ca="1" si="59"/>
        <v>79.280756657483906</v>
      </c>
      <c r="CE670" s="12">
        <f t="shared" ca="1" si="60"/>
        <v>7.9280756657483904</v>
      </c>
      <c r="CS670" s="33"/>
      <c r="CT670" s="33"/>
      <c r="CU670" s="33"/>
      <c r="CV670" s="32"/>
      <c r="CW670" s="32"/>
      <c r="CX670" s="32"/>
      <c r="CY670" s="34"/>
      <c r="CZ670" s="34"/>
      <c r="DA670" s="34"/>
      <c r="DB670" s="33"/>
      <c r="DC670" s="33"/>
      <c r="DD670" s="33"/>
      <c r="DE670" s="33"/>
      <c r="DF670" s="33"/>
      <c r="DG670" s="33"/>
      <c r="DH670" s="34"/>
      <c r="DI670" s="34"/>
      <c r="DJ670" s="34"/>
      <c r="DK670" s="34"/>
      <c r="DL670" s="34"/>
      <c r="DM670" s="34"/>
      <c r="DN670" s="12">
        <v>5405053</v>
      </c>
      <c r="DS670" s="21"/>
      <c r="DT670" s="21"/>
      <c r="DU670" s="21"/>
    </row>
    <row r="671" spans="72:125" ht="13.5" customHeight="1">
      <c r="BT671" s="12">
        <v>5203053</v>
      </c>
      <c r="BU671" s="3">
        <f>[1]monsters!$N671</f>
        <v>273.07</v>
      </c>
      <c r="BV671" s="3">
        <f>[1]monsters!$O671</f>
        <v>27.31</v>
      </c>
      <c r="BW671" s="3">
        <f>[1]monsters!$P671</f>
        <v>3072</v>
      </c>
      <c r="BX671" s="3">
        <f>[1]monsters!$Q671</f>
        <v>307.2</v>
      </c>
      <c r="BY671" s="3">
        <f>[1]monsters!$R671</f>
        <v>91.02</v>
      </c>
      <c r="BZ671" s="3">
        <f>[1]monsters!$S671</f>
        <v>9.1</v>
      </c>
      <c r="CA671" s="3">
        <f>[1]monsters!$K671</f>
        <v>1.6</v>
      </c>
      <c r="CB671" s="12">
        <f>[1]monsters!$D671</f>
        <v>2</v>
      </c>
      <c r="CC671" s="12">
        <f t="shared" ca="1" si="58"/>
        <v>0.1</v>
      </c>
      <c r="CD671" s="12">
        <f t="shared" ca="1" si="59"/>
        <v>71.853640404040405</v>
      </c>
      <c r="CE671" s="12">
        <f t="shared" ca="1" si="60"/>
        <v>7.18536404040404</v>
      </c>
      <c r="CS671" s="33"/>
      <c r="CT671" s="33"/>
      <c r="CU671" s="33"/>
      <c r="CV671" s="32"/>
      <c r="CW671" s="32"/>
      <c r="CX671" s="32"/>
      <c r="CY671" s="34"/>
      <c r="CZ671" s="34"/>
      <c r="DA671" s="34"/>
      <c r="DB671" s="33"/>
      <c r="DC671" s="33"/>
      <c r="DD671" s="33"/>
      <c r="DE671" s="33"/>
      <c r="DF671" s="33"/>
      <c r="DG671" s="33"/>
      <c r="DH671" s="34"/>
      <c r="DI671" s="34"/>
      <c r="DJ671" s="34"/>
      <c r="DK671" s="34"/>
      <c r="DL671" s="34"/>
      <c r="DM671" s="34"/>
      <c r="DN671" s="12">
        <v>5203053</v>
      </c>
      <c r="DS671" s="21"/>
      <c r="DT671" s="21"/>
      <c r="DU671" s="21"/>
    </row>
    <row r="672" spans="72:125" ht="13.5" customHeight="1">
      <c r="BT672" s="12">
        <v>5403053</v>
      </c>
      <c r="BU672" s="3">
        <f>[1]monsters!$N672</f>
        <v>80</v>
      </c>
      <c r="BV672" s="3">
        <f>[1]monsters!$O672</f>
        <v>8</v>
      </c>
      <c r="BW672" s="3">
        <f>[1]monsters!$P672</f>
        <v>960</v>
      </c>
      <c r="BX672" s="3">
        <f>[1]monsters!$Q672</f>
        <v>96</v>
      </c>
      <c r="BY672" s="3">
        <f>[1]monsters!$R672</f>
        <v>26.67</v>
      </c>
      <c r="BZ672" s="3">
        <f>[1]monsters!$S672</f>
        <v>2.67</v>
      </c>
      <c r="CA672" s="3">
        <f>[1]monsters!$K672</f>
        <v>1.5</v>
      </c>
      <c r="CB672" s="12">
        <f>[1]monsters!$D672</f>
        <v>2</v>
      </c>
      <c r="CC672" s="12">
        <f t="shared" ca="1" si="58"/>
        <v>0.1</v>
      </c>
      <c r="CD672" s="12">
        <f t="shared" ca="1" si="59"/>
        <v>65.975156657483893</v>
      </c>
      <c r="CE672" s="12">
        <f t="shared" ca="1" si="60"/>
        <v>6.5975156657483902</v>
      </c>
      <c r="CS672" s="33"/>
      <c r="CT672" s="33"/>
      <c r="CU672" s="33"/>
      <c r="CV672" s="32"/>
      <c r="CW672" s="32"/>
      <c r="CX672" s="32"/>
      <c r="CY672" s="34"/>
      <c r="CZ672" s="34"/>
      <c r="DA672" s="34"/>
      <c r="DB672" s="33"/>
      <c r="DC672" s="33"/>
      <c r="DD672" s="33"/>
      <c r="DE672" s="33"/>
      <c r="DF672" s="33"/>
      <c r="DG672" s="33"/>
      <c r="DH672" s="34"/>
      <c r="DI672" s="34"/>
      <c r="DJ672" s="34"/>
      <c r="DK672" s="34"/>
      <c r="DL672" s="34"/>
      <c r="DM672" s="34"/>
      <c r="DN672" s="12">
        <v>5403053</v>
      </c>
      <c r="DS672" s="21"/>
      <c r="DT672" s="21"/>
      <c r="DU672" s="21"/>
    </row>
    <row r="673" spans="72:125" ht="13.5" customHeight="1">
      <c r="BT673" s="12">
        <v>5204053</v>
      </c>
      <c r="BU673" s="3">
        <f>[1]monsters!$N673</f>
        <v>80</v>
      </c>
      <c r="BV673" s="3">
        <f>[1]monsters!$O673</f>
        <v>8</v>
      </c>
      <c r="BW673" s="3">
        <f>[1]monsters!$P673</f>
        <v>960</v>
      </c>
      <c r="BX673" s="3">
        <f>[1]monsters!$Q673</f>
        <v>96</v>
      </c>
      <c r="BY673" s="3">
        <f>[1]monsters!$R673</f>
        <v>26.67</v>
      </c>
      <c r="BZ673" s="3">
        <f>[1]monsters!$S673</f>
        <v>2.67</v>
      </c>
      <c r="CA673" s="3">
        <f>[1]monsters!$K673</f>
        <v>1.5</v>
      </c>
      <c r="CB673" s="12">
        <f>[1]monsters!$D673</f>
        <v>2</v>
      </c>
      <c r="CC673" s="12">
        <f t="shared" ca="1" si="58"/>
        <v>0.1</v>
      </c>
      <c r="CD673" s="12">
        <f t="shared" ca="1" si="59"/>
        <v>74.272840404040394</v>
      </c>
      <c r="CE673" s="12">
        <f t="shared" ca="1" si="60"/>
        <v>7.4272840404040403</v>
      </c>
      <c r="CS673" s="33"/>
      <c r="CT673" s="33"/>
      <c r="CU673" s="33"/>
      <c r="CV673" s="32"/>
      <c r="CW673" s="32"/>
      <c r="CX673" s="32"/>
      <c r="CY673" s="34"/>
      <c r="CZ673" s="34"/>
      <c r="DA673" s="34"/>
      <c r="DB673" s="33"/>
      <c r="DC673" s="33"/>
      <c r="DD673" s="33"/>
      <c r="DE673" s="33"/>
      <c r="DF673" s="33"/>
      <c r="DG673" s="33"/>
      <c r="DH673" s="34"/>
      <c r="DI673" s="34"/>
      <c r="DJ673" s="34"/>
      <c r="DK673" s="34"/>
      <c r="DL673" s="34"/>
      <c r="DM673" s="34"/>
      <c r="DN673" s="12">
        <v>5204053</v>
      </c>
      <c r="DS673" s="21"/>
      <c r="DT673" s="21"/>
      <c r="DU673" s="21"/>
    </row>
    <row r="674" spans="72:125" ht="13.5" customHeight="1">
      <c r="BT674" s="12">
        <v>5404053</v>
      </c>
      <c r="BU674" s="3">
        <f>[1]monsters!$N674</f>
        <v>80</v>
      </c>
      <c r="BV674" s="3">
        <f>[1]monsters!$O674</f>
        <v>8</v>
      </c>
      <c r="BW674" s="3">
        <f>[1]monsters!$P674</f>
        <v>960</v>
      </c>
      <c r="BX674" s="3">
        <f>[1]monsters!$Q674</f>
        <v>96</v>
      </c>
      <c r="BY674" s="3">
        <f>[1]monsters!$R674</f>
        <v>26.67</v>
      </c>
      <c r="BZ674" s="3">
        <f>[1]monsters!$S674</f>
        <v>2.67</v>
      </c>
      <c r="CA674" s="3">
        <f>[1]monsters!$K674</f>
        <v>1.5</v>
      </c>
      <c r="CB674" s="12">
        <f>[1]monsters!$D674</f>
        <v>2</v>
      </c>
      <c r="CC674" s="12">
        <f t="shared" ca="1" si="58"/>
        <v>0.1</v>
      </c>
      <c r="CD674" s="12">
        <f t="shared" ca="1" si="59"/>
        <v>79.280756657483906</v>
      </c>
      <c r="CE674" s="12">
        <f t="shared" ca="1" si="60"/>
        <v>7.9280756657483904</v>
      </c>
      <c r="CS674" s="33"/>
      <c r="CT674" s="33"/>
      <c r="CU674" s="33"/>
      <c r="CV674" s="32"/>
      <c r="CW674" s="32"/>
      <c r="CX674" s="32"/>
      <c r="CY674" s="34"/>
      <c r="CZ674" s="34"/>
      <c r="DA674" s="34"/>
      <c r="DB674" s="33"/>
      <c r="DC674" s="33"/>
      <c r="DD674" s="33"/>
      <c r="DE674" s="33"/>
      <c r="DF674" s="33"/>
      <c r="DG674" s="33"/>
      <c r="DH674" s="34"/>
      <c r="DI674" s="34"/>
      <c r="DJ674" s="34"/>
      <c r="DK674" s="34"/>
      <c r="DL674" s="34"/>
      <c r="DM674" s="34"/>
      <c r="DN674" s="12">
        <v>5404053</v>
      </c>
      <c r="DS674" s="21"/>
      <c r="DT674" s="21"/>
      <c r="DU674" s="21"/>
    </row>
    <row r="675" spans="72:125" ht="13.5" customHeight="1">
      <c r="BT675" s="12">
        <v>5303053</v>
      </c>
      <c r="BU675" s="3">
        <f>[1]monsters!$N675</f>
        <v>80</v>
      </c>
      <c r="BV675" s="3">
        <f>[1]monsters!$O675</f>
        <v>8</v>
      </c>
      <c r="BW675" s="3">
        <f>[1]monsters!$P675</f>
        <v>960</v>
      </c>
      <c r="BX675" s="3">
        <f>[1]monsters!$Q675</f>
        <v>96</v>
      </c>
      <c r="BY675" s="3">
        <f>[1]monsters!$R675</f>
        <v>26.67</v>
      </c>
      <c r="BZ675" s="3">
        <f>[1]monsters!$S675</f>
        <v>2.67</v>
      </c>
      <c r="CA675" s="3">
        <f>[1]monsters!$K675</f>
        <v>1.5</v>
      </c>
      <c r="CB675" s="12">
        <f>[1]monsters!$D675</f>
        <v>2</v>
      </c>
      <c r="CC675" s="12">
        <f t="shared" ca="1" si="58"/>
        <v>0.1</v>
      </c>
      <c r="CD675" s="12">
        <f t="shared" ca="1" si="59"/>
        <v>71.295502581369405</v>
      </c>
      <c r="CE675" s="12">
        <f t="shared" ca="1" si="60"/>
        <v>7.1295502581369403</v>
      </c>
      <c r="CS675" s="33"/>
      <c r="CT675" s="33"/>
      <c r="CU675" s="33"/>
      <c r="CV675" s="32"/>
      <c r="CW675" s="32"/>
      <c r="CX675" s="32"/>
      <c r="CY675" s="34"/>
      <c r="CZ675" s="34"/>
      <c r="DA675" s="34"/>
      <c r="DB675" s="33"/>
      <c r="DC675" s="33"/>
      <c r="DD675" s="33"/>
      <c r="DE675" s="33"/>
      <c r="DF675" s="33"/>
      <c r="DG675" s="33"/>
      <c r="DH675" s="34"/>
      <c r="DI675" s="34"/>
      <c r="DJ675" s="34"/>
      <c r="DK675" s="34"/>
      <c r="DL675" s="34"/>
      <c r="DM675" s="34"/>
      <c r="DN675" s="12">
        <v>5303053</v>
      </c>
      <c r="DS675" s="21"/>
      <c r="DT675" s="21"/>
      <c r="DU675" s="21"/>
    </row>
    <row r="676" spans="72:125" ht="13.5" customHeight="1">
      <c r="BT676" s="12">
        <v>5304053</v>
      </c>
      <c r="BU676" s="3">
        <f>[1]monsters!$N676</f>
        <v>80</v>
      </c>
      <c r="BV676" s="3">
        <f>[1]monsters!$O676</f>
        <v>8</v>
      </c>
      <c r="BW676" s="3">
        <f>[1]monsters!$P676</f>
        <v>960</v>
      </c>
      <c r="BX676" s="3">
        <f>[1]monsters!$Q676</f>
        <v>96</v>
      </c>
      <c r="BY676" s="3">
        <f>[1]monsters!$R676</f>
        <v>26.67</v>
      </c>
      <c r="BZ676" s="3">
        <f>[1]monsters!$S676</f>
        <v>2.67</v>
      </c>
      <c r="CA676" s="3">
        <f>[1]monsters!$K676</f>
        <v>1.5</v>
      </c>
      <c r="CB676" s="12">
        <f>[1]monsters!$D676</f>
        <v>2</v>
      </c>
      <c r="CC676" s="12">
        <f t="shared" ca="1" si="58"/>
        <v>0.1</v>
      </c>
      <c r="CD676" s="12">
        <f t="shared" ca="1" si="59"/>
        <v>74.0171025813694</v>
      </c>
      <c r="CE676" s="12">
        <f t="shared" ca="1" si="60"/>
        <v>7.4017102581369398</v>
      </c>
      <c r="CS676" s="33"/>
      <c r="CT676" s="33"/>
      <c r="CU676" s="33"/>
      <c r="CV676" s="32"/>
      <c r="CW676" s="32"/>
      <c r="CX676" s="32"/>
      <c r="CY676" s="34"/>
      <c r="CZ676" s="34"/>
      <c r="DA676" s="34"/>
      <c r="DB676" s="33"/>
      <c r="DC676" s="33"/>
      <c r="DD676" s="33"/>
      <c r="DE676" s="33"/>
      <c r="DF676" s="33"/>
      <c r="DG676" s="33"/>
      <c r="DH676" s="34"/>
      <c r="DI676" s="34"/>
      <c r="DJ676" s="34"/>
      <c r="DK676" s="34"/>
      <c r="DL676" s="34"/>
      <c r="DM676" s="34"/>
      <c r="DN676" s="12">
        <v>5304053</v>
      </c>
      <c r="DS676" s="21"/>
      <c r="DT676" s="21"/>
      <c r="DU676" s="21"/>
    </row>
    <row r="677" spans="72:125" ht="13.5" customHeight="1">
      <c r="BT677" s="12">
        <v>5503053</v>
      </c>
      <c r="BU677" s="3">
        <f>[1]monsters!$N677</f>
        <v>88</v>
      </c>
      <c r="BV677" s="3">
        <f>[1]monsters!$O677</f>
        <v>8.8000000000000007</v>
      </c>
      <c r="BW677" s="3">
        <f>[1]monsters!$P677</f>
        <v>1056</v>
      </c>
      <c r="BX677" s="3">
        <f>[1]monsters!$Q677</f>
        <v>105.6</v>
      </c>
      <c r="BY677" s="3">
        <f>[1]monsters!$R677</f>
        <v>29.33</v>
      </c>
      <c r="BZ677" s="3">
        <f>[1]monsters!$S677</f>
        <v>2.93</v>
      </c>
      <c r="CA677" s="3">
        <f>[1]monsters!$K677</f>
        <v>1.5</v>
      </c>
      <c r="CB677" s="12">
        <f>[1]monsters!$D677</f>
        <v>2</v>
      </c>
      <c r="CC677" s="12">
        <f t="shared" ca="1" si="58"/>
        <v>0.1</v>
      </c>
      <c r="CD677" s="12">
        <f t="shared" ca="1" si="59"/>
        <v>84.996826936026906</v>
      </c>
      <c r="CE677" s="12">
        <f t="shared" ca="1" si="60"/>
        <v>8.4996826936026899</v>
      </c>
      <c r="CS677" s="33"/>
      <c r="CT677" s="33"/>
      <c r="CU677" s="33"/>
      <c r="CV677" s="32"/>
      <c r="CW677" s="32"/>
      <c r="CX677" s="32"/>
      <c r="CY677" s="34"/>
      <c r="CZ677" s="34"/>
      <c r="DA677" s="34"/>
      <c r="DB677" s="33"/>
      <c r="DC677" s="33"/>
      <c r="DD677" s="33"/>
      <c r="DE677" s="33"/>
      <c r="DF677" s="33"/>
      <c r="DG677" s="33"/>
      <c r="DH677" s="34"/>
      <c r="DI677" s="34"/>
      <c r="DJ677" s="34"/>
      <c r="DK677" s="34"/>
      <c r="DL677" s="34"/>
      <c r="DM677" s="34"/>
      <c r="DN677" s="12">
        <v>5503053</v>
      </c>
      <c r="DS677" s="21"/>
      <c r="DT677" s="21"/>
      <c r="DU677" s="21"/>
    </row>
    <row r="678" spans="72:125" ht="13.5" customHeight="1">
      <c r="BT678" s="12">
        <v>5504053</v>
      </c>
      <c r="BU678" s="3">
        <f>[1]monsters!$N678</f>
        <v>88</v>
      </c>
      <c r="BV678" s="3">
        <f>[1]monsters!$O678</f>
        <v>8.8000000000000007</v>
      </c>
      <c r="BW678" s="3">
        <f>[1]monsters!$P678</f>
        <v>1056</v>
      </c>
      <c r="BX678" s="3">
        <f>[1]monsters!$Q678</f>
        <v>105.6</v>
      </c>
      <c r="BY678" s="3">
        <f>[1]monsters!$R678</f>
        <v>29.33</v>
      </c>
      <c r="BZ678" s="3">
        <f>[1]monsters!$S678</f>
        <v>2.93</v>
      </c>
      <c r="CA678" s="3">
        <f>[1]monsters!$K678</f>
        <v>1.5</v>
      </c>
      <c r="CB678" s="12">
        <f>[1]monsters!$D678</f>
        <v>2</v>
      </c>
      <c r="CC678" s="12">
        <f t="shared" ca="1" si="58"/>
        <v>0.1</v>
      </c>
      <c r="CD678" s="12">
        <f t="shared" ca="1" si="59"/>
        <v>92.254426936026903</v>
      </c>
      <c r="CE678" s="12">
        <f t="shared" ca="1" si="60"/>
        <v>9.2254426936026892</v>
      </c>
      <c r="CS678" s="33"/>
      <c r="CT678" s="33"/>
      <c r="CU678" s="33"/>
      <c r="CV678" s="32"/>
      <c r="CW678" s="32"/>
      <c r="CX678" s="32"/>
      <c r="CY678" s="34"/>
      <c r="CZ678" s="34"/>
      <c r="DA678" s="34"/>
      <c r="DB678" s="33"/>
      <c r="DC678" s="33"/>
      <c r="DD678" s="33"/>
      <c r="DE678" s="33"/>
      <c r="DF678" s="33"/>
      <c r="DG678" s="33"/>
      <c r="DH678" s="34"/>
      <c r="DI678" s="34"/>
      <c r="DJ678" s="34"/>
      <c r="DK678" s="34"/>
      <c r="DL678" s="34"/>
      <c r="DM678" s="34"/>
      <c r="DN678" s="12">
        <v>5504053</v>
      </c>
      <c r="DS678" s="21"/>
      <c r="DT678" s="21"/>
      <c r="DU678" s="21"/>
    </row>
    <row r="679" spans="72:125" ht="13.5" customHeight="1">
      <c r="BT679" s="12">
        <v>5101053</v>
      </c>
      <c r="BU679" s="3">
        <f>[1]monsters!$N679</f>
        <v>88</v>
      </c>
      <c r="BV679" s="3">
        <f>[1]monsters!$O679</f>
        <v>8.8000000000000007</v>
      </c>
      <c r="BW679" s="3">
        <f>[1]monsters!$P679</f>
        <v>1056</v>
      </c>
      <c r="BX679" s="3">
        <f>[1]monsters!$Q679</f>
        <v>105.6</v>
      </c>
      <c r="BY679" s="3">
        <f>[1]monsters!$R679</f>
        <v>29.33</v>
      </c>
      <c r="BZ679" s="3">
        <f>[1]monsters!$S679</f>
        <v>2.93</v>
      </c>
      <c r="CA679" s="3">
        <f>[1]monsters!$K679</f>
        <v>1.5</v>
      </c>
      <c r="CB679" s="12">
        <f>[1]monsters!$D679</f>
        <v>2</v>
      </c>
      <c r="CC679" s="12">
        <f t="shared" ca="1" si="58"/>
        <v>0.1</v>
      </c>
      <c r="CD679" s="12">
        <f t="shared" ca="1" si="59"/>
        <v>80.707232323232304</v>
      </c>
      <c r="CE679" s="12">
        <f t="shared" ca="1" si="60"/>
        <v>8.0707232323232301</v>
      </c>
      <c r="CS679" s="33"/>
      <c r="CT679" s="33"/>
      <c r="CU679" s="33"/>
      <c r="CV679" s="32"/>
      <c r="CW679" s="32"/>
      <c r="CX679" s="32"/>
      <c r="CY679" s="34"/>
      <c r="CZ679" s="34"/>
      <c r="DA679" s="34"/>
      <c r="DB679" s="33"/>
      <c r="DC679" s="33"/>
      <c r="DD679" s="33"/>
      <c r="DE679" s="33"/>
      <c r="DF679" s="33"/>
      <c r="DG679" s="33"/>
      <c r="DH679" s="34"/>
      <c r="DI679" s="34"/>
      <c r="DJ679" s="34"/>
      <c r="DK679" s="34"/>
      <c r="DL679" s="34"/>
      <c r="DM679" s="34"/>
      <c r="DN679" s="12">
        <v>5101053</v>
      </c>
      <c r="DS679" s="21"/>
      <c r="DT679" s="21"/>
      <c r="DU679" s="21"/>
    </row>
    <row r="680" spans="72:125" ht="13.5" customHeight="1">
      <c r="BT680" s="12">
        <v>5102053</v>
      </c>
      <c r="BU680" s="3">
        <f>[1]monsters!$N680</f>
        <v>88</v>
      </c>
      <c r="BV680" s="3">
        <f>[1]monsters!$O680</f>
        <v>8.8000000000000007</v>
      </c>
      <c r="BW680" s="3">
        <f>[1]monsters!$P680</f>
        <v>1056</v>
      </c>
      <c r="BX680" s="3">
        <f>[1]monsters!$Q680</f>
        <v>105.6</v>
      </c>
      <c r="BY680" s="3">
        <f>[1]monsters!$R680</f>
        <v>29.33</v>
      </c>
      <c r="BZ680" s="3">
        <f>[1]monsters!$S680</f>
        <v>2.93</v>
      </c>
      <c r="CA680" s="3">
        <f>[1]monsters!$K680</f>
        <v>1.5</v>
      </c>
      <c r="CB680" s="12">
        <f>[1]monsters!$D680</f>
        <v>2</v>
      </c>
      <c r="CC680" s="12">
        <f t="shared" ca="1" si="58"/>
        <v>0.1</v>
      </c>
      <c r="CD680" s="12">
        <f t="shared" ca="1" si="59"/>
        <v>74.659232323232303</v>
      </c>
      <c r="CE680" s="12">
        <f t="shared" ca="1" si="60"/>
        <v>7.4659232323232301</v>
      </c>
      <c r="CS680" s="33"/>
      <c r="CT680" s="33"/>
      <c r="CU680" s="33"/>
      <c r="CV680" s="32"/>
      <c r="CW680" s="32"/>
      <c r="CX680" s="32"/>
      <c r="CY680" s="34"/>
      <c r="CZ680" s="34"/>
      <c r="DA680" s="34"/>
      <c r="DB680" s="33"/>
      <c r="DC680" s="33"/>
      <c r="DD680" s="33"/>
      <c r="DE680" s="33"/>
      <c r="DF680" s="33"/>
      <c r="DG680" s="33"/>
      <c r="DH680" s="34"/>
      <c r="DI680" s="34"/>
      <c r="DJ680" s="34"/>
      <c r="DK680" s="34"/>
      <c r="DL680" s="34"/>
      <c r="DM680" s="34"/>
      <c r="DN680" s="12">
        <v>5102053</v>
      </c>
      <c r="DS680" s="21"/>
      <c r="DT680" s="21"/>
      <c r="DU680" s="21"/>
    </row>
    <row r="681" spans="72:125" ht="13.5" customHeight="1">
      <c r="BT681" s="12">
        <v>5206054</v>
      </c>
      <c r="BU681" s="3">
        <f>[1]monsters!$N681</f>
        <v>88</v>
      </c>
      <c r="BV681" s="3">
        <f>[1]monsters!$O681</f>
        <v>8.8000000000000007</v>
      </c>
      <c r="BW681" s="3">
        <f>[1]monsters!$P681</f>
        <v>1056</v>
      </c>
      <c r="BX681" s="3">
        <f>[1]monsters!$Q681</f>
        <v>105.6</v>
      </c>
      <c r="BY681" s="3">
        <f>[1]monsters!$R681</f>
        <v>29.33</v>
      </c>
      <c r="BZ681" s="3">
        <f>[1]monsters!$S681</f>
        <v>2.93</v>
      </c>
      <c r="CA681" s="3">
        <f>[1]monsters!$K681</f>
        <v>1.5</v>
      </c>
      <c r="CB681" s="12">
        <f>[1]monsters!$D681</f>
        <v>2</v>
      </c>
      <c r="CC681" s="12">
        <f t="shared" ca="1" si="58"/>
        <v>0.1</v>
      </c>
      <c r="CD681" s="12">
        <f t="shared" ca="1" si="59"/>
        <v>81.530440404040405</v>
      </c>
      <c r="CE681" s="12">
        <f t="shared" ca="1" si="60"/>
        <v>8.1530440404040405</v>
      </c>
      <c r="CS681" s="33"/>
      <c r="CT681" s="33"/>
      <c r="CU681" s="33"/>
      <c r="CV681" s="32"/>
      <c r="CW681" s="32"/>
      <c r="CX681" s="32"/>
      <c r="CY681" s="34"/>
      <c r="CZ681" s="34"/>
      <c r="DA681" s="34"/>
      <c r="DB681" s="33"/>
      <c r="DC681" s="33"/>
      <c r="DD681" s="33"/>
      <c r="DE681" s="33"/>
      <c r="DF681" s="33"/>
      <c r="DG681" s="33"/>
      <c r="DH681" s="34"/>
      <c r="DI681" s="34"/>
      <c r="DJ681" s="34"/>
      <c r="DK681" s="34"/>
      <c r="DL681" s="34"/>
      <c r="DM681" s="34"/>
      <c r="DN681" s="12">
        <v>5206054</v>
      </c>
      <c r="DS681" s="21"/>
      <c r="DT681" s="21"/>
      <c r="DU681" s="21"/>
    </row>
    <row r="682" spans="72:125" ht="13.5" customHeight="1">
      <c r="BT682" s="12">
        <v>5406054</v>
      </c>
      <c r="BU682" s="3">
        <f>[1]monsters!$N682</f>
        <v>96</v>
      </c>
      <c r="BV682" s="3">
        <f>[1]monsters!$O682</f>
        <v>9.6</v>
      </c>
      <c r="BW682" s="3">
        <f>[1]monsters!$P682</f>
        <v>1152</v>
      </c>
      <c r="BX682" s="3">
        <f>[1]monsters!$Q682</f>
        <v>115.2</v>
      </c>
      <c r="BY682" s="3">
        <f>[1]monsters!$R682</f>
        <v>32</v>
      </c>
      <c r="BZ682" s="3">
        <f>[1]monsters!$S682</f>
        <v>3.2</v>
      </c>
      <c r="CA682" s="3">
        <f>[1]monsters!$K682</f>
        <v>1.5</v>
      </c>
      <c r="CB682" s="12">
        <f>[1]monsters!$D682</f>
        <v>2</v>
      </c>
      <c r="CC682" s="12">
        <f t="shared" ca="1" si="58"/>
        <v>0.1</v>
      </c>
      <c r="CD682" s="12">
        <f t="shared" ca="1" si="59"/>
        <v>75.954356657483899</v>
      </c>
      <c r="CE682" s="12">
        <f t="shared" ca="1" si="60"/>
        <v>7.5954356657483899</v>
      </c>
      <c r="CS682" s="33"/>
      <c r="CT682" s="33"/>
      <c r="CU682" s="33"/>
      <c r="CV682" s="32"/>
      <c r="CW682" s="32"/>
      <c r="CX682" s="32"/>
      <c r="CY682" s="34"/>
      <c r="CZ682" s="34"/>
      <c r="DA682" s="34"/>
      <c r="DB682" s="33"/>
      <c r="DC682" s="33"/>
      <c r="DD682" s="33"/>
      <c r="DE682" s="33"/>
      <c r="DF682" s="33"/>
      <c r="DG682" s="33"/>
      <c r="DH682" s="34"/>
      <c r="DI682" s="34"/>
      <c r="DJ682" s="34"/>
      <c r="DK682" s="34"/>
      <c r="DL682" s="34"/>
      <c r="DM682" s="34"/>
      <c r="DN682" s="12">
        <v>5406054</v>
      </c>
      <c r="DS682" s="21"/>
      <c r="DT682" s="21"/>
      <c r="DU682" s="21"/>
    </row>
    <row r="683" spans="72:125" ht="13.5" customHeight="1">
      <c r="BT683" s="12">
        <v>5205054</v>
      </c>
      <c r="BU683" s="3">
        <f>[1]monsters!$N683</f>
        <v>96</v>
      </c>
      <c r="BV683" s="3">
        <f>[1]monsters!$O683</f>
        <v>9.6</v>
      </c>
      <c r="BW683" s="3">
        <f>[1]monsters!$P683</f>
        <v>1152</v>
      </c>
      <c r="BX683" s="3">
        <f>[1]monsters!$Q683</f>
        <v>115.2</v>
      </c>
      <c r="BY683" s="3">
        <f>[1]monsters!$R683</f>
        <v>32</v>
      </c>
      <c r="BZ683" s="3">
        <f>[1]monsters!$S683</f>
        <v>3.2</v>
      </c>
      <c r="CA683" s="3">
        <f>[1]monsters!$K683</f>
        <v>1.5</v>
      </c>
      <c r="CB683" s="12">
        <f>[1]monsters!$D683</f>
        <v>2</v>
      </c>
      <c r="CC683" s="12">
        <f t="shared" ca="1" si="58"/>
        <v>0.1</v>
      </c>
      <c r="CD683" s="12">
        <f t="shared" ca="1" si="59"/>
        <v>88.788040404040402</v>
      </c>
      <c r="CE683" s="12">
        <f t="shared" ca="1" si="60"/>
        <v>8.8788040404040398</v>
      </c>
      <c r="CS683" s="33"/>
      <c r="CT683" s="33"/>
      <c r="CU683" s="33"/>
      <c r="CV683" s="32"/>
      <c r="CW683" s="32"/>
      <c r="CX683" s="32"/>
      <c r="CY683" s="34"/>
      <c r="CZ683" s="34"/>
      <c r="DA683" s="34"/>
      <c r="DB683" s="33"/>
      <c r="DC683" s="33"/>
      <c r="DD683" s="33"/>
      <c r="DE683" s="33"/>
      <c r="DF683" s="33"/>
      <c r="DG683" s="33"/>
      <c r="DH683" s="34"/>
      <c r="DI683" s="34"/>
      <c r="DJ683" s="34"/>
      <c r="DK683" s="34"/>
      <c r="DL683" s="34"/>
      <c r="DM683" s="34"/>
      <c r="DN683" s="12">
        <v>5205054</v>
      </c>
      <c r="DS683" s="21"/>
      <c r="DT683" s="21"/>
      <c r="DU683" s="21"/>
    </row>
    <row r="684" spans="72:125" ht="13.5" customHeight="1">
      <c r="BT684" s="12">
        <v>5405054</v>
      </c>
      <c r="BU684" s="3">
        <f>[1]monsters!$N684</f>
        <v>96</v>
      </c>
      <c r="BV684" s="3">
        <f>[1]monsters!$O684</f>
        <v>9.6</v>
      </c>
      <c r="BW684" s="3">
        <f>[1]monsters!$P684</f>
        <v>1152</v>
      </c>
      <c r="BX684" s="3">
        <f>[1]monsters!$Q684</f>
        <v>115.2</v>
      </c>
      <c r="BY684" s="3">
        <f>[1]monsters!$R684</f>
        <v>32</v>
      </c>
      <c r="BZ684" s="3">
        <f>[1]monsters!$S684</f>
        <v>3.2</v>
      </c>
      <c r="CA684" s="3">
        <f>[1]monsters!$K684</f>
        <v>1.5</v>
      </c>
      <c r="CB684" s="12">
        <f>[1]monsters!$D684</f>
        <v>2</v>
      </c>
      <c r="CC684" s="12">
        <f t="shared" ca="1" si="58"/>
        <v>0.1</v>
      </c>
      <c r="CD684" s="12">
        <f t="shared" ca="1" si="59"/>
        <v>79.280756657483906</v>
      </c>
      <c r="CE684" s="12">
        <f t="shared" ca="1" si="60"/>
        <v>7.9280756657483904</v>
      </c>
      <c r="CS684" s="33"/>
      <c r="CT684" s="33"/>
      <c r="CU684" s="33"/>
      <c r="CV684" s="32"/>
      <c r="CW684" s="32"/>
      <c r="CX684" s="32"/>
      <c r="CY684" s="34"/>
      <c r="CZ684" s="34"/>
      <c r="DA684" s="34"/>
      <c r="DB684" s="33"/>
      <c r="DC684" s="33"/>
      <c r="DD684" s="33"/>
      <c r="DE684" s="33"/>
      <c r="DF684" s="33"/>
      <c r="DG684" s="33"/>
      <c r="DH684" s="34"/>
      <c r="DI684" s="34"/>
      <c r="DJ684" s="34"/>
      <c r="DK684" s="33"/>
      <c r="DL684" s="33"/>
      <c r="DM684" s="33"/>
      <c r="DN684" s="12">
        <v>5405054</v>
      </c>
      <c r="DS684" s="21"/>
      <c r="DT684" s="21"/>
      <c r="DU684" s="21"/>
    </row>
    <row r="685" spans="72:125" ht="13.5" customHeight="1">
      <c r="BT685" s="12">
        <v>5203054</v>
      </c>
      <c r="BU685" s="3">
        <f>[1]monsters!$N685</f>
        <v>96</v>
      </c>
      <c r="BV685" s="3">
        <f>[1]monsters!$O685</f>
        <v>9.6</v>
      </c>
      <c r="BW685" s="3">
        <f>[1]monsters!$P685</f>
        <v>1152</v>
      </c>
      <c r="BX685" s="3">
        <f>[1]monsters!$Q685</f>
        <v>115.2</v>
      </c>
      <c r="BY685" s="3">
        <f>[1]monsters!$R685</f>
        <v>32</v>
      </c>
      <c r="BZ685" s="3">
        <f>[1]monsters!$S685</f>
        <v>3.2</v>
      </c>
      <c r="CA685" s="3">
        <f>[1]monsters!$K685</f>
        <v>1.5</v>
      </c>
      <c r="CB685" s="12">
        <f>[1]monsters!$D685</f>
        <v>2</v>
      </c>
      <c r="CC685" s="12">
        <f t="shared" ca="1" si="58"/>
        <v>0.1</v>
      </c>
      <c r="CD685" s="12">
        <f t="shared" ca="1" si="59"/>
        <v>71.853640404040405</v>
      </c>
      <c r="CE685" s="12">
        <f t="shared" ca="1" si="60"/>
        <v>7.18536404040404</v>
      </c>
      <c r="CS685" s="33"/>
      <c r="CT685" s="33"/>
      <c r="CU685" s="33"/>
      <c r="CV685" s="32"/>
      <c r="CW685" s="32"/>
      <c r="CX685" s="32"/>
      <c r="CY685" s="34"/>
      <c r="CZ685" s="34"/>
      <c r="DA685" s="34"/>
      <c r="DB685" s="33"/>
      <c r="DC685" s="33"/>
      <c r="DD685" s="33"/>
      <c r="DE685" s="33"/>
      <c r="DF685" s="33"/>
      <c r="DG685" s="33"/>
      <c r="DH685" s="34"/>
      <c r="DI685" s="34"/>
      <c r="DJ685" s="34"/>
      <c r="DK685" s="33"/>
      <c r="DL685" s="33"/>
      <c r="DM685" s="33"/>
      <c r="DN685" s="12">
        <v>5203054</v>
      </c>
      <c r="DS685" s="21"/>
      <c r="DT685" s="21"/>
      <c r="DU685" s="21"/>
    </row>
    <row r="686" spans="72:125" ht="13.5" customHeight="1">
      <c r="BT686" s="12">
        <v>5403054</v>
      </c>
      <c r="BU686" s="3">
        <f>[1]monsters!$N686</f>
        <v>96</v>
      </c>
      <c r="BV686" s="3">
        <f>[1]monsters!$O686</f>
        <v>9.6</v>
      </c>
      <c r="BW686" s="3">
        <f>[1]monsters!$P686</f>
        <v>1152</v>
      </c>
      <c r="BX686" s="3">
        <f>[1]monsters!$Q686</f>
        <v>115.2</v>
      </c>
      <c r="BY686" s="3">
        <f>[1]monsters!$R686</f>
        <v>32</v>
      </c>
      <c r="BZ686" s="3">
        <f>[1]monsters!$S686</f>
        <v>3.2</v>
      </c>
      <c r="CA686" s="3">
        <f>[1]monsters!$K686</f>
        <v>1.5</v>
      </c>
      <c r="CB686" s="12">
        <f>[1]monsters!$D686</f>
        <v>2</v>
      </c>
      <c r="CC686" s="12">
        <f t="shared" ca="1" si="58"/>
        <v>0.1</v>
      </c>
      <c r="CD686" s="12">
        <f t="shared" ca="1" si="59"/>
        <v>65.975156657483893</v>
      </c>
      <c r="CE686" s="12">
        <f t="shared" ca="1" si="60"/>
        <v>6.5975156657483902</v>
      </c>
      <c r="CS686" s="33"/>
      <c r="CT686" s="33"/>
      <c r="CU686" s="33"/>
      <c r="CV686" s="32"/>
      <c r="CW686" s="32"/>
      <c r="CX686" s="32"/>
      <c r="CY686" s="34"/>
      <c r="CZ686" s="34"/>
      <c r="DA686" s="34"/>
      <c r="DB686" s="33"/>
      <c r="DC686" s="33"/>
      <c r="DD686" s="33"/>
      <c r="DE686" s="33"/>
      <c r="DF686" s="33"/>
      <c r="DG686" s="33"/>
      <c r="DH686" s="34"/>
      <c r="DI686" s="34"/>
      <c r="DJ686" s="34"/>
      <c r="DK686" s="33"/>
      <c r="DL686" s="33"/>
      <c r="DM686" s="33"/>
      <c r="DN686" s="12">
        <v>5403054</v>
      </c>
      <c r="DS686" s="21"/>
      <c r="DT686" s="21"/>
      <c r="DU686" s="21"/>
    </row>
    <row r="687" spans="72:125" ht="13.5" customHeight="1">
      <c r="BT687" s="12">
        <v>5204054</v>
      </c>
      <c r="BU687" s="3">
        <f>[1]monsters!$N687</f>
        <v>112</v>
      </c>
      <c r="BV687" s="3">
        <f>[1]monsters!$O687</f>
        <v>11.2</v>
      </c>
      <c r="BW687" s="3">
        <f>[1]monsters!$P687</f>
        <v>1344</v>
      </c>
      <c r="BX687" s="3">
        <f>[1]monsters!$Q687</f>
        <v>134.4</v>
      </c>
      <c r="BY687" s="3">
        <f>[1]monsters!$R687</f>
        <v>37.33</v>
      </c>
      <c r="BZ687" s="3">
        <f>[1]monsters!$S687</f>
        <v>3.73</v>
      </c>
      <c r="CA687" s="3">
        <f>[1]monsters!$K687</f>
        <v>1.5</v>
      </c>
      <c r="CB687" s="12">
        <f>[1]monsters!$D687</f>
        <v>2</v>
      </c>
      <c r="CC687" s="12">
        <f t="shared" ca="1" si="58"/>
        <v>0.1</v>
      </c>
      <c r="CD687" s="12">
        <f t="shared" ca="1" si="59"/>
        <v>74.272840404040394</v>
      </c>
      <c r="CE687" s="12">
        <f t="shared" ca="1" si="60"/>
        <v>7.4272840404040403</v>
      </c>
      <c r="CS687" s="33"/>
      <c r="CT687" s="33"/>
      <c r="CU687" s="33"/>
      <c r="CV687" s="32"/>
      <c r="CW687" s="32"/>
      <c r="CX687" s="32"/>
      <c r="CY687" s="34"/>
      <c r="CZ687" s="34"/>
      <c r="DA687" s="34"/>
      <c r="DB687" s="33"/>
      <c r="DC687" s="33"/>
      <c r="DD687" s="33"/>
      <c r="DE687" s="33"/>
      <c r="DF687" s="33"/>
      <c r="DG687" s="33"/>
      <c r="DH687" s="34"/>
      <c r="DI687" s="34"/>
      <c r="DJ687" s="34"/>
      <c r="DK687" s="33"/>
      <c r="DL687" s="33"/>
      <c r="DM687" s="33"/>
      <c r="DN687" s="12">
        <v>5204054</v>
      </c>
      <c r="DS687" s="21"/>
      <c r="DT687" s="21"/>
      <c r="DU687" s="21"/>
    </row>
    <row r="688" spans="72:125" ht="13.5" customHeight="1">
      <c r="BT688" s="12">
        <v>5404054</v>
      </c>
      <c r="BU688" s="3">
        <f>[1]monsters!$N688</f>
        <v>112</v>
      </c>
      <c r="BV688" s="3">
        <f>[1]monsters!$O688</f>
        <v>11.2</v>
      </c>
      <c r="BW688" s="3">
        <f>[1]monsters!$P688</f>
        <v>1344</v>
      </c>
      <c r="BX688" s="3">
        <f>[1]monsters!$Q688</f>
        <v>134.4</v>
      </c>
      <c r="BY688" s="3">
        <f>[1]monsters!$R688</f>
        <v>37.33</v>
      </c>
      <c r="BZ688" s="3">
        <f>[1]monsters!$S688</f>
        <v>3.73</v>
      </c>
      <c r="CA688" s="3">
        <f>[1]monsters!$K688</f>
        <v>1.5</v>
      </c>
      <c r="CB688" s="12">
        <f>[1]monsters!$D688</f>
        <v>2</v>
      </c>
      <c r="CC688" s="12">
        <f t="shared" ca="1" si="58"/>
        <v>0.1</v>
      </c>
      <c r="CD688" s="12">
        <f t="shared" ca="1" si="59"/>
        <v>79.280756657483906</v>
      </c>
      <c r="CE688" s="12">
        <f t="shared" ca="1" si="60"/>
        <v>7.9280756657483904</v>
      </c>
      <c r="CS688" s="33"/>
      <c r="CT688" s="33"/>
      <c r="CU688" s="33"/>
      <c r="CV688" s="32"/>
      <c r="CW688" s="32"/>
      <c r="CX688" s="32"/>
      <c r="CY688" s="34"/>
      <c r="CZ688" s="34"/>
      <c r="DA688" s="34"/>
      <c r="DB688" s="33"/>
      <c r="DC688" s="33"/>
      <c r="DD688" s="33"/>
      <c r="DE688" s="33"/>
      <c r="DF688" s="33"/>
      <c r="DG688" s="33"/>
      <c r="DH688" s="34"/>
      <c r="DI688" s="34"/>
      <c r="DJ688" s="34"/>
      <c r="DK688" s="33"/>
      <c r="DL688" s="33"/>
      <c r="DM688" s="33"/>
      <c r="DN688" s="12">
        <v>5404054</v>
      </c>
      <c r="DS688" s="21"/>
      <c r="DT688" s="21"/>
      <c r="DU688" s="21"/>
    </row>
    <row r="689" spans="72:125" ht="13.5" customHeight="1">
      <c r="BT689" s="12">
        <v>5303054</v>
      </c>
      <c r="BU689" s="3">
        <f>[1]monsters!$N689</f>
        <v>112</v>
      </c>
      <c r="BV689" s="3">
        <f>[1]monsters!$O689</f>
        <v>11.2</v>
      </c>
      <c r="BW689" s="3">
        <f>[1]monsters!$P689</f>
        <v>1344</v>
      </c>
      <c r="BX689" s="3">
        <f>[1]monsters!$Q689</f>
        <v>134.4</v>
      </c>
      <c r="BY689" s="3">
        <f>[1]monsters!$R689</f>
        <v>37.33</v>
      </c>
      <c r="BZ689" s="3">
        <f>[1]monsters!$S689</f>
        <v>3.73</v>
      </c>
      <c r="CA689" s="3">
        <f>[1]monsters!$K689</f>
        <v>1.5</v>
      </c>
      <c r="CB689" s="12">
        <f>[1]monsters!$D689</f>
        <v>2</v>
      </c>
      <c r="CC689" s="12">
        <f t="shared" ca="1" si="58"/>
        <v>0.1</v>
      </c>
      <c r="CD689" s="12">
        <f t="shared" ca="1" si="59"/>
        <v>71.295502581369405</v>
      </c>
      <c r="CE689" s="12">
        <f t="shared" ca="1" si="60"/>
        <v>7.1295502581369403</v>
      </c>
      <c r="CS689" s="33"/>
      <c r="CT689" s="33"/>
      <c r="CU689" s="33"/>
      <c r="CV689" s="32"/>
      <c r="CW689" s="32"/>
      <c r="CX689" s="32"/>
      <c r="CY689" s="34"/>
      <c r="CZ689" s="34"/>
      <c r="DA689" s="34"/>
      <c r="DB689" s="33"/>
      <c r="DC689" s="33"/>
      <c r="DD689" s="33"/>
      <c r="DE689" s="33"/>
      <c r="DF689" s="33"/>
      <c r="DG689" s="33"/>
      <c r="DH689" s="34"/>
      <c r="DI689" s="34"/>
      <c r="DJ689" s="34"/>
      <c r="DK689" s="33"/>
      <c r="DL689" s="33"/>
      <c r="DM689" s="33"/>
      <c r="DN689" s="12">
        <v>5303054</v>
      </c>
      <c r="DS689" s="21"/>
      <c r="DT689" s="21"/>
      <c r="DU689" s="21"/>
    </row>
    <row r="690" spans="72:125" ht="13.5" customHeight="1">
      <c r="BT690" s="12">
        <v>5304054</v>
      </c>
      <c r="BU690" s="3">
        <f>[1]monsters!$N690</f>
        <v>112</v>
      </c>
      <c r="BV690" s="3">
        <f>[1]monsters!$O690</f>
        <v>11.2</v>
      </c>
      <c r="BW690" s="3">
        <f>[1]monsters!$P690</f>
        <v>1344</v>
      </c>
      <c r="BX690" s="3">
        <f>[1]monsters!$Q690</f>
        <v>134.4</v>
      </c>
      <c r="BY690" s="3">
        <f>[1]monsters!$R690</f>
        <v>37.33</v>
      </c>
      <c r="BZ690" s="3">
        <f>[1]monsters!$S690</f>
        <v>3.73</v>
      </c>
      <c r="CA690" s="3">
        <f>[1]monsters!$K690</f>
        <v>1.5</v>
      </c>
      <c r="CB690" s="12">
        <f>[1]monsters!$D690</f>
        <v>2</v>
      </c>
      <c r="CC690" s="12">
        <f t="shared" ca="1" si="58"/>
        <v>0.1</v>
      </c>
      <c r="CD690" s="12">
        <f t="shared" ca="1" si="59"/>
        <v>74.0171025813694</v>
      </c>
      <c r="CE690" s="12">
        <f t="shared" ca="1" si="60"/>
        <v>7.4017102581369398</v>
      </c>
      <c r="CS690" s="33"/>
      <c r="CT690" s="33"/>
      <c r="CU690" s="33"/>
      <c r="CV690" s="32"/>
      <c r="CW690" s="32"/>
      <c r="CX690" s="32"/>
      <c r="CY690" s="34"/>
      <c r="CZ690" s="34"/>
      <c r="DA690" s="34"/>
      <c r="DB690" s="33"/>
      <c r="DC690" s="33"/>
      <c r="DD690" s="33"/>
      <c r="DE690" s="33"/>
      <c r="DF690" s="33"/>
      <c r="DG690" s="33"/>
      <c r="DH690" s="34"/>
      <c r="DI690" s="34"/>
      <c r="DJ690" s="34"/>
      <c r="DK690" s="33"/>
      <c r="DL690" s="33"/>
      <c r="DM690" s="33"/>
      <c r="DN690" s="12">
        <v>5304054</v>
      </c>
      <c r="DS690" s="21"/>
      <c r="DT690" s="21"/>
      <c r="DU690" s="21"/>
    </row>
    <row r="691" spans="72:125" ht="13.5" customHeight="1">
      <c r="BT691" s="12">
        <v>5503054</v>
      </c>
      <c r="BU691" s="3">
        <f>[1]monsters!$N691</f>
        <v>112</v>
      </c>
      <c r="BV691" s="3">
        <f>[1]monsters!$O691</f>
        <v>11.2</v>
      </c>
      <c r="BW691" s="3">
        <f>[1]monsters!$P691</f>
        <v>1344</v>
      </c>
      <c r="BX691" s="3">
        <f>[1]monsters!$Q691</f>
        <v>134.4</v>
      </c>
      <c r="BY691" s="3">
        <f>[1]monsters!$R691</f>
        <v>37.33</v>
      </c>
      <c r="BZ691" s="3">
        <f>[1]monsters!$S691</f>
        <v>3.73</v>
      </c>
      <c r="CA691" s="3">
        <f>[1]monsters!$K691</f>
        <v>1.5</v>
      </c>
      <c r="CB691" s="12">
        <f>[1]monsters!$D691</f>
        <v>2</v>
      </c>
      <c r="CC691" s="12">
        <f t="shared" ca="1" si="58"/>
        <v>0.1</v>
      </c>
      <c r="CD691" s="12">
        <f t="shared" ca="1" si="59"/>
        <v>84.996826936026906</v>
      </c>
      <c r="CE691" s="12">
        <f t="shared" ca="1" si="60"/>
        <v>8.4996826936026899</v>
      </c>
      <c r="CS691" s="33"/>
      <c r="CT691" s="33"/>
      <c r="CU691" s="33"/>
      <c r="CV691" s="32"/>
      <c r="CW691" s="32"/>
      <c r="CX691" s="32"/>
      <c r="CY691" s="34"/>
      <c r="CZ691" s="34"/>
      <c r="DA691" s="34"/>
      <c r="DB691" s="33"/>
      <c r="DC691" s="33"/>
      <c r="DD691" s="33"/>
      <c r="DE691" s="33"/>
      <c r="DF691" s="33"/>
      <c r="DG691" s="33"/>
      <c r="DH691" s="34"/>
      <c r="DI691" s="34"/>
      <c r="DJ691" s="34"/>
      <c r="DK691" s="33"/>
      <c r="DL691" s="33"/>
      <c r="DM691" s="33"/>
      <c r="DN691" s="12">
        <v>5503054</v>
      </c>
      <c r="DS691" s="21"/>
      <c r="DT691" s="21"/>
      <c r="DU691" s="21"/>
    </row>
    <row r="692" spans="72:125" ht="13.5" customHeight="1">
      <c r="BT692" s="12">
        <v>5504054</v>
      </c>
      <c r="BU692" s="3">
        <f>[1]monsters!$N692</f>
        <v>128</v>
      </c>
      <c r="BV692" s="3">
        <f>[1]monsters!$O692</f>
        <v>12.8</v>
      </c>
      <c r="BW692" s="3">
        <f>[1]monsters!$P692</f>
        <v>1536</v>
      </c>
      <c r="BX692" s="3">
        <f>[1]monsters!$Q692</f>
        <v>153.6</v>
      </c>
      <c r="BY692" s="3">
        <f>[1]monsters!$R692</f>
        <v>42.67</v>
      </c>
      <c r="BZ692" s="3">
        <f>[1]monsters!$S692</f>
        <v>4.2699999999999996</v>
      </c>
      <c r="CA692" s="3">
        <f>[1]monsters!$K692</f>
        <v>1.5</v>
      </c>
      <c r="CB692" s="12">
        <f>[1]monsters!$D692</f>
        <v>2</v>
      </c>
      <c r="CC692" s="12">
        <f t="shared" ca="1" si="58"/>
        <v>0.1</v>
      </c>
      <c r="CD692" s="12">
        <f t="shared" ca="1" si="59"/>
        <v>92.254426936026903</v>
      </c>
      <c r="CE692" s="12">
        <f t="shared" ca="1" si="60"/>
        <v>9.2254426936026892</v>
      </c>
      <c r="CS692" s="33"/>
      <c r="CT692" s="33"/>
      <c r="CU692" s="33"/>
      <c r="CV692" s="32"/>
      <c r="CW692" s="32"/>
      <c r="CX692" s="32"/>
      <c r="CY692" s="34"/>
      <c r="CZ692" s="34"/>
      <c r="DA692" s="34"/>
      <c r="DB692" s="33"/>
      <c r="DC692" s="33"/>
      <c r="DD692" s="33"/>
      <c r="DE692" s="33"/>
      <c r="DF692" s="33"/>
      <c r="DG692" s="33"/>
      <c r="DH692" s="34"/>
      <c r="DI692" s="34"/>
      <c r="DJ692" s="34"/>
      <c r="DK692" s="33"/>
      <c r="DL692" s="33"/>
      <c r="DM692" s="33"/>
      <c r="DN692" s="12">
        <v>5504054</v>
      </c>
      <c r="DS692" s="21"/>
      <c r="DT692" s="21"/>
      <c r="DU692" s="21"/>
    </row>
    <row r="693" spans="72:125" ht="13.5" customHeight="1">
      <c r="BT693" s="12">
        <v>5101054</v>
      </c>
      <c r="BU693" s="3">
        <f>[1]monsters!$N693</f>
        <v>128</v>
      </c>
      <c r="BV693" s="3">
        <f>[1]monsters!$O693</f>
        <v>12.8</v>
      </c>
      <c r="BW693" s="3">
        <f>[1]monsters!$P693</f>
        <v>1536</v>
      </c>
      <c r="BX693" s="3">
        <f>[1]monsters!$Q693</f>
        <v>153.6</v>
      </c>
      <c r="BY693" s="3">
        <f>[1]monsters!$R693</f>
        <v>42.67</v>
      </c>
      <c r="BZ693" s="3">
        <f>[1]monsters!$S693</f>
        <v>4.2699999999999996</v>
      </c>
      <c r="CA693" s="3">
        <f>[1]monsters!$K693</f>
        <v>1.5</v>
      </c>
      <c r="CB693" s="12">
        <f>[1]monsters!$D693</f>
        <v>2</v>
      </c>
      <c r="CC693" s="12">
        <f t="shared" ca="1" si="58"/>
        <v>0.1</v>
      </c>
      <c r="CD693" s="12">
        <f t="shared" ca="1" si="59"/>
        <v>80.707232323232304</v>
      </c>
      <c r="CE693" s="12">
        <f t="shared" ca="1" si="60"/>
        <v>8.0707232323232301</v>
      </c>
      <c r="CS693" s="33"/>
      <c r="CT693" s="33"/>
      <c r="CU693" s="33"/>
      <c r="CV693" s="32"/>
      <c r="CW693" s="32"/>
      <c r="CX693" s="32"/>
      <c r="CY693" s="34"/>
      <c r="CZ693" s="34"/>
      <c r="DA693" s="34"/>
      <c r="DB693" s="33"/>
      <c r="DC693" s="33"/>
      <c r="DD693" s="33"/>
      <c r="DE693" s="33"/>
      <c r="DF693" s="33"/>
      <c r="DG693" s="33"/>
      <c r="DH693" s="34"/>
      <c r="DI693" s="34"/>
      <c r="DJ693" s="34"/>
      <c r="DK693" s="33"/>
      <c r="DL693" s="33"/>
      <c r="DM693" s="33"/>
      <c r="DN693" s="12">
        <v>5101054</v>
      </c>
      <c r="DS693" s="21"/>
      <c r="DT693" s="21"/>
      <c r="DU693" s="21"/>
    </row>
    <row r="694" spans="72:125" ht="13.5" customHeight="1">
      <c r="BT694" s="12">
        <v>5102054</v>
      </c>
      <c r="BU694" s="3">
        <f>[1]monsters!$N694</f>
        <v>128</v>
      </c>
      <c r="BV694" s="3">
        <f>[1]monsters!$O694</f>
        <v>12.8</v>
      </c>
      <c r="BW694" s="3">
        <f>[1]monsters!$P694</f>
        <v>1536</v>
      </c>
      <c r="BX694" s="3">
        <f>[1]monsters!$Q694</f>
        <v>153.6</v>
      </c>
      <c r="BY694" s="3">
        <f>[1]monsters!$R694</f>
        <v>42.67</v>
      </c>
      <c r="BZ694" s="3">
        <f>[1]monsters!$S694</f>
        <v>4.2699999999999996</v>
      </c>
      <c r="CA694" s="3">
        <f>[1]monsters!$K694</f>
        <v>1.5</v>
      </c>
      <c r="CB694" s="12">
        <f>[1]monsters!$D694</f>
        <v>2</v>
      </c>
      <c r="CC694" s="12">
        <f t="shared" ca="1" si="58"/>
        <v>0.1</v>
      </c>
      <c r="CD694" s="12">
        <f t="shared" ca="1" si="59"/>
        <v>74.659232323232303</v>
      </c>
      <c r="CE694" s="12">
        <f t="shared" ca="1" si="60"/>
        <v>7.4659232323232301</v>
      </c>
      <c r="CS694" s="33"/>
      <c r="CT694" s="33"/>
      <c r="CU694" s="33"/>
      <c r="CV694" s="32"/>
      <c r="CW694" s="32"/>
      <c r="CX694" s="32"/>
      <c r="CY694" s="34"/>
      <c r="CZ694" s="34"/>
      <c r="DA694" s="34"/>
      <c r="DB694" s="33"/>
      <c r="DC694" s="33"/>
      <c r="DD694" s="33"/>
      <c r="DE694" s="33"/>
      <c r="DF694" s="33"/>
      <c r="DG694" s="33"/>
      <c r="DH694" s="34"/>
      <c r="DI694" s="34"/>
      <c r="DJ694" s="34"/>
      <c r="DK694" s="33"/>
      <c r="DL694" s="33"/>
      <c r="DM694" s="33"/>
      <c r="DN694" s="12">
        <v>5102054</v>
      </c>
      <c r="DS694" s="21"/>
      <c r="DT694" s="21"/>
      <c r="DU694" s="21"/>
    </row>
    <row r="695" spans="72:125" ht="13.5" customHeight="1">
      <c r="BT695" s="12">
        <v>5206055</v>
      </c>
      <c r="BU695" s="3">
        <f>[1]monsters!$N695</f>
        <v>128</v>
      </c>
      <c r="BV695" s="3">
        <f>[1]monsters!$O695</f>
        <v>12.8</v>
      </c>
      <c r="BW695" s="3">
        <f>[1]monsters!$P695</f>
        <v>1536</v>
      </c>
      <c r="BX695" s="3">
        <f>[1]monsters!$Q695</f>
        <v>153.6</v>
      </c>
      <c r="BY695" s="3">
        <f>[1]monsters!$R695</f>
        <v>42.67</v>
      </c>
      <c r="BZ695" s="3">
        <f>[1]monsters!$S695</f>
        <v>4.2699999999999996</v>
      </c>
      <c r="CA695" s="3">
        <f>[1]monsters!$K695</f>
        <v>1.5</v>
      </c>
      <c r="CB695" s="12">
        <f>[1]monsters!$D695</f>
        <v>2</v>
      </c>
      <c r="CC695" s="12">
        <f t="shared" ca="1" si="58"/>
        <v>0.1</v>
      </c>
      <c r="CD695" s="12">
        <f t="shared" ca="1" si="59"/>
        <v>81.530440404040405</v>
      </c>
      <c r="CE695" s="12">
        <f t="shared" ca="1" si="60"/>
        <v>8.1530440404040405</v>
      </c>
      <c r="CS695" s="33"/>
      <c r="CT695" s="33"/>
      <c r="CU695" s="33"/>
      <c r="CV695" s="32"/>
      <c r="CW695" s="32"/>
      <c r="CX695" s="32"/>
      <c r="CY695" s="34"/>
      <c r="CZ695" s="34"/>
      <c r="DA695" s="34"/>
      <c r="DB695" s="33"/>
      <c r="DC695" s="33"/>
      <c r="DD695" s="33"/>
      <c r="DE695" s="33"/>
      <c r="DF695" s="33"/>
      <c r="DG695" s="33"/>
      <c r="DH695" s="34"/>
      <c r="DI695" s="34"/>
      <c r="DJ695" s="34"/>
      <c r="DK695" s="33"/>
      <c r="DL695" s="33"/>
      <c r="DM695" s="33"/>
      <c r="DN695" s="12">
        <v>5206055</v>
      </c>
      <c r="DS695" s="21"/>
      <c r="DT695" s="21"/>
      <c r="DU695" s="21"/>
    </row>
    <row r="696" spans="72:125" ht="13.5" customHeight="1">
      <c r="BT696" s="12">
        <v>5406055</v>
      </c>
      <c r="BU696" s="3">
        <f>[1]monsters!$N696</f>
        <v>128</v>
      </c>
      <c r="BV696" s="3">
        <f>[1]monsters!$O696</f>
        <v>12.8</v>
      </c>
      <c r="BW696" s="3">
        <f>[1]monsters!$P696</f>
        <v>1536</v>
      </c>
      <c r="BX696" s="3">
        <f>[1]monsters!$Q696</f>
        <v>153.6</v>
      </c>
      <c r="BY696" s="3">
        <f>[1]monsters!$R696</f>
        <v>42.67</v>
      </c>
      <c r="BZ696" s="3">
        <f>[1]monsters!$S696</f>
        <v>4.2699999999999996</v>
      </c>
      <c r="CA696" s="3">
        <f>[1]monsters!$K696</f>
        <v>1.5</v>
      </c>
      <c r="CB696" s="12">
        <f>[1]monsters!$D696</f>
        <v>2</v>
      </c>
      <c r="CC696" s="12">
        <f t="shared" ca="1" si="58"/>
        <v>0.1</v>
      </c>
      <c r="CD696" s="12">
        <f t="shared" ca="1" si="59"/>
        <v>75.954356657483899</v>
      </c>
      <c r="CE696" s="12">
        <f t="shared" ca="1" si="60"/>
        <v>7.5954356657483899</v>
      </c>
      <c r="CS696" s="33"/>
      <c r="CT696" s="33"/>
      <c r="CU696" s="33"/>
      <c r="CV696" s="32"/>
      <c r="CW696" s="32"/>
      <c r="CX696" s="32"/>
      <c r="CY696" s="34"/>
      <c r="CZ696" s="34"/>
      <c r="DA696" s="34"/>
      <c r="DB696" s="33"/>
      <c r="DC696" s="33"/>
      <c r="DD696" s="33"/>
      <c r="DE696" s="33"/>
      <c r="DF696" s="33"/>
      <c r="DG696" s="33"/>
      <c r="DH696" s="34"/>
      <c r="DI696" s="34"/>
      <c r="DJ696" s="34"/>
      <c r="DK696" s="33"/>
      <c r="DL696" s="33"/>
      <c r="DM696" s="33"/>
      <c r="DN696" s="12">
        <v>5406055</v>
      </c>
      <c r="DS696" s="21"/>
      <c r="DT696" s="21"/>
      <c r="DU696" s="21"/>
    </row>
    <row r="697" spans="72:125" ht="13.5" customHeight="1">
      <c r="BT697" s="12">
        <v>5205055</v>
      </c>
      <c r="BU697" s="3">
        <f>[1]monsters!$N697</f>
        <v>144</v>
      </c>
      <c r="BV697" s="3">
        <f>[1]monsters!$O697</f>
        <v>14.4</v>
      </c>
      <c r="BW697" s="3">
        <f>[1]monsters!$P697</f>
        <v>1728</v>
      </c>
      <c r="BX697" s="3">
        <f>[1]monsters!$Q697</f>
        <v>172.8</v>
      </c>
      <c r="BY697" s="3">
        <f>[1]monsters!$R697</f>
        <v>48</v>
      </c>
      <c r="BZ697" s="3">
        <f>[1]monsters!$S697</f>
        <v>4.8</v>
      </c>
      <c r="CA697" s="3">
        <f>[1]monsters!$K697</f>
        <v>1.5</v>
      </c>
      <c r="CB697" s="12">
        <f>[1]monsters!$D697</f>
        <v>2</v>
      </c>
      <c r="CC697" s="12">
        <f t="shared" ca="1" si="58"/>
        <v>0.1</v>
      </c>
      <c r="CD697" s="12">
        <f t="shared" ca="1" si="59"/>
        <v>88.788040404040402</v>
      </c>
      <c r="CE697" s="12">
        <f t="shared" ca="1" si="60"/>
        <v>8.8788040404040398</v>
      </c>
      <c r="CS697" s="33"/>
      <c r="CT697" s="33"/>
      <c r="CU697" s="33"/>
      <c r="CV697" s="32"/>
      <c r="CW697" s="32"/>
      <c r="CX697" s="32"/>
      <c r="CY697" s="34"/>
      <c r="CZ697" s="34"/>
      <c r="DA697" s="34"/>
      <c r="DB697" s="33"/>
      <c r="DC697" s="33"/>
      <c r="DD697" s="33"/>
      <c r="DE697" s="33"/>
      <c r="DF697" s="33"/>
      <c r="DG697" s="33"/>
      <c r="DH697" s="34"/>
      <c r="DI697" s="34"/>
      <c r="DJ697" s="34"/>
      <c r="DK697" s="33"/>
      <c r="DL697" s="33"/>
      <c r="DM697" s="33"/>
      <c r="DN697" s="12">
        <v>5205055</v>
      </c>
      <c r="DS697" s="21"/>
      <c r="DT697" s="21"/>
      <c r="DU697" s="21"/>
    </row>
    <row r="698" spans="72:125" ht="13.5" customHeight="1">
      <c r="BT698" s="12">
        <v>5405055</v>
      </c>
      <c r="BU698" s="3">
        <f>[1]monsters!$N698</f>
        <v>144</v>
      </c>
      <c r="BV698" s="3">
        <f>[1]monsters!$O698</f>
        <v>14.4</v>
      </c>
      <c r="BW698" s="3">
        <f>[1]monsters!$P698</f>
        <v>1728</v>
      </c>
      <c r="BX698" s="3">
        <f>[1]monsters!$Q698</f>
        <v>172.8</v>
      </c>
      <c r="BY698" s="3">
        <f>[1]monsters!$R698</f>
        <v>48</v>
      </c>
      <c r="BZ698" s="3">
        <f>[1]monsters!$S698</f>
        <v>4.8</v>
      </c>
      <c r="CA698" s="3">
        <f>[1]monsters!$K698</f>
        <v>1.5</v>
      </c>
      <c r="CB698" s="12">
        <f>[1]monsters!$D698</f>
        <v>2</v>
      </c>
      <c r="CC698" s="12">
        <f t="shared" ca="1" si="58"/>
        <v>0.1</v>
      </c>
      <c r="CD698" s="12">
        <f t="shared" ca="1" si="59"/>
        <v>79.280756657483906</v>
      </c>
      <c r="CE698" s="12">
        <f t="shared" ca="1" si="60"/>
        <v>7.9280756657483904</v>
      </c>
      <c r="CS698" s="33"/>
      <c r="CT698" s="33"/>
      <c r="CU698" s="33"/>
      <c r="CV698" s="32"/>
      <c r="CW698" s="32"/>
      <c r="CX698" s="32"/>
      <c r="CY698" s="34"/>
      <c r="CZ698" s="34"/>
      <c r="DA698" s="34"/>
      <c r="DB698" s="33"/>
      <c r="DC698" s="33"/>
      <c r="DD698" s="33"/>
      <c r="DE698" s="33"/>
      <c r="DF698" s="33"/>
      <c r="DG698" s="33"/>
      <c r="DH698" s="34"/>
      <c r="DI698" s="34"/>
      <c r="DJ698" s="34"/>
      <c r="DK698" s="33"/>
      <c r="DL698" s="33"/>
      <c r="DM698" s="33"/>
      <c r="DN698" s="12">
        <v>5405055</v>
      </c>
      <c r="DS698" s="21"/>
      <c r="DT698" s="21"/>
      <c r="DU698" s="21"/>
    </row>
    <row r="699" spans="72:125" ht="13.5" customHeight="1">
      <c r="BT699" s="12">
        <v>5203055</v>
      </c>
      <c r="BU699" s="3">
        <f>[1]monsters!$N699</f>
        <v>144</v>
      </c>
      <c r="BV699" s="3">
        <f>[1]monsters!$O699</f>
        <v>14.4</v>
      </c>
      <c r="BW699" s="3">
        <f>[1]monsters!$P699</f>
        <v>1728</v>
      </c>
      <c r="BX699" s="3">
        <f>[1]monsters!$Q699</f>
        <v>172.8</v>
      </c>
      <c r="BY699" s="3">
        <f>[1]monsters!$R699</f>
        <v>48</v>
      </c>
      <c r="BZ699" s="3">
        <f>[1]monsters!$S699</f>
        <v>4.8</v>
      </c>
      <c r="CA699" s="3">
        <f>[1]monsters!$K699</f>
        <v>1.5</v>
      </c>
      <c r="CB699" s="12">
        <f>[1]monsters!$D699</f>
        <v>2</v>
      </c>
      <c r="CC699" s="12">
        <f t="shared" ca="1" si="58"/>
        <v>0.1</v>
      </c>
      <c r="CD699" s="12">
        <f t="shared" ca="1" si="59"/>
        <v>71.853640404040405</v>
      </c>
      <c r="CE699" s="12">
        <f t="shared" ca="1" si="60"/>
        <v>7.18536404040404</v>
      </c>
      <c r="CS699" s="33"/>
      <c r="CT699" s="33"/>
      <c r="CU699" s="33"/>
      <c r="CV699" s="32"/>
      <c r="CW699" s="32"/>
      <c r="CX699" s="32"/>
      <c r="CY699" s="34"/>
      <c r="CZ699" s="34"/>
      <c r="DA699" s="34"/>
      <c r="DB699" s="33"/>
      <c r="DC699" s="33"/>
      <c r="DD699" s="33"/>
      <c r="DE699" s="33"/>
      <c r="DF699" s="33"/>
      <c r="DG699" s="33"/>
      <c r="DH699" s="34"/>
      <c r="DI699" s="34"/>
      <c r="DJ699" s="34"/>
      <c r="DK699" s="33"/>
      <c r="DL699" s="33"/>
      <c r="DM699" s="33"/>
      <c r="DN699" s="12">
        <v>5203055</v>
      </c>
      <c r="DS699" s="21"/>
      <c r="DT699" s="21"/>
      <c r="DU699" s="21"/>
    </row>
    <row r="700" spans="72:125" ht="13.5" customHeight="1">
      <c r="BT700" s="12">
        <v>5403055</v>
      </c>
      <c r="BU700" s="3">
        <f>[1]monsters!$N700</f>
        <v>144</v>
      </c>
      <c r="BV700" s="3">
        <f>[1]monsters!$O700</f>
        <v>14.4</v>
      </c>
      <c r="BW700" s="3">
        <f>[1]monsters!$P700</f>
        <v>1728</v>
      </c>
      <c r="BX700" s="3">
        <f>[1]monsters!$Q700</f>
        <v>172.8</v>
      </c>
      <c r="BY700" s="3">
        <f>[1]monsters!$R700</f>
        <v>48</v>
      </c>
      <c r="BZ700" s="3">
        <f>[1]monsters!$S700</f>
        <v>4.8</v>
      </c>
      <c r="CA700" s="3">
        <f>[1]monsters!$K700</f>
        <v>1.5</v>
      </c>
      <c r="CB700" s="12">
        <f>[1]monsters!$D700</f>
        <v>2</v>
      </c>
      <c r="CC700" s="12">
        <f t="shared" ca="1" si="58"/>
        <v>0.1</v>
      </c>
      <c r="CD700" s="12">
        <f t="shared" ca="1" si="59"/>
        <v>65.975156657483893</v>
      </c>
      <c r="CE700" s="12">
        <f t="shared" ca="1" si="60"/>
        <v>6.5975156657483902</v>
      </c>
      <c r="CS700" s="33"/>
      <c r="CT700" s="33"/>
      <c r="CU700" s="33"/>
      <c r="CV700" s="32"/>
      <c r="CW700" s="32"/>
      <c r="CX700" s="32"/>
      <c r="CY700" s="34"/>
      <c r="CZ700" s="34"/>
      <c r="DA700" s="34"/>
      <c r="DB700" s="33"/>
      <c r="DC700" s="33"/>
      <c r="DD700" s="33"/>
      <c r="DE700" s="33"/>
      <c r="DF700" s="33"/>
      <c r="DG700" s="33"/>
      <c r="DH700" s="34"/>
      <c r="DI700" s="34"/>
      <c r="DJ700" s="34"/>
      <c r="DK700" s="33"/>
      <c r="DL700" s="33"/>
      <c r="DM700" s="33"/>
      <c r="DN700" s="12">
        <v>5403055</v>
      </c>
      <c r="DS700" s="21"/>
      <c r="DT700" s="21"/>
      <c r="DU700" s="21"/>
    </row>
    <row r="701" spans="72:125" ht="13.5" customHeight="1">
      <c r="BT701" s="12">
        <v>5204055</v>
      </c>
      <c r="BU701" s="3">
        <f>[1]monsters!$N701</f>
        <v>144</v>
      </c>
      <c r="BV701" s="3">
        <f>[1]monsters!$O701</f>
        <v>14.4</v>
      </c>
      <c r="BW701" s="3">
        <f>[1]monsters!$P701</f>
        <v>1728</v>
      </c>
      <c r="BX701" s="3">
        <f>[1]monsters!$Q701</f>
        <v>172.8</v>
      </c>
      <c r="BY701" s="3">
        <f>[1]monsters!$R701</f>
        <v>48</v>
      </c>
      <c r="BZ701" s="3">
        <f>[1]monsters!$S701</f>
        <v>4.8</v>
      </c>
      <c r="CA701" s="3">
        <f>[1]monsters!$K701</f>
        <v>1.5</v>
      </c>
      <c r="CB701" s="12">
        <f>[1]monsters!$D701</f>
        <v>2</v>
      </c>
      <c r="CC701" s="12">
        <f t="shared" ca="1" si="58"/>
        <v>0.1</v>
      </c>
      <c r="CD701" s="12">
        <f t="shared" ca="1" si="59"/>
        <v>74.272840404040394</v>
      </c>
      <c r="CE701" s="12">
        <f t="shared" ca="1" si="60"/>
        <v>7.4272840404040403</v>
      </c>
      <c r="CS701" s="33"/>
      <c r="CT701" s="33"/>
      <c r="CU701" s="33"/>
      <c r="CV701" s="32"/>
      <c r="CW701" s="32"/>
      <c r="CX701" s="32"/>
      <c r="CY701" s="34"/>
      <c r="CZ701" s="34"/>
      <c r="DA701" s="34"/>
      <c r="DB701" s="33"/>
      <c r="DC701" s="33"/>
      <c r="DD701" s="33"/>
      <c r="DE701" s="33"/>
      <c r="DF701" s="33"/>
      <c r="DG701" s="33"/>
      <c r="DH701" s="34"/>
      <c r="DI701" s="34"/>
      <c r="DJ701" s="34"/>
      <c r="DK701" s="33"/>
      <c r="DL701" s="33"/>
      <c r="DM701" s="33"/>
      <c r="DN701" s="12">
        <v>5204055</v>
      </c>
      <c r="DS701" s="21"/>
      <c r="DT701" s="21"/>
      <c r="DU701" s="21"/>
    </row>
    <row r="702" spans="72:125" ht="13.5" customHeight="1">
      <c r="BT702" s="12">
        <v>5404055</v>
      </c>
      <c r="BU702" s="3">
        <f>[1]monsters!$N702</f>
        <v>160</v>
      </c>
      <c r="BV702" s="3">
        <f>[1]monsters!$O702</f>
        <v>16</v>
      </c>
      <c r="BW702" s="3">
        <f>[1]monsters!$P702</f>
        <v>1920</v>
      </c>
      <c r="BX702" s="3">
        <f>[1]monsters!$Q702</f>
        <v>192</v>
      </c>
      <c r="BY702" s="3">
        <f>[1]monsters!$R702</f>
        <v>53.33</v>
      </c>
      <c r="BZ702" s="3">
        <f>[1]monsters!$S702</f>
        <v>5.33</v>
      </c>
      <c r="CA702" s="3">
        <f>[1]monsters!$K702</f>
        <v>1.5</v>
      </c>
      <c r="CB702" s="12">
        <f>[1]monsters!$D702</f>
        <v>2</v>
      </c>
      <c r="CC702" s="12">
        <f t="shared" ca="1" si="58"/>
        <v>0.1</v>
      </c>
      <c r="CD702" s="12">
        <f t="shared" ca="1" si="59"/>
        <v>79.280756657483906</v>
      </c>
      <c r="CE702" s="12">
        <f t="shared" ca="1" si="60"/>
        <v>7.9280756657483904</v>
      </c>
      <c r="CS702" s="33"/>
      <c r="CT702" s="33"/>
      <c r="CU702" s="33"/>
      <c r="CV702" s="32"/>
      <c r="CW702" s="32"/>
      <c r="CX702" s="32"/>
      <c r="CY702" s="34"/>
      <c r="CZ702" s="34"/>
      <c r="DA702" s="34"/>
      <c r="DB702" s="33"/>
      <c r="DC702" s="33"/>
      <c r="DD702" s="33"/>
      <c r="DE702" s="33"/>
      <c r="DF702" s="33"/>
      <c r="DG702" s="33"/>
      <c r="DH702" s="34"/>
      <c r="DI702" s="34"/>
      <c r="DJ702" s="34"/>
      <c r="DK702" s="33"/>
      <c r="DL702" s="33"/>
      <c r="DM702" s="33"/>
      <c r="DN702" s="12">
        <v>5404055</v>
      </c>
      <c r="DS702" s="21"/>
      <c r="DT702" s="21"/>
      <c r="DU702" s="21"/>
    </row>
    <row r="703" spans="72:125" ht="13.5" customHeight="1">
      <c r="BT703" s="12">
        <v>5303055</v>
      </c>
      <c r="BU703" s="3">
        <f>[1]monsters!$N703</f>
        <v>160</v>
      </c>
      <c r="BV703" s="3">
        <f>[1]monsters!$O703</f>
        <v>16</v>
      </c>
      <c r="BW703" s="3">
        <f>[1]monsters!$P703</f>
        <v>1920</v>
      </c>
      <c r="BX703" s="3">
        <f>[1]monsters!$Q703</f>
        <v>192</v>
      </c>
      <c r="BY703" s="3">
        <f>[1]monsters!$R703</f>
        <v>53.33</v>
      </c>
      <c r="BZ703" s="3">
        <f>[1]monsters!$S703</f>
        <v>5.33</v>
      </c>
      <c r="CA703" s="3">
        <f>[1]monsters!$K703</f>
        <v>1.5</v>
      </c>
      <c r="CB703" s="12">
        <f>[1]monsters!$D703</f>
        <v>2</v>
      </c>
      <c r="CC703" s="12">
        <f t="shared" ca="1" si="58"/>
        <v>0.1</v>
      </c>
      <c r="CD703" s="12">
        <f t="shared" ca="1" si="59"/>
        <v>71.295502581369405</v>
      </c>
      <c r="CE703" s="12">
        <f t="shared" ca="1" si="60"/>
        <v>7.1295502581369403</v>
      </c>
      <c r="CS703" s="33"/>
      <c r="CT703" s="33"/>
      <c r="CU703" s="33"/>
      <c r="CV703" s="32"/>
      <c r="CW703" s="32"/>
      <c r="CX703" s="32"/>
      <c r="CY703" s="34"/>
      <c r="CZ703" s="34"/>
      <c r="DA703" s="34"/>
      <c r="DB703" s="33"/>
      <c r="DC703" s="33"/>
      <c r="DD703" s="33"/>
      <c r="DE703" s="33"/>
      <c r="DF703" s="33"/>
      <c r="DG703" s="33"/>
      <c r="DH703" s="34"/>
      <c r="DI703" s="34"/>
      <c r="DJ703" s="34"/>
      <c r="DK703" s="33"/>
      <c r="DL703" s="33"/>
      <c r="DM703" s="33"/>
      <c r="DN703" s="12">
        <v>5303055</v>
      </c>
      <c r="DS703" s="21"/>
      <c r="DT703" s="21"/>
      <c r="DU703" s="21"/>
    </row>
    <row r="704" spans="72:125" ht="13.5" customHeight="1">
      <c r="BT704" s="12">
        <v>5304055</v>
      </c>
      <c r="BU704" s="3">
        <f>[1]monsters!$N704</f>
        <v>160</v>
      </c>
      <c r="BV704" s="3">
        <f>[1]monsters!$O704</f>
        <v>16</v>
      </c>
      <c r="BW704" s="3">
        <f>[1]monsters!$P704</f>
        <v>1920</v>
      </c>
      <c r="BX704" s="3">
        <f>[1]monsters!$Q704</f>
        <v>192</v>
      </c>
      <c r="BY704" s="3">
        <f>[1]monsters!$R704</f>
        <v>53.33</v>
      </c>
      <c r="BZ704" s="3">
        <f>[1]monsters!$S704</f>
        <v>5.33</v>
      </c>
      <c r="CA704" s="3">
        <f>[1]monsters!$K704</f>
        <v>1.5</v>
      </c>
      <c r="CB704" s="12">
        <f>[1]monsters!$D704</f>
        <v>2</v>
      </c>
      <c r="CC704" s="12">
        <f t="shared" ca="1" si="58"/>
        <v>0.1</v>
      </c>
      <c r="CD704" s="12">
        <f t="shared" ca="1" si="59"/>
        <v>74.0171025813694</v>
      </c>
      <c r="CE704" s="12">
        <f t="shared" ca="1" si="60"/>
        <v>7.4017102581369398</v>
      </c>
      <c r="CS704" s="33"/>
      <c r="CT704" s="33"/>
      <c r="CU704" s="33"/>
      <c r="CV704" s="32"/>
      <c r="CW704" s="32"/>
      <c r="CX704" s="32"/>
      <c r="CY704" s="34"/>
      <c r="CZ704" s="34"/>
      <c r="DA704" s="34"/>
      <c r="DB704" s="33"/>
      <c r="DC704" s="33"/>
      <c r="DD704" s="33"/>
      <c r="DE704" s="33"/>
      <c r="DF704" s="33"/>
      <c r="DG704" s="33"/>
      <c r="DH704" s="34"/>
      <c r="DI704" s="34"/>
      <c r="DJ704" s="34"/>
      <c r="DK704" s="33"/>
      <c r="DL704" s="33"/>
      <c r="DM704" s="33"/>
      <c r="DN704" s="12">
        <v>5304055</v>
      </c>
      <c r="DS704" s="21"/>
      <c r="DT704" s="21"/>
      <c r="DU704" s="21"/>
    </row>
    <row r="705" spans="72:125" ht="13.5" customHeight="1">
      <c r="BT705" s="12">
        <v>5503055</v>
      </c>
      <c r="BU705" s="3">
        <f>[1]monsters!$N705</f>
        <v>160</v>
      </c>
      <c r="BV705" s="3">
        <f>[1]monsters!$O705</f>
        <v>16</v>
      </c>
      <c r="BW705" s="3">
        <f>[1]monsters!$P705</f>
        <v>1920</v>
      </c>
      <c r="BX705" s="3">
        <f>[1]monsters!$Q705</f>
        <v>192</v>
      </c>
      <c r="BY705" s="3">
        <f>[1]monsters!$R705</f>
        <v>53.33</v>
      </c>
      <c r="BZ705" s="3">
        <f>[1]monsters!$S705</f>
        <v>5.33</v>
      </c>
      <c r="CA705" s="3">
        <f>[1]monsters!$K705</f>
        <v>1.5</v>
      </c>
      <c r="CB705" s="12">
        <f>[1]monsters!$D705</f>
        <v>2</v>
      </c>
      <c r="CC705" s="12">
        <f t="shared" ca="1" si="58"/>
        <v>0.1</v>
      </c>
      <c r="CD705" s="12">
        <f t="shared" ca="1" si="59"/>
        <v>84.996826936026906</v>
      </c>
      <c r="CE705" s="12">
        <f t="shared" ca="1" si="60"/>
        <v>8.4996826936026899</v>
      </c>
      <c r="CS705" s="33"/>
      <c r="CT705" s="33"/>
      <c r="CU705" s="33"/>
      <c r="CV705" s="32"/>
      <c r="CW705" s="32"/>
      <c r="CX705" s="32"/>
      <c r="CY705" s="34"/>
      <c r="CZ705" s="34"/>
      <c r="DA705" s="34"/>
      <c r="DB705" s="33"/>
      <c r="DC705" s="33"/>
      <c r="DD705" s="33"/>
      <c r="DE705" s="33"/>
      <c r="DF705" s="33"/>
      <c r="DG705" s="33"/>
      <c r="DH705" s="34"/>
      <c r="DI705" s="34"/>
      <c r="DJ705" s="34"/>
      <c r="DK705" s="33"/>
      <c r="DL705" s="33"/>
      <c r="DM705" s="33"/>
      <c r="DN705" s="12">
        <v>5503055</v>
      </c>
      <c r="DS705" s="21"/>
      <c r="DT705" s="21"/>
      <c r="DU705" s="21"/>
    </row>
    <row r="706" spans="72:125" ht="13.5" customHeight="1">
      <c r="BT706" s="12">
        <v>5504055</v>
      </c>
      <c r="BU706" s="3">
        <f>[1]monsters!$N706</f>
        <v>160</v>
      </c>
      <c r="BV706" s="3">
        <f>[1]monsters!$O706</f>
        <v>16</v>
      </c>
      <c r="BW706" s="3">
        <f>[1]monsters!$P706</f>
        <v>1920</v>
      </c>
      <c r="BX706" s="3">
        <f>[1]monsters!$Q706</f>
        <v>192</v>
      </c>
      <c r="BY706" s="3">
        <f>[1]monsters!$R706</f>
        <v>53.33</v>
      </c>
      <c r="BZ706" s="3">
        <f>[1]monsters!$S706</f>
        <v>5.33</v>
      </c>
      <c r="CA706" s="3">
        <f>[1]monsters!$K706</f>
        <v>1.5</v>
      </c>
      <c r="CB706" s="12">
        <f>[1]monsters!$D706</f>
        <v>2</v>
      </c>
      <c r="CC706" s="12">
        <f t="shared" ca="1" si="58"/>
        <v>0.1</v>
      </c>
      <c r="CD706" s="12">
        <f t="shared" ca="1" si="59"/>
        <v>92.254426936026903</v>
      </c>
      <c r="CE706" s="12">
        <f t="shared" ca="1" si="60"/>
        <v>9.2254426936026892</v>
      </c>
      <c r="CS706" s="33"/>
      <c r="CT706" s="33"/>
      <c r="CU706" s="33"/>
      <c r="CV706" s="32"/>
      <c r="CW706" s="32"/>
      <c r="CX706" s="32"/>
      <c r="CY706" s="34"/>
      <c r="CZ706" s="34"/>
      <c r="DA706" s="34"/>
      <c r="DB706" s="33"/>
      <c r="DC706" s="33"/>
      <c r="DD706" s="33"/>
      <c r="DE706" s="33"/>
      <c r="DF706" s="33"/>
      <c r="DG706" s="33"/>
      <c r="DH706" s="34"/>
      <c r="DI706" s="34"/>
      <c r="DJ706" s="34"/>
      <c r="DK706" s="33"/>
      <c r="DL706" s="33"/>
      <c r="DM706" s="33"/>
      <c r="DN706" s="12">
        <v>5504055</v>
      </c>
      <c r="DS706" s="21"/>
      <c r="DT706" s="21"/>
      <c r="DU706" s="21"/>
    </row>
    <row r="707" spans="72:125" ht="13.5" customHeight="1">
      <c r="BT707" s="12">
        <v>5101055</v>
      </c>
      <c r="BU707" s="3">
        <f>[1]monsters!$N707</f>
        <v>176</v>
      </c>
      <c r="BV707" s="3">
        <f>[1]monsters!$O707</f>
        <v>17.600000000000001</v>
      </c>
      <c r="BW707" s="3">
        <f>[1]monsters!$P707</f>
        <v>2112</v>
      </c>
      <c r="BX707" s="3">
        <f>[1]monsters!$Q707</f>
        <v>211.2</v>
      </c>
      <c r="BY707" s="3">
        <f>[1]monsters!$R707</f>
        <v>58.67</v>
      </c>
      <c r="BZ707" s="3">
        <f>[1]monsters!$S707</f>
        <v>5.87</v>
      </c>
      <c r="CA707" s="3">
        <f>[1]monsters!$K707</f>
        <v>1.5</v>
      </c>
      <c r="CB707" s="12">
        <f>[1]monsters!$D707</f>
        <v>2</v>
      </c>
      <c r="CC707" s="12">
        <f t="shared" ca="1" si="58"/>
        <v>0.1</v>
      </c>
      <c r="CD707" s="12">
        <f t="shared" ca="1" si="59"/>
        <v>80.707232323232304</v>
      </c>
      <c r="CE707" s="12">
        <f t="shared" ca="1" si="60"/>
        <v>8.0707232323232301</v>
      </c>
      <c r="CS707" s="33"/>
      <c r="CT707" s="33"/>
      <c r="CU707" s="33"/>
      <c r="CV707" s="32"/>
      <c r="CW707" s="32"/>
      <c r="CX707" s="32"/>
      <c r="CY707" s="34"/>
      <c r="CZ707" s="34"/>
      <c r="DA707" s="34"/>
      <c r="DB707" s="33"/>
      <c r="DC707" s="33"/>
      <c r="DD707" s="33"/>
      <c r="DE707" s="33"/>
      <c r="DF707" s="33"/>
      <c r="DG707" s="33"/>
      <c r="DH707" s="34"/>
      <c r="DI707" s="34"/>
      <c r="DJ707" s="34"/>
      <c r="DK707" s="33"/>
      <c r="DL707" s="33"/>
      <c r="DM707" s="33"/>
      <c r="DN707" s="12">
        <v>5101055</v>
      </c>
      <c r="DS707" s="21"/>
      <c r="DT707" s="21"/>
      <c r="DU707" s="21"/>
    </row>
    <row r="708" spans="72:125" ht="13.5" customHeight="1">
      <c r="BT708" s="12">
        <v>5102055</v>
      </c>
      <c r="BU708" s="3">
        <f>[1]monsters!$N708</f>
        <v>176</v>
      </c>
      <c r="BV708" s="3">
        <f>[1]monsters!$O708</f>
        <v>17.600000000000001</v>
      </c>
      <c r="BW708" s="3">
        <f>[1]monsters!$P708</f>
        <v>2112</v>
      </c>
      <c r="BX708" s="3">
        <f>[1]monsters!$Q708</f>
        <v>211.2</v>
      </c>
      <c r="BY708" s="3">
        <f>[1]monsters!$R708</f>
        <v>58.67</v>
      </c>
      <c r="BZ708" s="3">
        <f>[1]monsters!$S708</f>
        <v>5.87</v>
      </c>
      <c r="CA708" s="3">
        <f>[1]monsters!$K708</f>
        <v>1.5</v>
      </c>
      <c r="CB708" s="12">
        <f>[1]monsters!$D708</f>
        <v>2</v>
      </c>
      <c r="CC708" s="12">
        <f t="shared" ref="CC708:CC771" ca="1" si="61">INDEX($CK$5:$CK$10,MATCH($CC708,$CJ$5:$CJ$10))</f>
        <v>0.1</v>
      </c>
      <c r="CD708" s="12">
        <f t="shared" ca="1" si="59"/>
        <v>74.659232323232303</v>
      </c>
      <c r="CE708" s="12">
        <f t="shared" ca="1" si="60"/>
        <v>7.4659232323232301</v>
      </c>
      <c r="CS708" s="33"/>
      <c r="CT708" s="33"/>
      <c r="CU708" s="33"/>
      <c r="CV708" s="32"/>
      <c r="CW708" s="32"/>
      <c r="CX708" s="32"/>
      <c r="CY708" s="34"/>
      <c r="CZ708" s="34"/>
      <c r="DA708" s="34"/>
      <c r="DB708" s="33"/>
      <c r="DC708" s="33"/>
      <c r="DD708" s="33"/>
      <c r="DE708" s="33"/>
      <c r="DF708" s="33"/>
      <c r="DG708" s="33"/>
      <c r="DH708" s="34"/>
      <c r="DI708" s="34"/>
      <c r="DJ708" s="34"/>
      <c r="DK708" s="33"/>
      <c r="DL708" s="33"/>
      <c r="DM708" s="33"/>
      <c r="DN708" s="12">
        <v>5102055</v>
      </c>
      <c r="DS708" s="21"/>
      <c r="DT708" s="21"/>
      <c r="DU708" s="21"/>
    </row>
    <row r="709" spans="72:125" ht="13.5" customHeight="1">
      <c r="BT709" s="12">
        <v>5206061</v>
      </c>
      <c r="BU709" s="3">
        <f>[1]monsters!$N709</f>
        <v>176</v>
      </c>
      <c r="BV709" s="3">
        <f>[1]monsters!$O709</f>
        <v>17.600000000000001</v>
      </c>
      <c r="BW709" s="3">
        <f>[1]monsters!$P709</f>
        <v>2112</v>
      </c>
      <c r="BX709" s="3">
        <f>[1]monsters!$Q709</f>
        <v>211.2</v>
      </c>
      <c r="BY709" s="3">
        <f>[1]monsters!$R709</f>
        <v>58.67</v>
      </c>
      <c r="BZ709" s="3">
        <f>[1]monsters!$S709</f>
        <v>5.87</v>
      </c>
      <c r="CA709" s="3">
        <f>[1]monsters!$K709</f>
        <v>1.5</v>
      </c>
      <c r="CB709" s="12">
        <f>[1]monsters!$D709</f>
        <v>2</v>
      </c>
      <c r="CC709" s="12">
        <f t="shared" ca="1" si="61"/>
        <v>0.1</v>
      </c>
      <c r="CD709" s="12">
        <f t="shared" ref="CD709:CD772" ca="1" si="62">(BW709/33/(1-CC709)/(1-0)+BU709*(1+0.5*0.1)*0.9)</f>
        <v>101.913050505051</v>
      </c>
      <c r="CE709" s="12">
        <f t="shared" ref="CE709:CE772" ca="1" si="63">(BW709/33/(1-CC709)/(1-0)+BU709*(1+0.5*0.1)*0.9)*0.1</f>
        <v>10.1913050505051</v>
      </c>
      <c r="CS709" s="33"/>
      <c r="CT709" s="33"/>
      <c r="CU709" s="33"/>
      <c r="CV709" s="32"/>
      <c r="CW709" s="32"/>
      <c r="CX709" s="32"/>
      <c r="CY709" s="34"/>
      <c r="CZ709" s="34"/>
      <c r="DA709" s="34"/>
      <c r="DB709" s="33"/>
      <c r="DC709" s="33"/>
      <c r="DD709" s="33"/>
      <c r="DE709" s="33"/>
      <c r="DF709" s="33"/>
      <c r="DG709" s="33"/>
      <c r="DH709" s="34"/>
      <c r="DI709" s="34"/>
      <c r="DJ709" s="34"/>
      <c r="DK709" s="33"/>
      <c r="DL709" s="33"/>
      <c r="DM709" s="33"/>
      <c r="DN709" s="12">
        <v>5206061</v>
      </c>
      <c r="DS709" s="21"/>
      <c r="DT709" s="21"/>
      <c r="DU709" s="21"/>
    </row>
    <row r="710" spans="72:125" ht="13.5" customHeight="1">
      <c r="BT710" s="12">
        <v>5406061</v>
      </c>
      <c r="BU710" s="3">
        <f>[1]monsters!$N710</f>
        <v>176</v>
      </c>
      <c r="BV710" s="3">
        <f>[1]monsters!$O710</f>
        <v>17.600000000000001</v>
      </c>
      <c r="BW710" s="3">
        <f>[1]monsters!$P710</f>
        <v>2112</v>
      </c>
      <c r="BX710" s="3">
        <f>[1]monsters!$Q710</f>
        <v>211.2</v>
      </c>
      <c r="BY710" s="3">
        <f>[1]monsters!$R710</f>
        <v>58.67</v>
      </c>
      <c r="BZ710" s="3">
        <f>[1]monsters!$S710</f>
        <v>5.87</v>
      </c>
      <c r="CA710" s="3">
        <f>[1]monsters!$K710</f>
        <v>1.5</v>
      </c>
      <c r="CB710" s="12">
        <f>[1]monsters!$D710</f>
        <v>2</v>
      </c>
      <c r="CC710" s="12">
        <f t="shared" ca="1" si="61"/>
        <v>0.1</v>
      </c>
      <c r="CD710" s="12">
        <f t="shared" ca="1" si="62"/>
        <v>94.942945821854906</v>
      </c>
      <c r="CE710" s="12">
        <f t="shared" ca="1" si="63"/>
        <v>9.4942945821854892</v>
      </c>
      <c r="CS710" s="33"/>
      <c r="CT710" s="33"/>
      <c r="CU710" s="33"/>
      <c r="CV710" s="32"/>
      <c r="CW710" s="32"/>
      <c r="CX710" s="32"/>
      <c r="CY710" s="34"/>
      <c r="CZ710" s="34"/>
      <c r="DA710" s="34"/>
      <c r="DB710" s="33"/>
      <c r="DC710" s="33"/>
      <c r="DD710" s="33"/>
      <c r="DE710" s="33"/>
      <c r="DF710" s="33"/>
      <c r="DG710" s="33"/>
      <c r="DH710" s="34"/>
      <c r="DI710" s="34"/>
      <c r="DJ710" s="34"/>
      <c r="DK710" s="33"/>
      <c r="DL710" s="33"/>
      <c r="DM710" s="33"/>
      <c r="DN710" s="12">
        <v>5406061</v>
      </c>
      <c r="DS710" s="21"/>
      <c r="DT710" s="21"/>
      <c r="DU710" s="21"/>
    </row>
    <row r="711" spans="72:125" ht="13.5" customHeight="1">
      <c r="BT711" s="12">
        <v>5205061</v>
      </c>
      <c r="BU711" s="3">
        <f>[1]monsters!$N711</f>
        <v>176</v>
      </c>
      <c r="BV711" s="3">
        <f>[1]monsters!$O711</f>
        <v>17.600000000000001</v>
      </c>
      <c r="BW711" s="3">
        <f>[1]monsters!$P711</f>
        <v>2112</v>
      </c>
      <c r="BX711" s="3">
        <f>[1]monsters!$Q711</f>
        <v>211.2</v>
      </c>
      <c r="BY711" s="3">
        <f>[1]monsters!$R711</f>
        <v>58.67</v>
      </c>
      <c r="BZ711" s="3">
        <f>[1]monsters!$S711</f>
        <v>5.87</v>
      </c>
      <c r="CA711" s="3">
        <f>[1]monsters!$K711</f>
        <v>1.5</v>
      </c>
      <c r="CB711" s="12">
        <f>[1]monsters!$D711</f>
        <v>2</v>
      </c>
      <c r="CC711" s="12">
        <f t="shared" ca="1" si="61"/>
        <v>0.1</v>
      </c>
      <c r="CD711" s="12">
        <f t="shared" ca="1" si="62"/>
        <v>110.98505050505101</v>
      </c>
      <c r="CE711" s="12">
        <f t="shared" ca="1" si="63"/>
        <v>11.0985050505051</v>
      </c>
      <c r="CS711" s="33"/>
      <c r="CT711" s="33"/>
      <c r="CU711" s="33"/>
      <c r="CV711" s="32"/>
      <c r="CW711" s="32"/>
      <c r="CX711" s="32"/>
      <c r="CY711" s="34"/>
      <c r="CZ711" s="34"/>
      <c r="DA711" s="34"/>
      <c r="DB711" s="33"/>
      <c r="DC711" s="33"/>
      <c r="DD711" s="33"/>
      <c r="DE711" s="33"/>
      <c r="DF711" s="33"/>
      <c r="DG711" s="33"/>
      <c r="DH711" s="34"/>
      <c r="DI711" s="34"/>
      <c r="DJ711" s="34"/>
      <c r="DK711" s="33"/>
      <c r="DL711" s="33"/>
      <c r="DM711" s="33"/>
      <c r="DN711" s="12">
        <v>5205061</v>
      </c>
      <c r="DS711" s="21"/>
      <c r="DT711" s="21"/>
      <c r="DU711" s="21"/>
    </row>
    <row r="712" spans="72:125" ht="13.5" customHeight="1">
      <c r="BT712" s="12">
        <v>5405061</v>
      </c>
      <c r="BU712" s="3">
        <f>[1]monsters!$N712</f>
        <v>192</v>
      </c>
      <c r="BV712" s="3">
        <f>[1]monsters!$O712</f>
        <v>19.2</v>
      </c>
      <c r="BW712" s="3">
        <f>[1]monsters!$P712</f>
        <v>2304</v>
      </c>
      <c r="BX712" s="3">
        <f>[1]monsters!$Q712</f>
        <v>230.4</v>
      </c>
      <c r="BY712" s="3">
        <f>[1]monsters!$R712</f>
        <v>64</v>
      </c>
      <c r="BZ712" s="3">
        <f>[1]monsters!$S712</f>
        <v>6.4</v>
      </c>
      <c r="CA712" s="3">
        <f>[1]monsters!$K712</f>
        <v>1.5</v>
      </c>
      <c r="CB712" s="12">
        <f>[1]monsters!$D712</f>
        <v>2</v>
      </c>
      <c r="CC712" s="12">
        <f t="shared" ca="1" si="61"/>
        <v>0.1</v>
      </c>
      <c r="CD712" s="12">
        <f t="shared" ca="1" si="62"/>
        <v>99.100945821854907</v>
      </c>
      <c r="CE712" s="12">
        <f t="shared" ca="1" si="63"/>
        <v>9.91009458218549</v>
      </c>
      <c r="CS712" s="33"/>
      <c r="CT712" s="33"/>
      <c r="CU712" s="33"/>
      <c r="CV712" s="32"/>
      <c r="CW712" s="32"/>
      <c r="CX712" s="32"/>
      <c r="CY712" s="34"/>
      <c r="CZ712" s="34"/>
      <c r="DA712" s="34"/>
      <c r="DB712" s="33"/>
      <c r="DC712" s="33"/>
      <c r="DD712" s="33"/>
      <c r="DE712" s="33"/>
      <c r="DF712" s="33"/>
      <c r="DG712" s="33"/>
      <c r="DH712" s="34"/>
      <c r="DI712" s="34"/>
      <c r="DJ712" s="34"/>
      <c r="DK712" s="33"/>
      <c r="DL712" s="33"/>
      <c r="DM712" s="33"/>
      <c r="DN712" s="12">
        <v>5405061</v>
      </c>
      <c r="DS712" s="21"/>
      <c r="DT712" s="21"/>
      <c r="DU712" s="21"/>
    </row>
    <row r="713" spans="72:125" ht="13.5" customHeight="1">
      <c r="BT713" s="12">
        <v>5203061</v>
      </c>
      <c r="BU713" s="3">
        <f>[1]monsters!$N713</f>
        <v>192</v>
      </c>
      <c r="BV713" s="3">
        <f>[1]monsters!$O713</f>
        <v>19.2</v>
      </c>
      <c r="BW713" s="3">
        <f>[1]monsters!$P713</f>
        <v>2304</v>
      </c>
      <c r="BX713" s="3">
        <f>[1]monsters!$Q713</f>
        <v>230.4</v>
      </c>
      <c r="BY713" s="3">
        <f>[1]monsters!$R713</f>
        <v>64</v>
      </c>
      <c r="BZ713" s="3">
        <f>[1]monsters!$S713</f>
        <v>6.4</v>
      </c>
      <c r="CA713" s="3">
        <f>[1]monsters!$K713</f>
        <v>1.5</v>
      </c>
      <c r="CB713" s="12">
        <f>[1]monsters!$D713</f>
        <v>2</v>
      </c>
      <c r="CC713" s="12">
        <f t="shared" ca="1" si="61"/>
        <v>0.1</v>
      </c>
      <c r="CD713" s="12">
        <f t="shared" ca="1" si="62"/>
        <v>89.817050505050503</v>
      </c>
      <c r="CE713" s="12">
        <f t="shared" ca="1" si="63"/>
        <v>8.9817050505050506</v>
      </c>
      <c r="CS713" s="33"/>
      <c r="CT713" s="33"/>
      <c r="CU713" s="33"/>
      <c r="CV713" s="32"/>
      <c r="CW713" s="32"/>
      <c r="CX713" s="32"/>
      <c r="CY713" s="34"/>
      <c r="CZ713" s="34"/>
      <c r="DA713" s="34"/>
      <c r="DB713" s="33"/>
      <c r="DC713" s="33"/>
      <c r="DD713" s="33"/>
      <c r="DE713" s="33"/>
      <c r="DF713" s="33"/>
      <c r="DG713" s="33"/>
      <c r="DH713" s="34"/>
      <c r="DI713" s="34"/>
      <c r="DJ713" s="34"/>
      <c r="DK713" s="33"/>
      <c r="DL713" s="33"/>
      <c r="DM713" s="33"/>
      <c r="DN713" s="12">
        <v>5203061</v>
      </c>
      <c r="DS713" s="21"/>
      <c r="DT713" s="21"/>
      <c r="DU713" s="21"/>
    </row>
    <row r="714" spans="72:125" ht="13.5" customHeight="1">
      <c r="BT714" s="12">
        <v>5403061</v>
      </c>
      <c r="BU714" s="3">
        <f>[1]monsters!$N714</f>
        <v>192</v>
      </c>
      <c r="BV714" s="3">
        <f>[1]monsters!$O714</f>
        <v>19.2</v>
      </c>
      <c r="BW714" s="3">
        <f>[1]monsters!$P714</f>
        <v>2304</v>
      </c>
      <c r="BX714" s="3">
        <f>[1]monsters!$Q714</f>
        <v>230.4</v>
      </c>
      <c r="BY714" s="3">
        <f>[1]monsters!$R714</f>
        <v>64</v>
      </c>
      <c r="BZ714" s="3">
        <f>[1]monsters!$S714</f>
        <v>6.4</v>
      </c>
      <c r="CA714" s="3">
        <f>[1]monsters!$K714</f>
        <v>1.5</v>
      </c>
      <c r="CB714" s="12">
        <f>[1]monsters!$D714</f>
        <v>2</v>
      </c>
      <c r="CC714" s="12">
        <f t="shared" ca="1" si="61"/>
        <v>0.1</v>
      </c>
      <c r="CD714" s="12">
        <f t="shared" ca="1" si="62"/>
        <v>82.468945821854902</v>
      </c>
      <c r="CE714" s="12">
        <f t="shared" ca="1" si="63"/>
        <v>8.2468945821854902</v>
      </c>
      <c r="CS714" s="33"/>
      <c r="CT714" s="33"/>
      <c r="CU714" s="33"/>
      <c r="CV714" s="32"/>
      <c r="CW714" s="32"/>
      <c r="CX714" s="32"/>
      <c r="CY714" s="34"/>
      <c r="CZ714" s="34"/>
      <c r="DA714" s="34"/>
      <c r="DB714" s="33"/>
      <c r="DC714" s="33"/>
      <c r="DD714" s="33"/>
      <c r="DE714" s="33"/>
      <c r="DF714" s="33"/>
      <c r="DG714" s="33"/>
      <c r="DH714" s="34"/>
      <c r="DI714" s="34"/>
      <c r="DJ714" s="34"/>
      <c r="DK714" s="33"/>
      <c r="DL714" s="33"/>
      <c r="DM714" s="33"/>
      <c r="DN714" s="12">
        <v>5403061</v>
      </c>
      <c r="DS714" s="21"/>
      <c r="DT714" s="21"/>
      <c r="DU714" s="21"/>
    </row>
    <row r="715" spans="72:125" ht="13.5" customHeight="1">
      <c r="BT715" s="12">
        <v>5204061</v>
      </c>
      <c r="BU715" s="3">
        <f>[1]monsters!$N715</f>
        <v>192</v>
      </c>
      <c r="BV715" s="3">
        <f>[1]monsters!$O715</f>
        <v>19.2</v>
      </c>
      <c r="BW715" s="3">
        <f>[1]monsters!$P715</f>
        <v>2304</v>
      </c>
      <c r="BX715" s="3">
        <f>[1]monsters!$Q715</f>
        <v>230.4</v>
      </c>
      <c r="BY715" s="3">
        <f>[1]monsters!$R715</f>
        <v>64</v>
      </c>
      <c r="BZ715" s="3">
        <f>[1]monsters!$S715</f>
        <v>6.4</v>
      </c>
      <c r="CA715" s="3">
        <f>[1]monsters!$K715</f>
        <v>1.5</v>
      </c>
      <c r="CB715" s="12">
        <f>[1]monsters!$D715</f>
        <v>2</v>
      </c>
      <c r="CC715" s="12">
        <f t="shared" ca="1" si="61"/>
        <v>0.1</v>
      </c>
      <c r="CD715" s="12">
        <f t="shared" ca="1" si="62"/>
        <v>92.841050505050504</v>
      </c>
      <c r="CE715" s="12">
        <f t="shared" ca="1" si="63"/>
        <v>9.2841050505050493</v>
      </c>
      <c r="CS715" s="33"/>
      <c r="CT715" s="33"/>
      <c r="CU715" s="33"/>
      <c r="CV715" s="32"/>
      <c r="CW715" s="32"/>
      <c r="CX715" s="32"/>
      <c r="CY715" s="34"/>
      <c r="CZ715" s="34"/>
      <c r="DA715" s="34"/>
      <c r="DB715" s="33"/>
      <c r="DC715" s="33"/>
      <c r="DD715" s="33"/>
      <c r="DE715" s="33"/>
      <c r="DF715" s="33"/>
      <c r="DG715" s="33"/>
      <c r="DH715" s="34"/>
      <c r="DI715" s="34"/>
      <c r="DJ715" s="34"/>
      <c r="DK715" s="33"/>
      <c r="DL715" s="33"/>
      <c r="DM715" s="33"/>
      <c r="DN715" s="12">
        <v>5204061</v>
      </c>
      <c r="DS715" s="21"/>
      <c r="DT715" s="21"/>
      <c r="DU715" s="21"/>
    </row>
    <row r="716" spans="72:125" ht="13.5" customHeight="1">
      <c r="BT716" s="12">
        <v>5404061</v>
      </c>
      <c r="BU716" s="3">
        <f>[1]monsters!$N716</f>
        <v>192</v>
      </c>
      <c r="BV716" s="3">
        <f>[1]monsters!$O716</f>
        <v>19.2</v>
      </c>
      <c r="BW716" s="3">
        <f>[1]monsters!$P716</f>
        <v>2304</v>
      </c>
      <c r="BX716" s="3">
        <f>[1]monsters!$Q716</f>
        <v>230.4</v>
      </c>
      <c r="BY716" s="3">
        <f>[1]monsters!$R716</f>
        <v>64</v>
      </c>
      <c r="BZ716" s="3">
        <f>[1]monsters!$S716</f>
        <v>6.4</v>
      </c>
      <c r="CA716" s="3">
        <f>[1]monsters!$K716</f>
        <v>1.5</v>
      </c>
      <c r="CB716" s="12">
        <f>[1]monsters!$D716</f>
        <v>2</v>
      </c>
      <c r="CC716" s="12">
        <f t="shared" ca="1" si="61"/>
        <v>0.1</v>
      </c>
      <c r="CD716" s="12">
        <f t="shared" ca="1" si="62"/>
        <v>99.100945821854907</v>
      </c>
      <c r="CE716" s="12">
        <f t="shared" ca="1" si="63"/>
        <v>9.91009458218549</v>
      </c>
      <c r="CS716" s="33"/>
      <c r="CT716" s="33"/>
      <c r="CU716" s="33"/>
      <c r="CV716" s="32"/>
      <c r="CW716" s="32"/>
      <c r="CX716" s="32"/>
      <c r="CY716" s="34"/>
      <c r="CZ716" s="34"/>
      <c r="DA716" s="34"/>
      <c r="DB716" s="33"/>
      <c r="DC716" s="33"/>
      <c r="DD716" s="33"/>
      <c r="DE716" s="33"/>
      <c r="DF716" s="33"/>
      <c r="DG716" s="33"/>
      <c r="DH716" s="34"/>
      <c r="DI716" s="34"/>
      <c r="DJ716" s="34"/>
      <c r="DK716" s="33"/>
      <c r="DL716" s="33"/>
      <c r="DM716" s="33"/>
      <c r="DN716" s="12">
        <v>5404061</v>
      </c>
      <c r="DS716" s="21"/>
      <c r="DT716" s="21"/>
      <c r="DU716" s="21"/>
    </row>
    <row r="717" spans="72:125" ht="13.5" customHeight="1">
      <c r="BT717" s="12">
        <v>5303061</v>
      </c>
      <c r="BU717" s="3">
        <f>[1]monsters!$N717</f>
        <v>208</v>
      </c>
      <c r="BV717" s="3">
        <f>[1]monsters!$O717</f>
        <v>20.8</v>
      </c>
      <c r="BW717" s="3">
        <f>[1]monsters!$P717</f>
        <v>2496</v>
      </c>
      <c r="BX717" s="3">
        <f>[1]monsters!$Q717</f>
        <v>249.6</v>
      </c>
      <c r="BY717" s="3">
        <f>[1]monsters!$R717</f>
        <v>69.33</v>
      </c>
      <c r="BZ717" s="3">
        <f>[1]monsters!$S717</f>
        <v>6.93</v>
      </c>
      <c r="CA717" s="3">
        <f>[1]monsters!$K717</f>
        <v>1.5</v>
      </c>
      <c r="CB717" s="12">
        <f>[1]monsters!$D717</f>
        <v>2</v>
      </c>
      <c r="CC717" s="12">
        <f t="shared" ca="1" si="61"/>
        <v>0.1</v>
      </c>
      <c r="CD717" s="12">
        <f t="shared" ca="1" si="62"/>
        <v>89.119378226711405</v>
      </c>
      <c r="CE717" s="12">
        <f t="shared" ca="1" si="63"/>
        <v>8.9119378226711508</v>
      </c>
      <c r="CS717" s="33"/>
      <c r="CT717" s="33"/>
      <c r="CU717" s="33"/>
      <c r="CV717" s="32"/>
      <c r="CW717" s="32"/>
      <c r="CX717" s="32"/>
      <c r="CY717" s="34"/>
      <c r="CZ717" s="34"/>
      <c r="DA717" s="34"/>
      <c r="DB717" s="33"/>
      <c r="DC717" s="33"/>
      <c r="DD717" s="33"/>
      <c r="DE717" s="33"/>
      <c r="DF717" s="33"/>
      <c r="DG717" s="33"/>
      <c r="DH717" s="34"/>
      <c r="DI717" s="34"/>
      <c r="DJ717" s="34"/>
      <c r="DK717" s="33"/>
      <c r="DL717" s="33"/>
      <c r="DM717" s="33"/>
      <c r="DN717" s="12">
        <v>5303061</v>
      </c>
      <c r="DS717" s="21"/>
      <c r="DT717" s="21"/>
      <c r="DU717" s="21"/>
    </row>
    <row r="718" spans="72:125" ht="13.5" customHeight="1">
      <c r="BT718" s="12">
        <v>5304061</v>
      </c>
      <c r="BU718" s="3">
        <f>[1]monsters!$N718</f>
        <v>208</v>
      </c>
      <c r="BV718" s="3">
        <f>[1]monsters!$O718</f>
        <v>20.8</v>
      </c>
      <c r="BW718" s="3">
        <f>[1]monsters!$P718</f>
        <v>2496</v>
      </c>
      <c r="BX718" s="3">
        <f>[1]monsters!$Q718</f>
        <v>249.6</v>
      </c>
      <c r="BY718" s="3">
        <f>[1]monsters!$R718</f>
        <v>69.33</v>
      </c>
      <c r="BZ718" s="3">
        <f>[1]monsters!$S718</f>
        <v>6.93</v>
      </c>
      <c r="CA718" s="3">
        <f>[1]monsters!$K718</f>
        <v>1.5</v>
      </c>
      <c r="CB718" s="12">
        <f>[1]monsters!$D718</f>
        <v>2</v>
      </c>
      <c r="CC718" s="12">
        <f t="shared" ca="1" si="61"/>
        <v>0.1</v>
      </c>
      <c r="CD718" s="12">
        <f t="shared" ca="1" si="62"/>
        <v>92.521378226711406</v>
      </c>
      <c r="CE718" s="12">
        <f t="shared" ca="1" si="63"/>
        <v>9.2521378226711395</v>
      </c>
      <c r="CS718" s="33"/>
      <c r="CT718" s="33"/>
      <c r="CU718" s="33"/>
      <c r="CV718" s="32"/>
      <c r="CW718" s="32"/>
      <c r="CX718" s="32"/>
      <c r="CY718" s="34"/>
      <c r="CZ718" s="34"/>
      <c r="DA718" s="34"/>
      <c r="DB718" s="33"/>
      <c r="DC718" s="33"/>
      <c r="DD718" s="33"/>
      <c r="DE718" s="33"/>
      <c r="DF718" s="33"/>
      <c r="DG718" s="33"/>
      <c r="DH718" s="34"/>
      <c r="DI718" s="34"/>
      <c r="DJ718" s="34"/>
      <c r="DK718" s="33"/>
      <c r="DL718" s="33"/>
      <c r="DM718" s="33"/>
      <c r="DN718" s="12">
        <v>5304061</v>
      </c>
      <c r="DS718" s="21"/>
      <c r="DT718" s="21"/>
      <c r="DU718" s="21"/>
    </row>
    <row r="719" spans="72:125" ht="13.5" customHeight="1">
      <c r="BT719" s="12">
        <v>5503061</v>
      </c>
      <c r="BU719" s="3">
        <f>[1]monsters!$N719</f>
        <v>208</v>
      </c>
      <c r="BV719" s="3">
        <f>[1]monsters!$O719</f>
        <v>20.8</v>
      </c>
      <c r="BW719" s="3">
        <f>[1]monsters!$P719</f>
        <v>2496</v>
      </c>
      <c r="BX719" s="3">
        <f>[1]monsters!$Q719</f>
        <v>249.6</v>
      </c>
      <c r="BY719" s="3">
        <f>[1]monsters!$R719</f>
        <v>69.33</v>
      </c>
      <c r="BZ719" s="3">
        <f>[1]monsters!$S719</f>
        <v>6.93</v>
      </c>
      <c r="CA719" s="3">
        <f>[1]monsters!$K719</f>
        <v>1.5</v>
      </c>
      <c r="CB719" s="12">
        <f>[1]monsters!$D719</f>
        <v>2</v>
      </c>
      <c r="CC719" s="12">
        <f t="shared" ca="1" si="61"/>
        <v>0.1</v>
      </c>
      <c r="CD719" s="12">
        <f t="shared" ca="1" si="62"/>
        <v>106.246033670034</v>
      </c>
      <c r="CE719" s="12">
        <f t="shared" ca="1" si="63"/>
        <v>10.624603367003401</v>
      </c>
      <c r="CS719" s="33"/>
      <c r="CT719" s="33"/>
      <c r="CU719" s="33"/>
      <c r="CV719" s="32"/>
      <c r="CW719" s="32"/>
      <c r="CX719" s="32"/>
      <c r="CY719" s="34"/>
      <c r="CZ719" s="34"/>
      <c r="DA719" s="34"/>
      <c r="DB719" s="33"/>
      <c r="DC719" s="33"/>
      <c r="DD719" s="33"/>
      <c r="DE719" s="33"/>
      <c r="DF719" s="33"/>
      <c r="DG719" s="33"/>
      <c r="DH719" s="34"/>
      <c r="DI719" s="34"/>
      <c r="DJ719" s="34"/>
      <c r="DK719" s="33"/>
      <c r="DL719" s="33"/>
      <c r="DM719" s="33"/>
      <c r="DN719" s="12">
        <v>5503061</v>
      </c>
      <c r="DS719" s="21"/>
      <c r="DT719" s="21"/>
      <c r="DU719" s="21"/>
    </row>
    <row r="720" spans="72:125" ht="13.5" customHeight="1">
      <c r="BT720" s="12">
        <v>5504061</v>
      </c>
      <c r="BU720" s="3">
        <f>[1]monsters!$N720</f>
        <v>208</v>
      </c>
      <c r="BV720" s="3">
        <f>[1]monsters!$O720</f>
        <v>20.8</v>
      </c>
      <c r="BW720" s="3">
        <f>[1]monsters!$P720</f>
        <v>2496</v>
      </c>
      <c r="BX720" s="3">
        <f>[1]monsters!$Q720</f>
        <v>249.6</v>
      </c>
      <c r="BY720" s="3">
        <f>[1]monsters!$R720</f>
        <v>69.33</v>
      </c>
      <c r="BZ720" s="3">
        <f>[1]monsters!$S720</f>
        <v>6.93</v>
      </c>
      <c r="CA720" s="3">
        <f>[1]monsters!$K720</f>
        <v>1.5</v>
      </c>
      <c r="CB720" s="12">
        <f>[1]monsters!$D720</f>
        <v>2</v>
      </c>
      <c r="CC720" s="12">
        <f t="shared" ca="1" si="61"/>
        <v>0.1</v>
      </c>
      <c r="CD720" s="12">
        <f t="shared" ca="1" si="62"/>
        <v>115.318033670034</v>
      </c>
      <c r="CE720" s="12">
        <f t="shared" ca="1" si="63"/>
        <v>11.5318033670034</v>
      </c>
      <c r="CS720" s="33"/>
      <c r="CT720" s="33"/>
      <c r="CU720" s="33"/>
      <c r="CV720" s="32"/>
      <c r="CW720" s="32"/>
      <c r="CX720" s="32"/>
      <c r="CY720" s="34"/>
      <c r="CZ720" s="34"/>
      <c r="DA720" s="34"/>
      <c r="DB720" s="33"/>
      <c r="DC720" s="33"/>
      <c r="DD720" s="33"/>
      <c r="DE720" s="33"/>
      <c r="DF720" s="33"/>
      <c r="DG720" s="33"/>
      <c r="DH720" s="34"/>
      <c r="DI720" s="34"/>
      <c r="DJ720" s="34"/>
      <c r="DK720" s="33"/>
      <c r="DL720" s="33"/>
      <c r="DM720" s="33"/>
      <c r="DN720" s="12">
        <v>5504061</v>
      </c>
      <c r="DS720" s="21"/>
      <c r="DT720" s="21"/>
      <c r="DU720" s="21"/>
    </row>
    <row r="721" spans="72:125" ht="13.5" customHeight="1">
      <c r="BT721" s="12">
        <v>5101061</v>
      </c>
      <c r="BU721" s="3">
        <f>[1]monsters!$N721</f>
        <v>208</v>
      </c>
      <c r="BV721" s="3">
        <f>[1]monsters!$O721</f>
        <v>20.8</v>
      </c>
      <c r="BW721" s="3">
        <f>[1]monsters!$P721</f>
        <v>2496</v>
      </c>
      <c r="BX721" s="3">
        <f>[1]monsters!$Q721</f>
        <v>249.6</v>
      </c>
      <c r="BY721" s="3">
        <f>[1]monsters!$R721</f>
        <v>69.33</v>
      </c>
      <c r="BZ721" s="3">
        <f>[1]monsters!$S721</f>
        <v>6.93</v>
      </c>
      <c r="CA721" s="3">
        <f>[1]monsters!$K721</f>
        <v>1.5</v>
      </c>
      <c r="CB721" s="12">
        <f>[1]monsters!$D721</f>
        <v>2</v>
      </c>
      <c r="CC721" s="12">
        <f t="shared" ca="1" si="61"/>
        <v>0.1</v>
      </c>
      <c r="CD721" s="12">
        <f t="shared" ca="1" si="62"/>
        <v>100.88404040403999</v>
      </c>
      <c r="CE721" s="12">
        <f t="shared" ca="1" si="63"/>
        <v>10.088404040404001</v>
      </c>
      <c r="CS721" s="33"/>
      <c r="CT721" s="33"/>
      <c r="CU721" s="33"/>
      <c r="CV721" s="32"/>
      <c r="CW721" s="32"/>
      <c r="CX721" s="32"/>
      <c r="CY721" s="34"/>
      <c r="CZ721" s="34"/>
      <c r="DA721" s="34"/>
      <c r="DB721" s="33"/>
      <c r="DC721" s="33"/>
      <c r="DD721" s="33"/>
      <c r="DE721" s="33"/>
      <c r="DF721" s="33"/>
      <c r="DG721" s="33"/>
      <c r="DH721" s="34"/>
      <c r="DI721" s="34"/>
      <c r="DJ721" s="34"/>
      <c r="DK721" s="33"/>
      <c r="DL721" s="33"/>
      <c r="DM721" s="33"/>
      <c r="DN721" s="12">
        <v>5101061</v>
      </c>
      <c r="DS721" s="21"/>
      <c r="DT721" s="21"/>
      <c r="DU721" s="21"/>
    </row>
    <row r="722" spans="72:125" ht="13.5" customHeight="1">
      <c r="BT722" s="12">
        <v>5102061</v>
      </c>
      <c r="BU722" s="3">
        <f>[1]monsters!$N722</f>
        <v>224</v>
      </c>
      <c r="BV722" s="3">
        <f>[1]monsters!$O722</f>
        <v>22.4</v>
      </c>
      <c r="BW722" s="3">
        <f>[1]monsters!$P722</f>
        <v>2688</v>
      </c>
      <c r="BX722" s="3">
        <f>[1]monsters!$Q722</f>
        <v>268.8</v>
      </c>
      <c r="BY722" s="3">
        <f>[1]monsters!$R722</f>
        <v>74.67</v>
      </c>
      <c r="BZ722" s="3">
        <f>[1]monsters!$S722</f>
        <v>7.47</v>
      </c>
      <c r="CA722" s="3">
        <f>[1]monsters!$K722</f>
        <v>1.5</v>
      </c>
      <c r="CB722" s="12">
        <f>[1]monsters!$D722</f>
        <v>2</v>
      </c>
      <c r="CC722" s="12">
        <f t="shared" ca="1" si="61"/>
        <v>0.1</v>
      </c>
      <c r="CD722" s="12">
        <f t="shared" ca="1" si="62"/>
        <v>93.324040404040403</v>
      </c>
      <c r="CE722" s="12">
        <f t="shared" ca="1" si="63"/>
        <v>9.3324040404040396</v>
      </c>
      <c r="CS722" s="33"/>
      <c r="CT722" s="33"/>
      <c r="CU722" s="33"/>
      <c r="CV722" s="32"/>
      <c r="CW722" s="32"/>
      <c r="CX722" s="32"/>
      <c r="CY722" s="34"/>
      <c r="CZ722" s="34"/>
      <c r="DA722" s="34"/>
      <c r="DB722" s="33"/>
      <c r="DC722" s="33"/>
      <c r="DD722" s="33"/>
      <c r="DE722" s="33"/>
      <c r="DF722" s="33"/>
      <c r="DG722" s="33"/>
      <c r="DH722" s="34"/>
      <c r="DI722" s="34"/>
      <c r="DJ722" s="34"/>
      <c r="DK722" s="33"/>
      <c r="DL722" s="33"/>
      <c r="DM722" s="33"/>
      <c r="DN722" s="12">
        <v>5102061</v>
      </c>
      <c r="DS722" s="21"/>
      <c r="DT722" s="21"/>
      <c r="DU722" s="21"/>
    </row>
    <row r="723" spans="72:125" ht="13.5" customHeight="1">
      <c r="BT723" s="12">
        <v>5206062</v>
      </c>
      <c r="BU723" s="3">
        <f>[1]monsters!$N723</f>
        <v>224</v>
      </c>
      <c r="BV723" s="3">
        <f>[1]monsters!$O723</f>
        <v>22.4</v>
      </c>
      <c r="BW723" s="3">
        <f>[1]monsters!$P723</f>
        <v>2688</v>
      </c>
      <c r="BX723" s="3">
        <f>[1]monsters!$Q723</f>
        <v>268.8</v>
      </c>
      <c r="BY723" s="3">
        <f>[1]monsters!$R723</f>
        <v>74.67</v>
      </c>
      <c r="BZ723" s="3">
        <f>[1]monsters!$S723</f>
        <v>7.47</v>
      </c>
      <c r="CA723" s="3">
        <f>[1]monsters!$K723</f>
        <v>1.5</v>
      </c>
      <c r="CB723" s="12">
        <f>[1]monsters!$D723</f>
        <v>2</v>
      </c>
      <c r="CC723" s="12">
        <f t="shared" ca="1" si="61"/>
        <v>0.1</v>
      </c>
      <c r="CD723" s="12">
        <f t="shared" ca="1" si="62"/>
        <v>101.913050505051</v>
      </c>
      <c r="CE723" s="12">
        <f t="shared" ca="1" si="63"/>
        <v>10.1913050505051</v>
      </c>
      <c r="CS723" s="33"/>
      <c r="CT723" s="33"/>
      <c r="CU723" s="33"/>
      <c r="CV723" s="32"/>
      <c r="CW723" s="32"/>
      <c r="CX723" s="32"/>
      <c r="CY723" s="34"/>
      <c r="CZ723" s="34"/>
      <c r="DA723" s="34"/>
      <c r="DB723" s="33"/>
      <c r="DC723" s="33"/>
      <c r="DD723" s="33"/>
      <c r="DE723" s="33"/>
      <c r="DF723" s="33"/>
      <c r="DG723" s="33"/>
      <c r="DH723" s="34"/>
      <c r="DI723" s="34"/>
      <c r="DJ723" s="34"/>
      <c r="DK723" s="33"/>
      <c r="DL723" s="33"/>
      <c r="DM723" s="33"/>
      <c r="DN723" s="12">
        <v>5206062</v>
      </c>
      <c r="DS723" s="21"/>
      <c r="DT723" s="21"/>
      <c r="DU723" s="21"/>
    </row>
    <row r="724" spans="72:125" ht="13.5" customHeight="1">
      <c r="BT724" s="12">
        <v>5406062</v>
      </c>
      <c r="BU724" s="3">
        <f>[1]monsters!$N724</f>
        <v>224</v>
      </c>
      <c r="BV724" s="3">
        <f>[1]monsters!$O724</f>
        <v>22.4</v>
      </c>
      <c r="BW724" s="3">
        <f>[1]monsters!$P724</f>
        <v>2688</v>
      </c>
      <c r="BX724" s="3">
        <f>[1]monsters!$Q724</f>
        <v>268.8</v>
      </c>
      <c r="BY724" s="3">
        <f>[1]monsters!$R724</f>
        <v>74.67</v>
      </c>
      <c r="BZ724" s="3">
        <f>[1]monsters!$S724</f>
        <v>7.47</v>
      </c>
      <c r="CA724" s="3">
        <f>[1]monsters!$K724</f>
        <v>1.5</v>
      </c>
      <c r="CB724" s="12">
        <f>[1]monsters!$D724</f>
        <v>2</v>
      </c>
      <c r="CC724" s="12">
        <f t="shared" ca="1" si="61"/>
        <v>0.1</v>
      </c>
      <c r="CD724" s="12">
        <f t="shared" ca="1" si="62"/>
        <v>94.942945821854906</v>
      </c>
      <c r="CE724" s="12">
        <f t="shared" ca="1" si="63"/>
        <v>9.4942945821854892</v>
      </c>
      <c r="CS724" s="33"/>
      <c r="CT724" s="33"/>
      <c r="CU724" s="33"/>
      <c r="CV724" s="32"/>
      <c r="CW724" s="32"/>
      <c r="CX724" s="32"/>
      <c r="CY724" s="34"/>
      <c r="CZ724" s="34"/>
      <c r="DA724" s="34"/>
      <c r="DB724" s="33"/>
      <c r="DC724" s="33"/>
      <c r="DD724" s="33"/>
      <c r="DE724" s="33"/>
      <c r="DF724" s="33"/>
      <c r="DG724" s="33"/>
      <c r="DH724" s="34"/>
      <c r="DI724" s="34"/>
      <c r="DJ724" s="34"/>
      <c r="DK724" s="33"/>
      <c r="DL724" s="33"/>
      <c r="DM724" s="33"/>
      <c r="DN724" s="12">
        <v>5406062</v>
      </c>
      <c r="DS724" s="21"/>
      <c r="DT724" s="21"/>
      <c r="DU724" s="21"/>
    </row>
    <row r="725" spans="72:125" ht="13.5" customHeight="1">
      <c r="BT725" s="12">
        <v>5205062</v>
      </c>
      <c r="BU725" s="3">
        <f>[1]monsters!$N725</f>
        <v>224</v>
      </c>
      <c r="BV725" s="3">
        <f>[1]monsters!$O725</f>
        <v>22.4</v>
      </c>
      <c r="BW725" s="3">
        <f>[1]monsters!$P725</f>
        <v>2688</v>
      </c>
      <c r="BX725" s="3">
        <f>[1]monsters!$Q725</f>
        <v>268.8</v>
      </c>
      <c r="BY725" s="3">
        <f>[1]monsters!$R725</f>
        <v>74.67</v>
      </c>
      <c r="BZ725" s="3">
        <f>[1]monsters!$S725</f>
        <v>7.47</v>
      </c>
      <c r="CA725" s="3">
        <f>[1]monsters!$K725</f>
        <v>1.5</v>
      </c>
      <c r="CB725" s="12">
        <f>[1]monsters!$D725</f>
        <v>2</v>
      </c>
      <c r="CC725" s="12">
        <f t="shared" ca="1" si="61"/>
        <v>0.1</v>
      </c>
      <c r="CD725" s="12">
        <f t="shared" ca="1" si="62"/>
        <v>110.98505050505101</v>
      </c>
      <c r="CE725" s="12">
        <f t="shared" ca="1" si="63"/>
        <v>11.0985050505051</v>
      </c>
      <c r="CS725" s="33"/>
      <c r="CT725" s="33"/>
      <c r="CU725" s="33"/>
      <c r="CV725" s="32"/>
      <c r="CW725" s="32"/>
      <c r="CX725" s="32"/>
      <c r="CY725" s="34"/>
      <c r="CZ725" s="34"/>
      <c r="DA725" s="34"/>
      <c r="DB725" s="33"/>
      <c r="DC725" s="33"/>
      <c r="DD725" s="33"/>
      <c r="DE725" s="33"/>
      <c r="DF725" s="33"/>
      <c r="DG725" s="33"/>
      <c r="DH725" s="34"/>
      <c r="DI725" s="34"/>
      <c r="DJ725" s="34"/>
      <c r="DK725" s="33"/>
      <c r="DL725" s="33"/>
      <c r="DM725" s="33"/>
      <c r="DN725" s="12">
        <v>5205062</v>
      </c>
      <c r="DS725" s="21"/>
      <c r="DT725" s="21"/>
      <c r="DU725" s="21"/>
    </row>
    <row r="726" spans="72:125" ht="13.5" customHeight="1">
      <c r="BT726" s="12">
        <v>5405062</v>
      </c>
      <c r="BU726" s="3">
        <f>[1]monsters!$N726</f>
        <v>224</v>
      </c>
      <c r="BV726" s="3">
        <f>[1]monsters!$O726</f>
        <v>22.4</v>
      </c>
      <c r="BW726" s="3">
        <f>[1]monsters!$P726</f>
        <v>2688</v>
      </c>
      <c r="BX726" s="3">
        <f>[1]monsters!$Q726</f>
        <v>268.8</v>
      </c>
      <c r="BY726" s="3">
        <f>[1]monsters!$R726</f>
        <v>74.67</v>
      </c>
      <c r="BZ726" s="3">
        <f>[1]monsters!$S726</f>
        <v>7.47</v>
      </c>
      <c r="CA726" s="3">
        <f>[1]monsters!$K726</f>
        <v>1.5</v>
      </c>
      <c r="CB726" s="12">
        <f>[1]monsters!$D726</f>
        <v>2</v>
      </c>
      <c r="CC726" s="12">
        <f t="shared" ca="1" si="61"/>
        <v>0.1</v>
      </c>
      <c r="CD726" s="12">
        <f t="shared" ca="1" si="62"/>
        <v>99.100945821854907</v>
      </c>
      <c r="CE726" s="12">
        <f t="shared" ca="1" si="63"/>
        <v>9.91009458218549</v>
      </c>
      <c r="CS726" s="33"/>
      <c r="CT726" s="33"/>
      <c r="CU726" s="33"/>
      <c r="CV726" s="32"/>
      <c r="CW726" s="32"/>
      <c r="CX726" s="32"/>
      <c r="CY726" s="34"/>
      <c r="CZ726" s="34"/>
      <c r="DA726" s="34"/>
      <c r="DB726" s="33"/>
      <c r="DC726" s="33"/>
      <c r="DD726" s="33"/>
      <c r="DE726" s="33"/>
      <c r="DF726" s="33"/>
      <c r="DG726" s="33"/>
      <c r="DH726" s="34"/>
      <c r="DI726" s="34"/>
      <c r="DJ726" s="34"/>
      <c r="DK726" s="33"/>
      <c r="DL726" s="33"/>
      <c r="DM726" s="33"/>
      <c r="DN726" s="12">
        <v>5405062</v>
      </c>
      <c r="DS726" s="21"/>
      <c r="DT726" s="21"/>
      <c r="DU726" s="21"/>
    </row>
    <row r="727" spans="72:125" ht="13.5" customHeight="1">
      <c r="BT727" s="12">
        <v>5203062</v>
      </c>
      <c r="BU727" s="3">
        <f>[1]monsters!$N727</f>
        <v>240</v>
      </c>
      <c r="BV727" s="3">
        <f>[1]monsters!$O727</f>
        <v>24</v>
      </c>
      <c r="BW727" s="3">
        <f>[1]monsters!$P727</f>
        <v>2880</v>
      </c>
      <c r="BX727" s="3">
        <f>[1]monsters!$Q727</f>
        <v>288</v>
      </c>
      <c r="BY727" s="3">
        <f>[1]monsters!$R727</f>
        <v>80</v>
      </c>
      <c r="BZ727" s="3">
        <f>[1]monsters!$S727</f>
        <v>8</v>
      </c>
      <c r="CA727" s="3">
        <f>[1]monsters!$K727</f>
        <v>1.5</v>
      </c>
      <c r="CB727" s="12">
        <f>[1]monsters!$D727</f>
        <v>2</v>
      </c>
      <c r="CC727" s="12">
        <f t="shared" ca="1" si="61"/>
        <v>0.1</v>
      </c>
      <c r="CD727" s="12">
        <f t="shared" ca="1" si="62"/>
        <v>89.817050505050503</v>
      </c>
      <c r="CE727" s="12">
        <f t="shared" ca="1" si="63"/>
        <v>8.9817050505050506</v>
      </c>
      <c r="CS727" s="33"/>
      <c r="CT727" s="33"/>
      <c r="CU727" s="33"/>
      <c r="CV727" s="32"/>
      <c r="CW727" s="32"/>
      <c r="CX727" s="32"/>
      <c r="CY727" s="34"/>
      <c r="CZ727" s="34"/>
      <c r="DA727" s="34"/>
      <c r="DB727" s="33"/>
      <c r="DC727" s="33"/>
      <c r="DD727" s="33"/>
      <c r="DE727" s="33"/>
      <c r="DF727" s="33"/>
      <c r="DG727" s="33"/>
      <c r="DH727" s="34"/>
      <c r="DI727" s="34"/>
      <c r="DJ727" s="34"/>
      <c r="DK727" s="33"/>
      <c r="DL727" s="33"/>
      <c r="DM727" s="33"/>
      <c r="DN727" s="12">
        <v>5203062</v>
      </c>
      <c r="DS727" s="21"/>
      <c r="DT727" s="21"/>
      <c r="DU727" s="21"/>
    </row>
    <row r="728" spans="72:125" ht="13.5" customHeight="1">
      <c r="BT728" s="12">
        <v>5403062</v>
      </c>
      <c r="BU728" s="3">
        <f>[1]monsters!$N728</f>
        <v>240</v>
      </c>
      <c r="BV728" s="3">
        <f>[1]monsters!$O728</f>
        <v>24</v>
      </c>
      <c r="BW728" s="3">
        <f>[1]monsters!$P728</f>
        <v>2880</v>
      </c>
      <c r="BX728" s="3">
        <f>[1]monsters!$Q728</f>
        <v>288</v>
      </c>
      <c r="BY728" s="3">
        <f>[1]monsters!$R728</f>
        <v>80</v>
      </c>
      <c r="BZ728" s="3">
        <f>[1]monsters!$S728</f>
        <v>8</v>
      </c>
      <c r="CA728" s="3">
        <f>[1]monsters!$K728</f>
        <v>1.5</v>
      </c>
      <c r="CB728" s="12">
        <f>[1]monsters!$D728</f>
        <v>2</v>
      </c>
      <c r="CC728" s="12">
        <f t="shared" ca="1" si="61"/>
        <v>0.1</v>
      </c>
      <c r="CD728" s="12">
        <f t="shared" ca="1" si="62"/>
        <v>82.468945821854902</v>
      </c>
      <c r="CE728" s="12">
        <f t="shared" ca="1" si="63"/>
        <v>8.2468945821854902</v>
      </c>
      <c r="CS728" s="33"/>
      <c r="CT728" s="33"/>
      <c r="CU728" s="33"/>
      <c r="CV728" s="32"/>
      <c r="CW728" s="32"/>
      <c r="CX728" s="32"/>
      <c r="CY728" s="34"/>
      <c r="CZ728" s="34"/>
      <c r="DA728" s="34"/>
      <c r="DB728" s="33"/>
      <c r="DC728" s="33"/>
      <c r="DD728" s="33"/>
      <c r="DE728" s="33"/>
      <c r="DF728" s="33"/>
      <c r="DG728" s="33"/>
      <c r="DH728" s="34"/>
      <c r="DI728" s="34"/>
      <c r="DJ728" s="34"/>
      <c r="DK728" s="33"/>
      <c r="DL728" s="33"/>
      <c r="DM728" s="33"/>
      <c r="DN728" s="12">
        <v>5403062</v>
      </c>
      <c r="DS728" s="21"/>
      <c r="DT728" s="21"/>
      <c r="DU728" s="21"/>
    </row>
    <row r="729" spans="72:125" ht="13.5" customHeight="1">
      <c r="BT729" s="12">
        <v>5204062</v>
      </c>
      <c r="BU729" s="3">
        <f>[1]monsters!$N729</f>
        <v>240</v>
      </c>
      <c r="BV729" s="3">
        <f>[1]monsters!$O729</f>
        <v>24</v>
      </c>
      <c r="BW729" s="3">
        <f>[1]monsters!$P729</f>
        <v>2880</v>
      </c>
      <c r="BX729" s="3">
        <f>[1]monsters!$Q729</f>
        <v>288</v>
      </c>
      <c r="BY729" s="3">
        <f>[1]monsters!$R729</f>
        <v>80</v>
      </c>
      <c r="BZ729" s="3">
        <f>[1]monsters!$S729</f>
        <v>8</v>
      </c>
      <c r="CA729" s="3">
        <f>[1]monsters!$K729</f>
        <v>1.5</v>
      </c>
      <c r="CB729" s="12">
        <f>[1]monsters!$D729</f>
        <v>2</v>
      </c>
      <c r="CC729" s="12">
        <f t="shared" ca="1" si="61"/>
        <v>0.1</v>
      </c>
      <c r="CD729" s="12">
        <f t="shared" ca="1" si="62"/>
        <v>92.841050505050504</v>
      </c>
      <c r="CE729" s="12">
        <f t="shared" ca="1" si="63"/>
        <v>9.2841050505050493</v>
      </c>
      <c r="CS729" s="33"/>
      <c r="CT729" s="33"/>
      <c r="CU729" s="33"/>
      <c r="CV729" s="32"/>
      <c r="CW729" s="32"/>
      <c r="CX729" s="32"/>
      <c r="CY729" s="34"/>
      <c r="CZ729" s="34"/>
      <c r="DA729" s="34"/>
      <c r="DB729" s="33"/>
      <c r="DC729" s="33"/>
      <c r="DD729" s="33"/>
      <c r="DE729" s="33"/>
      <c r="DF729" s="33"/>
      <c r="DG729" s="33"/>
      <c r="DH729" s="34"/>
      <c r="DI729" s="34"/>
      <c r="DJ729" s="34"/>
      <c r="DK729" s="33"/>
      <c r="DL729" s="33"/>
      <c r="DM729" s="33"/>
      <c r="DN729" s="12">
        <v>5204062</v>
      </c>
      <c r="DS729" s="21"/>
      <c r="DT729" s="21"/>
      <c r="DU729" s="21"/>
    </row>
    <row r="730" spans="72:125" ht="13.5" customHeight="1">
      <c r="BT730" s="12">
        <v>5404062</v>
      </c>
      <c r="BU730" s="3">
        <f>[1]monsters!$N730</f>
        <v>240</v>
      </c>
      <c r="BV730" s="3">
        <f>[1]monsters!$O730</f>
        <v>24</v>
      </c>
      <c r="BW730" s="3">
        <f>[1]monsters!$P730</f>
        <v>2880</v>
      </c>
      <c r="BX730" s="3">
        <f>[1]monsters!$Q730</f>
        <v>288</v>
      </c>
      <c r="BY730" s="3">
        <f>[1]monsters!$R730</f>
        <v>80</v>
      </c>
      <c r="BZ730" s="3">
        <f>[1]monsters!$S730</f>
        <v>8</v>
      </c>
      <c r="CA730" s="3">
        <f>[1]monsters!$K730</f>
        <v>1.5</v>
      </c>
      <c r="CB730" s="12">
        <f>[1]monsters!$D730</f>
        <v>2</v>
      </c>
      <c r="CC730" s="12">
        <f t="shared" ca="1" si="61"/>
        <v>0.1</v>
      </c>
      <c r="CD730" s="12">
        <f t="shared" ca="1" si="62"/>
        <v>99.100945821854907</v>
      </c>
      <c r="CE730" s="12">
        <f t="shared" ca="1" si="63"/>
        <v>9.91009458218549</v>
      </c>
      <c r="CS730" s="33"/>
      <c r="CT730" s="33"/>
      <c r="CU730" s="33"/>
      <c r="CV730" s="32"/>
      <c r="CW730" s="32"/>
      <c r="CX730" s="32"/>
      <c r="CY730" s="34"/>
      <c r="CZ730" s="34"/>
      <c r="DA730" s="34"/>
      <c r="DB730" s="33"/>
      <c r="DC730" s="33"/>
      <c r="DD730" s="33"/>
      <c r="DE730" s="33"/>
      <c r="DF730" s="33"/>
      <c r="DG730" s="33"/>
      <c r="DH730" s="34"/>
      <c r="DI730" s="34"/>
      <c r="DJ730" s="34"/>
      <c r="DK730" s="33"/>
      <c r="DL730" s="33"/>
      <c r="DM730" s="33"/>
      <c r="DN730" s="12">
        <v>5404062</v>
      </c>
      <c r="DS730" s="21"/>
      <c r="DT730" s="21"/>
      <c r="DU730" s="21"/>
    </row>
    <row r="731" spans="72:125" ht="13.5" customHeight="1">
      <c r="BT731" s="12">
        <v>5303062</v>
      </c>
      <c r="BU731" s="3">
        <f>[1]monsters!$N731</f>
        <v>240</v>
      </c>
      <c r="BV731" s="3">
        <f>[1]monsters!$O731</f>
        <v>24</v>
      </c>
      <c r="BW731" s="3">
        <f>[1]monsters!$P731</f>
        <v>2880</v>
      </c>
      <c r="BX731" s="3">
        <f>[1]monsters!$Q731</f>
        <v>288</v>
      </c>
      <c r="BY731" s="3">
        <f>[1]monsters!$R731</f>
        <v>80</v>
      </c>
      <c r="BZ731" s="3">
        <f>[1]monsters!$S731</f>
        <v>8</v>
      </c>
      <c r="CA731" s="3">
        <f>[1]monsters!$K731</f>
        <v>1.5</v>
      </c>
      <c r="CB731" s="12">
        <f>[1]monsters!$D731</f>
        <v>2</v>
      </c>
      <c r="CC731" s="12">
        <f t="shared" ca="1" si="61"/>
        <v>0.1</v>
      </c>
      <c r="CD731" s="12">
        <f t="shared" ca="1" si="62"/>
        <v>89.119378226711405</v>
      </c>
      <c r="CE731" s="12">
        <f t="shared" ca="1" si="63"/>
        <v>8.9119378226711508</v>
      </c>
      <c r="CS731" s="33"/>
      <c r="CT731" s="33"/>
      <c r="CU731" s="33"/>
      <c r="CV731" s="32"/>
      <c r="CW731" s="32"/>
      <c r="CX731" s="32"/>
      <c r="CY731" s="34"/>
      <c r="CZ731" s="34"/>
      <c r="DA731" s="34"/>
      <c r="DB731" s="33"/>
      <c r="DC731" s="33"/>
      <c r="DD731" s="33"/>
      <c r="DE731" s="33"/>
      <c r="DF731" s="33"/>
      <c r="DG731" s="33"/>
      <c r="DH731" s="34"/>
      <c r="DI731" s="34"/>
      <c r="DJ731" s="34"/>
      <c r="DK731" s="33"/>
      <c r="DL731" s="33"/>
      <c r="DM731" s="33"/>
      <c r="DN731" s="12">
        <v>5303062</v>
      </c>
      <c r="DS731" s="21"/>
      <c r="DT731" s="21"/>
      <c r="DU731" s="21"/>
    </row>
    <row r="732" spans="72:125" ht="13.5" customHeight="1">
      <c r="BT732" s="12">
        <v>5304062</v>
      </c>
      <c r="BU732" s="3">
        <f>[1]monsters!$N732</f>
        <v>256</v>
      </c>
      <c r="BV732" s="3">
        <f>[1]monsters!$O732</f>
        <v>25.6</v>
      </c>
      <c r="BW732" s="3">
        <f>[1]monsters!$P732</f>
        <v>3072</v>
      </c>
      <c r="BX732" s="3">
        <f>[1]monsters!$Q732</f>
        <v>307.2</v>
      </c>
      <c r="BY732" s="3">
        <f>[1]monsters!$R732</f>
        <v>85.33</v>
      </c>
      <c r="BZ732" s="3">
        <f>[1]monsters!$S732</f>
        <v>8.5299999999999994</v>
      </c>
      <c r="CA732" s="3">
        <f>[1]monsters!$K732</f>
        <v>1.5</v>
      </c>
      <c r="CB732" s="12">
        <f>[1]monsters!$D732</f>
        <v>2</v>
      </c>
      <c r="CC732" s="12">
        <f t="shared" ca="1" si="61"/>
        <v>0.1</v>
      </c>
      <c r="CD732" s="12">
        <f t="shared" ca="1" si="62"/>
        <v>92.521378226711406</v>
      </c>
      <c r="CE732" s="12">
        <f t="shared" ca="1" si="63"/>
        <v>9.2521378226711395</v>
      </c>
      <c r="CS732" s="33"/>
      <c r="CT732" s="33"/>
      <c r="CU732" s="33"/>
      <c r="CV732" s="32"/>
      <c r="CW732" s="32"/>
      <c r="CX732" s="32"/>
      <c r="CY732" s="34"/>
      <c r="CZ732" s="34"/>
      <c r="DA732" s="34"/>
      <c r="DB732" s="33"/>
      <c r="DC732" s="33"/>
      <c r="DD732" s="33"/>
      <c r="DE732" s="33"/>
      <c r="DF732" s="33"/>
      <c r="DG732" s="33"/>
      <c r="DH732" s="34"/>
      <c r="DI732" s="34"/>
      <c r="DJ732" s="34"/>
      <c r="DK732" s="33"/>
      <c r="DL732" s="33"/>
      <c r="DM732" s="33"/>
      <c r="DN732" s="12">
        <v>5304062</v>
      </c>
      <c r="DS732" s="21"/>
      <c r="DT732" s="21"/>
      <c r="DU732" s="21"/>
    </row>
    <row r="733" spans="72:125" ht="13.5" customHeight="1">
      <c r="BT733" s="12">
        <v>5503062</v>
      </c>
      <c r="BU733" s="3">
        <f>[1]monsters!$N733</f>
        <v>256</v>
      </c>
      <c r="BV733" s="3">
        <f>[1]monsters!$O733</f>
        <v>25.6</v>
      </c>
      <c r="BW733" s="3">
        <f>[1]monsters!$P733</f>
        <v>3072</v>
      </c>
      <c r="BX733" s="3">
        <f>[1]monsters!$Q733</f>
        <v>307.2</v>
      </c>
      <c r="BY733" s="3">
        <f>[1]monsters!$R733</f>
        <v>85.33</v>
      </c>
      <c r="BZ733" s="3">
        <f>[1]monsters!$S733</f>
        <v>8.5299999999999994</v>
      </c>
      <c r="CA733" s="3">
        <f>[1]monsters!$K733</f>
        <v>1.5</v>
      </c>
      <c r="CB733" s="12">
        <f>[1]monsters!$D733</f>
        <v>2</v>
      </c>
      <c r="CC733" s="12">
        <f t="shared" ca="1" si="61"/>
        <v>0.1</v>
      </c>
      <c r="CD733" s="12">
        <f t="shared" ca="1" si="62"/>
        <v>106.246033670034</v>
      </c>
      <c r="CE733" s="12">
        <f t="shared" ca="1" si="63"/>
        <v>10.624603367003401</v>
      </c>
      <c r="CS733" s="33"/>
      <c r="CT733" s="33"/>
      <c r="CU733" s="33"/>
      <c r="CV733" s="32"/>
      <c r="CW733" s="32"/>
      <c r="CX733" s="32"/>
      <c r="CY733" s="34"/>
      <c r="CZ733" s="34"/>
      <c r="DA733" s="34"/>
      <c r="DB733" s="33"/>
      <c r="DC733" s="33"/>
      <c r="DD733" s="33"/>
      <c r="DE733" s="33"/>
      <c r="DF733" s="33"/>
      <c r="DG733" s="33"/>
      <c r="DH733" s="34"/>
      <c r="DI733" s="34"/>
      <c r="DJ733" s="34"/>
      <c r="DK733" s="33"/>
      <c r="DL733" s="33"/>
      <c r="DM733" s="33"/>
      <c r="DN733" s="12">
        <v>5503062</v>
      </c>
      <c r="DS733" s="21"/>
      <c r="DT733" s="21"/>
      <c r="DU733" s="21"/>
    </row>
    <row r="734" spans="72:125" ht="13.5" customHeight="1">
      <c r="BT734" s="12">
        <v>5504062</v>
      </c>
      <c r="BU734" s="3">
        <f>[1]monsters!$N734</f>
        <v>256</v>
      </c>
      <c r="BV734" s="3">
        <f>[1]monsters!$O734</f>
        <v>25.6</v>
      </c>
      <c r="BW734" s="3">
        <f>[1]monsters!$P734</f>
        <v>3072</v>
      </c>
      <c r="BX734" s="3">
        <f>[1]monsters!$Q734</f>
        <v>307.2</v>
      </c>
      <c r="BY734" s="3">
        <f>[1]monsters!$R734</f>
        <v>85.33</v>
      </c>
      <c r="BZ734" s="3">
        <f>[1]monsters!$S734</f>
        <v>8.5299999999999994</v>
      </c>
      <c r="CA734" s="3">
        <f>[1]monsters!$K734</f>
        <v>1.5</v>
      </c>
      <c r="CB734" s="12">
        <f>[1]monsters!$D734</f>
        <v>2</v>
      </c>
      <c r="CC734" s="12">
        <f t="shared" ca="1" si="61"/>
        <v>0.1</v>
      </c>
      <c r="CD734" s="12">
        <f t="shared" ca="1" si="62"/>
        <v>115.318033670034</v>
      </c>
      <c r="CE734" s="12">
        <f t="shared" ca="1" si="63"/>
        <v>11.5318033670034</v>
      </c>
      <c r="CS734" s="33"/>
      <c r="CT734" s="33"/>
      <c r="CU734" s="33"/>
      <c r="CV734" s="32"/>
      <c r="CW734" s="32"/>
      <c r="CX734" s="32"/>
      <c r="CY734" s="34"/>
      <c r="CZ734" s="34"/>
      <c r="DA734" s="34"/>
      <c r="DB734" s="33"/>
      <c r="DC734" s="33"/>
      <c r="DD734" s="33"/>
      <c r="DE734" s="33"/>
      <c r="DF734" s="33"/>
      <c r="DG734" s="33"/>
      <c r="DH734" s="34"/>
      <c r="DI734" s="34"/>
      <c r="DJ734" s="34"/>
      <c r="DK734" s="33"/>
      <c r="DL734" s="33"/>
      <c r="DM734" s="33"/>
      <c r="DN734" s="12">
        <v>5504062</v>
      </c>
      <c r="DS734" s="21"/>
      <c r="DT734" s="21"/>
      <c r="DU734" s="21"/>
    </row>
    <row r="735" spans="72:125" ht="13.5" customHeight="1">
      <c r="BT735" s="12">
        <v>5101062</v>
      </c>
      <c r="BU735" s="3">
        <f>[1]monsters!$N735</f>
        <v>256</v>
      </c>
      <c r="BV735" s="3">
        <f>[1]monsters!$O735</f>
        <v>25.6</v>
      </c>
      <c r="BW735" s="3">
        <f>[1]monsters!$P735</f>
        <v>3072</v>
      </c>
      <c r="BX735" s="3">
        <f>[1]monsters!$Q735</f>
        <v>307.2</v>
      </c>
      <c r="BY735" s="3">
        <f>[1]monsters!$R735</f>
        <v>85.33</v>
      </c>
      <c r="BZ735" s="3">
        <f>[1]monsters!$S735</f>
        <v>8.5299999999999994</v>
      </c>
      <c r="CA735" s="3">
        <f>[1]monsters!$K735</f>
        <v>1.5</v>
      </c>
      <c r="CB735" s="12">
        <f>[1]monsters!$D735</f>
        <v>2</v>
      </c>
      <c r="CC735" s="12">
        <f t="shared" ca="1" si="61"/>
        <v>0.1</v>
      </c>
      <c r="CD735" s="12">
        <f t="shared" ca="1" si="62"/>
        <v>100.88404040403999</v>
      </c>
      <c r="CE735" s="12">
        <f t="shared" ca="1" si="63"/>
        <v>10.088404040404001</v>
      </c>
      <c r="CS735" s="33"/>
      <c r="CT735" s="33"/>
      <c r="CU735" s="33"/>
      <c r="CV735" s="32"/>
      <c r="CW735" s="32"/>
      <c r="CX735" s="32"/>
      <c r="CY735" s="34"/>
      <c r="CZ735" s="34"/>
      <c r="DA735" s="34"/>
      <c r="DB735" s="33"/>
      <c r="DC735" s="33"/>
      <c r="DD735" s="33"/>
      <c r="DE735" s="33"/>
      <c r="DF735" s="33"/>
      <c r="DG735" s="33"/>
      <c r="DH735" s="34"/>
      <c r="DI735" s="34"/>
      <c r="DJ735" s="34"/>
      <c r="DK735" s="34"/>
      <c r="DL735" s="34"/>
      <c r="DM735" s="34"/>
      <c r="DN735" s="12">
        <v>5101062</v>
      </c>
      <c r="DS735" s="21"/>
      <c r="DT735" s="21"/>
      <c r="DU735" s="21"/>
    </row>
    <row r="736" spans="72:125" ht="13.5" customHeight="1">
      <c r="BT736" s="12">
        <v>5102062</v>
      </c>
      <c r="BU736" s="3">
        <f>[1]monsters!$N736</f>
        <v>256</v>
      </c>
      <c r="BV736" s="3">
        <f>[1]monsters!$O736</f>
        <v>25.6</v>
      </c>
      <c r="BW736" s="3">
        <f>[1]monsters!$P736</f>
        <v>3072</v>
      </c>
      <c r="BX736" s="3">
        <f>[1]monsters!$Q736</f>
        <v>307.2</v>
      </c>
      <c r="BY736" s="3">
        <f>[1]monsters!$R736</f>
        <v>85.33</v>
      </c>
      <c r="BZ736" s="3">
        <f>[1]monsters!$S736</f>
        <v>8.5299999999999994</v>
      </c>
      <c r="CA736" s="3">
        <f>[1]monsters!$K736</f>
        <v>1.5</v>
      </c>
      <c r="CB736" s="12">
        <f>[1]monsters!$D736</f>
        <v>2</v>
      </c>
      <c r="CC736" s="12">
        <f t="shared" ca="1" si="61"/>
        <v>0.1</v>
      </c>
      <c r="CD736" s="12">
        <f t="shared" ca="1" si="62"/>
        <v>93.324040404040403</v>
      </c>
      <c r="CE736" s="12">
        <f t="shared" ca="1" si="63"/>
        <v>9.3324040404040396</v>
      </c>
      <c r="CS736" s="33"/>
      <c r="CT736" s="33"/>
      <c r="CU736" s="33"/>
      <c r="CV736" s="32"/>
      <c r="CW736" s="32"/>
      <c r="CX736" s="32"/>
      <c r="CY736" s="34"/>
      <c r="CZ736" s="34"/>
      <c r="DA736" s="34"/>
      <c r="DB736" s="33"/>
      <c r="DC736" s="33"/>
      <c r="DD736" s="33"/>
      <c r="DE736" s="33"/>
      <c r="DF736" s="33"/>
      <c r="DG736" s="33"/>
      <c r="DH736" s="34"/>
      <c r="DI736" s="34"/>
      <c r="DJ736" s="34"/>
      <c r="DK736" s="34"/>
      <c r="DL736" s="34"/>
      <c r="DM736" s="34"/>
      <c r="DN736" s="12">
        <v>5102062</v>
      </c>
      <c r="DS736" s="21"/>
      <c r="DT736" s="21"/>
      <c r="DU736" s="21"/>
    </row>
    <row r="737" spans="72:125" ht="13.5" customHeight="1">
      <c r="BT737" s="12">
        <v>5206063</v>
      </c>
      <c r="BU737" s="3">
        <f>[1]monsters!$N737</f>
        <v>85.33</v>
      </c>
      <c r="BV737" s="3">
        <f>[1]monsters!$O737</f>
        <v>8.5299999999999994</v>
      </c>
      <c r="BW737" s="3">
        <f>[1]monsters!$P737</f>
        <v>960</v>
      </c>
      <c r="BX737" s="3">
        <f>[1]monsters!$Q737</f>
        <v>96</v>
      </c>
      <c r="BY737" s="3">
        <f>[1]monsters!$R737</f>
        <v>28.44</v>
      </c>
      <c r="BZ737" s="3">
        <f>[1]monsters!$S737</f>
        <v>2.84</v>
      </c>
      <c r="CA737" s="3">
        <f>[1]monsters!$K737</f>
        <v>1.6</v>
      </c>
      <c r="CB737" s="12">
        <f>[1]monsters!$D737</f>
        <v>2</v>
      </c>
      <c r="CC737" s="12">
        <f t="shared" ca="1" si="61"/>
        <v>0.1</v>
      </c>
      <c r="CD737" s="12">
        <f t="shared" ca="1" si="62"/>
        <v>101.913050505051</v>
      </c>
      <c r="CE737" s="12">
        <f t="shared" ca="1" si="63"/>
        <v>10.1913050505051</v>
      </c>
      <c r="CS737" s="33"/>
      <c r="CT737" s="33"/>
      <c r="CU737" s="33"/>
      <c r="CV737" s="32"/>
      <c r="CW737" s="32"/>
      <c r="CX737" s="32"/>
      <c r="CY737" s="34"/>
      <c r="CZ737" s="34"/>
      <c r="DA737" s="34"/>
      <c r="DB737" s="33"/>
      <c r="DC737" s="33"/>
      <c r="DD737" s="33"/>
      <c r="DE737" s="33"/>
      <c r="DF737" s="33"/>
      <c r="DG737" s="33"/>
      <c r="DH737" s="34"/>
      <c r="DI737" s="34"/>
      <c r="DJ737" s="34"/>
      <c r="DK737" s="34"/>
      <c r="DL737" s="34"/>
      <c r="DM737" s="34"/>
      <c r="DN737" s="12">
        <v>5206063</v>
      </c>
      <c r="DS737" s="21"/>
      <c r="DT737" s="21"/>
      <c r="DU737" s="21"/>
    </row>
    <row r="738" spans="72:125" ht="13.5" customHeight="1">
      <c r="BT738" s="12">
        <v>5406063</v>
      </c>
      <c r="BU738" s="3">
        <f>[1]monsters!$N738</f>
        <v>85.33</v>
      </c>
      <c r="BV738" s="3">
        <f>[1]monsters!$O738</f>
        <v>8.5299999999999994</v>
      </c>
      <c r="BW738" s="3">
        <f>[1]monsters!$P738</f>
        <v>960</v>
      </c>
      <c r="BX738" s="3">
        <f>[1]monsters!$Q738</f>
        <v>96</v>
      </c>
      <c r="BY738" s="3">
        <f>[1]monsters!$R738</f>
        <v>28.44</v>
      </c>
      <c r="BZ738" s="3">
        <f>[1]monsters!$S738</f>
        <v>2.84</v>
      </c>
      <c r="CA738" s="3">
        <f>[1]monsters!$K738</f>
        <v>1.6</v>
      </c>
      <c r="CB738" s="12">
        <f>[1]monsters!$D738</f>
        <v>2</v>
      </c>
      <c r="CC738" s="12">
        <f t="shared" ca="1" si="61"/>
        <v>0.1</v>
      </c>
      <c r="CD738" s="12">
        <f t="shared" ca="1" si="62"/>
        <v>94.942945821854906</v>
      </c>
      <c r="CE738" s="12">
        <f t="shared" ca="1" si="63"/>
        <v>9.4942945821854892</v>
      </c>
      <c r="CS738" s="33"/>
      <c r="CT738" s="33"/>
      <c r="CU738" s="33"/>
      <c r="CV738" s="32"/>
      <c r="CW738" s="32"/>
      <c r="CX738" s="32"/>
      <c r="CY738" s="34"/>
      <c r="CZ738" s="34"/>
      <c r="DA738" s="34"/>
      <c r="DB738" s="33"/>
      <c r="DC738" s="33"/>
      <c r="DD738" s="33"/>
      <c r="DE738" s="33"/>
      <c r="DF738" s="33"/>
      <c r="DG738" s="33"/>
      <c r="DH738" s="34"/>
      <c r="DI738" s="34"/>
      <c r="DJ738" s="34"/>
      <c r="DK738" s="34"/>
      <c r="DL738" s="34"/>
      <c r="DM738" s="34"/>
      <c r="DN738" s="12">
        <v>5406063</v>
      </c>
      <c r="DS738" s="21"/>
      <c r="DT738" s="21"/>
      <c r="DU738" s="21"/>
    </row>
    <row r="739" spans="72:125" ht="13.5" customHeight="1">
      <c r="BT739" s="12">
        <v>5205063</v>
      </c>
      <c r="BU739" s="3">
        <f>[1]monsters!$N739</f>
        <v>85.33</v>
      </c>
      <c r="BV739" s="3">
        <f>[1]monsters!$O739</f>
        <v>8.5299999999999994</v>
      </c>
      <c r="BW739" s="3">
        <f>[1]monsters!$P739</f>
        <v>960</v>
      </c>
      <c r="BX739" s="3">
        <f>[1]monsters!$Q739</f>
        <v>96</v>
      </c>
      <c r="BY739" s="3">
        <f>[1]monsters!$R739</f>
        <v>28.44</v>
      </c>
      <c r="BZ739" s="3">
        <f>[1]monsters!$S739</f>
        <v>2.84</v>
      </c>
      <c r="CA739" s="3">
        <f>[1]monsters!$K739</f>
        <v>1.6</v>
      </c>
      <c r="CB739" s="12">
        <f>[1]monsters!$D739</f>
        <v>2</v>
      </c>
      <c r="CC739" s="12">
        <f t="shared" ca="1" si="61"/>
        <v>0.1</v>
      </c>
      <c r="CD739" s="12">
        <f t="shared" ca="1" si="62"/>
        <v>110.98505050505101</v>
      </c>
      <c r="CE739" s="12">
        <f t="shared" ca="1" si="63"/>
        <v>11.0985050505051</v>
      </c>
      <c r="CS739" s="33"/>
      <c r="CT739" s="33"/>
      <c r="CU739" s="33"/>
      <c r="CV739" s="32"/>
      <c r="CW739" s="32"/>
      <c r="CX739" s="32"/>
      <c r="CY739" s="34"/>
      <c r="CZ739" s="34"/>
      <c r="DA739" s="34"/>
      <c r="DB739" s="33"/>
      <c r="DC739" s="33"/>
      <c r="DD739" s="33"/>
      <c r="DE739" s="33"/>
      <c r="DF739" s="33"/>
      <c r="DG739" s="33"/>
      <c r="DH739" s="34"/>
      <c r="DI739" s="34"/>
      <c r="DJ739" s="34"/>
      <c r="DK739" s="34"/>
      <c r="DL739" s="34"/>
      <c r="DM739" s="34"/>
      <c r="DN739" s="12">
        <v>5205063</v>
      </c>
      <c r="DS739" s="21"/>
      <c r="DT739" s="21"/>
      <c r="DU739" s="21"/>
    </row>
    <row r="740" spans="72:125" ht="13.5" customHeight="1">
      <c r="BT740" s="12">
        <v>5405063</v>
      </c>
      <c r="BU740" s="3">
        <f>[1]monsters!$N740</f>
        <v>85.33</v>
      </c>
      <c r="BV740" s="3">
        <f>[1]monsters!$O740</f>
        <v>8.5299999999999994</v>
      </c>
      <c r="BW740" s="3">
        <f>[1]monsters!$P740</f>
        <v>960</v>
      </c>
      <c r="BX740" s="3">
        <f>[1]monsters!$Q740</f>
        <v>96</v>
      </c>
      <c r="BY740" s="3">
        <f>[1]monsters!$R740</f>
        <v>28.44</v>
      </c>
      <c r="BZ740" s="3">
        <f>[1]monsters!$S740</f>
        <v>2.84</v>
      </c>
      <c r="CA740" s="3">
        <f>[1]monsters!$K740</f>
        <v>1.6</v>
      </c>
      <c r="CB740" s="12">
        <f>[1]monsters!$D740</f>
        <v>2</v>
      </c>
      <c r="CC740" s="12">
        <f t="shared" ca="1" si="61"/>
        <v>0.1</v>
      </c>
      <c r="CD740" s="12">
        <f t="shared" ca="1" si="62"/>
        <v>99.100945821854907</v>
      </c>
      <c r="CE740" s="12">
        <f t="shared" ca="1" si="63"/>
        <v>9.91009458218549</v>
      </c>
      <c r="CS740" s="33"/>
      <c r="CT740" s="33"/>
      <c r="CU740" s="33"/>
      <c r="CV740" s="32"/>
      <c r="CW740" s="32"/>
      <c r="CX740" s="32"/>
      <c r="CY740" s="34"/>
      <c r="CZ740" s="34"/>
      <c r="DA740" s="34"/>
      <c r="DB740" s="33"/>
      <c r="DC740" s="33"/>
      <c r="DD740" s="33"/>
      <c r="DE740" s="33"/>
      <c r="DF740" s="33"/>
      <c r="DG740" s="33"/>
      <c r="DH740" s="34"/>
      <c r="DI740" s="34"/>
      <c r="DJ740" s="34"/>
      <c r="DK740" s="34"/>
      <c r="DL740" s="34"/>
      <c r="DM740" s="34"/>
      <c r="DN740" s="12">
        <v>5405063</v>
      </c>
      <c r="DS740" s="21"/>
      <c r="DT740" s="21"/>
      <c r="DU740" s="21"/>
    </row>
    <row r="741" spans="72:125" ht="13.5" customHeight="1">
      <c r="BT741" s="12">
        <v>5203063</v>
      </c>
      <c r="BU741" s="3">
        <f>[1]monsters!$N741</f>
        <v>85.33</v>
      </c>
      <c r="BV741" s="3">
        <f>[1]monsters!$O741</f>
        <v>8.5299999999999994</v>
      </c>
      <c r="BW741" s="3">
        <f>[1]monsters!$P741</f>
        <v>960</v>
      </c>
      <c r="BX741" s="3">
        <f>[1]monsters!$Q741</f>
        <v>96</v>
      </c>
      <c r="BY741" s="3">
        <f>[1]monsters!$R741</f>
        <v>28.44</v>
      </c>
      <c r="BZ741" s="3">
        <f>[1]monsters!$S741</f>
        <v>2.84</v>
      </c>
      <c r="CA741" s="3">
        <f>[1]monsters!$K741</f>
        <v>1.6</v>
      </c>
      <c r="CB741" s="12">
        <f>[1]monsters!$D741</f>
        <v>2</v>
      </c>
      <c r="CC741" s="12">
        <f t="shared" ca="1" si="61"/>
        <v>0.1</v>
      </c>
      <c r="CD741" s="12">
        <f t="shared" ca="1" si="62"/>
        <v>89.817050505050503</v>
      </c>
      <c r="CE741" s="12">
        <f t="shared" ca="1" si="63"/>
        <v>8.9817050505050506</v>
      </c>
      <c r="CS741" s="33"/>
      <c r="CT741" s="33"/>
      <c r="CU741" s="33"/>
      <c r="CV741" s="32"/>
      <c r="CW741" s="32"/>
      <c r="CX741" s="32"/>
      <c r="CY741" s="34"/>
      <c r="CZ741" s="34"/>
      <c r="DA741" s="34"/>
      <c r="DB741" s="33"/>
      <c r="DC741" s="33"/>
      <c r="DD741" s="33"/>
      <c r="DE741" s="33"/>
      <c r="DF741" s="33"/>
      <c r="DG741" s="33"/>
      <c r="DH741" s="34"/>
      <c r="DI741" s="34"/>
      <c r="DJ741" s="34"/>
      <c r="DK741" s="34"/>
      <c r="DL741" s="34"/>
      <c r="DM741" s="34"/>
      <c r="DN741" s="12">
        <v>5203063</v>
      </c>
      <c r="DS741" s="21"/>
      <c r="DT741" s="21"/>
      <c r="DU741" s="21"/>
    </row>
    <row r="742" spans="72:125" ht="13.5" customHeight="1">
      <c r="BT742" s="12">
        <v>5403063</v>
      </c>
      <c r="BU742" s="3">
        <f>[1]monsters!$N742</f>
        <v>93.87</v>
      </c>
      <c r="BV742" s="3">
        <f>[1]monsters!$O742</f>
        <v>9.39</v>
      </c>
      <c r="BW742" s="3">
        <f>[1]monsters!$P742</f>
        <v>1056</v>
      </c>
      <c r="BX742" s="3">
        <f>[1]monsters!$Q742</f>
        <v>105.6</v>
      </c>
      <c r="BY742" s="3">
        <f>[1]monsters!$R742</f>
        <v>31.29</v>
      </c>
      <c r="BZ742" s="3">
        <f>[1]monsters!$S742</f>
        <v>3.13</v>
      </c>
      <c r="CA742" s="3">
        <f>[1]monsters!$K742</f>
        <v>1.6</v>
      </c>
      <c r="CB742" s="12">
        <f>[1]monsters!$D742</f>
        <v>2</v>
      </c>
      <c r="CC742" s="12">
        <f t="shared" ca="1" si="61"/>
        <v>0.1</v>
      </c>
      <c r="CD742" s="12">
        <f t="shared" ca="1" si="62"/>
        <v>82.468945821854902</v>
      </c>
      <c r="CE742" s="12">
        <f t="shared" ca="1" si="63"/>
        <v>8.2468945821854902</v>
      </c>
      <c r="CS742" s="33"/>
      <c r="CT742" s="33"/>
      <c r="CU742" s="33"/>
      <c r="CV742" s="32"/>
      <c r="CW742" s="32"/>
      <c r="CX742" s="32"/>
      <c r="CY742" s="34"/>
      <c r="CZ742" s="34"/>
      <c r="DA742" s="34"/>
      <c r="DB742" s="33"/>
      <c r="DC742" s="33"/>
      <c r="DD742" s="33"/>
      <c r="DE742" s="33"/>
      <c r="DF742" s="33"/>
      <c r="DG742" s="33"/>
      <c r="DH742" s="34"/>
      <c r="DI742" s="34"/>
      <c r="DJ742" s="34"/>
      <c r="DK742" s="34"/>
      <c r="DL742" s="34"/>
      <c r="DM742" s="34"/>
      <c r="DN742" s="12">
        <v>5403063</v>
      </c>
      <c r="DS742" s="21"/>
      <c r="DT742" s="21"/>
      <c r="DU742" s="21"/>
    </row>
    <row r="743" spans="72:125" ht="13.5" customHeight="1">
      <c r="BT743" s="12">
        <v>5204063</v>
      </c>
      <c r="BU743" s="3">
        <f>[1]monsters!$N743</f>
        <v>93.87</v>
      </c>
      <c r="BV743" s="3">
        <f>[1]monsters!$O743</f>
        <v>9.39</v>
      </c>
      <c r="BW743" s="3">
        <f>[1]monsters!$P743</f>
        <v>1056</v>
      </c>
      <c r="BX743" s="3">
        <f>[1]monsters!$Q743</f>
        <v>105.6</v>
      </c>
      <c r="BY743" s="3">
        <f>[1]monsters!$R743</f>
        <v>31.29</v>
      </c>
      <c r="BZ743" s="3">
        <f>[1]monsters!$S743</f>
        <v>3.13</v>
      </c>
      <c r="CA743" s="3">
        <f>[1]monsters!$K743</f>
        <v>1.6</v>
      </c>
      <c r="CB743" s="12">
        <f>[1]monsters!$D743</f>
        <v>2</v>
      </c>
      <c r="CC743" s="12">
        <f t="shared" ca="1" si="61"/>
        <v>0.1</v>
      </c>
      <c r="CD743" s="12">
        <f t="shared" ca="1" si="62"/>
        <v>92.841050505050504</v>
      </c>
      <c r="CE743" s="12">
        <f t="shared" ca="1" si="63"/>
        <v>9.2841050505050493</v>
      </c>
      <c r="CS743" s="33"/>
      <c r="CT743" s="33"/>
      <c r="CU743" s="33"/>
      <c r="CV743" s="32"/>
      <c r="CW743" s="32"/>
      <c r="CX743" s="32"/>
      <c r="CY743" s="34"/>
      <c r="CZ743" s="34"/>
      <c r="DA743" s="34"/>
      <c r="DB743" s="33"/>
      <c r="DC743" s="33"/>
      <c r="DD743" s="33"/>
      <c r="DE743" s="33"/>
      <c r="DF743" s="33"/>
      <c r="DG743" s="33"/>
      <c r="DH743" s="34"/>
      <c r="DI743" s="34"/>
      <c r="DJ743" s="34"/>
      <c r="DK743" s="34"/>
      <c r="DL743" s="34"/>
      <c r="DM743" s="34"/>
      <c r="DN743" s="12">
        <v>5204063</v>
      </c>
      <c r="DS743" s="21"/>
      <c r="DT743" s="21"/>
      <c r="DU743" s="21"/>
    </row>
    <row r="744" spans="72:125" ht="13.5" customHeight="1">
      <c r="BT744" s="12">
        <v>5404063</v>
      </c>
      <c r="BU744" s="3">
        <f>[1]monsters!$N744</f>
        <v>93.87</v>
      </c>
      <c r="BV744" s="3">
        <f>[1]monsters!$O744</f>
        <v>9.39</v>
      </c>
      <c r="BW744" s="3">
        <f>[1]monsters!$P744</f>
        <v>1056</v>
      </c>
      <c r="BX744" s="3">
        <f>[1]monsters!$Q744</f>
        <v>105.6</v>
      </c>
      <c r="BY744" s="3">
        <f>[1]monsters!$R744</f>
        <v>31.29</v>
      </c>
      <c r="BZ744" s="3">
        <f>[1]monsters!$S744</f>
        <v>3.13</v>
      </c>
      <c r="CA744" s="3">
        <f>[1]monsters!$K744</f>
        <v>1.6</v>
      </c>
      <c r="CB744" s="12">
        <f>[1]monsters!$D744</f>
        <v>2</v>
      </c>
      <c r="CC744" s="12">
        <f t="shared" ca="1" si="61"/>
        <v>0.1</v>
      </c>
      <c r="CD744" s="12">
        <f t="shared" ca="1" si="62"/>
        <v>99.100945821854907</v>
      </c>
      <c r="CE744" s="12">
        <f t="shared" ca="1" si="63"/>
        <v>9.91009458218549</v>
      </c>
      <c r="CS744" s="33"/>
      <c r="CT744" s="33"/>
      <c r="CU744" s="33"/>
      <c r="CV744" s="32"/>
      <c r="CW744" s="32"/>
      <c r="CX744" s="32"/>
      <c r="CY744" s="34"/>
      <c r="CZ744" s="34"/>
      <c r="DA744" s="34"/>
      <c r="DB744" s="33"/>
      <c r="DC744" s="33"/>
      <c r="DD744" s="33"/>
      <c r="DE744" s="33"/>
      <c r="DF744" s="33"/>
      <c r="DG744" s="33"/>
      <c r="DH744" s="34"/>
      <c r="DI744" s="34"/>
      <c r="DJ744" s="34"/>
      <c r="DK744" s="34"/>
      <c r="DL744" s="34"/>
      <c r="DM744" s="34"/>
      <c r="DN744" s="12">
        <v>5404063</v>
      </c>
      <c r="DS744" s="21"/>
      <c r="DT744" s="21"/>
      <c r="DU744" s="21"/>
    </row>
    <row r="745" spans="72:125" ht="13.5" customHeight="1">
      <c r="BT745" s="12">
        <v>5303063</v>
      </c>
      <c r="BU745" s="3">
        <f>[1]monsters!$N745</f>
        <v>93.87</v>
      </c>
      <c r="BV745" s="3">
        <f>[1]monsters!$O745</f>
        <v>9.39</v>
      </c>
      <c r="BW745" s="3">
        <f>[1]monsters!$P745</f>
        <v>1056</v>
      </c>
      <c r="BX745" s="3">
        <f>[1]monsters!$Q745</f>
        <v>105.6</v>
      </c>
      <c r="BY745" s="3">
        <f>[1]monsters!$R745</f>
        <v>31.29</v>
      </c>
      <c r="BZ745" s="3">
        <f>[1]monsters!$S745</f>
        <v>3.13</v>
      </c>
      <c r="CA745" s="3">
        <f>[1]monsters!$K745</f>
        <v>1.6</v>
      </c>
      <c r="CB745" s="12">
        <f>[1]monsters!$D745</f>
        <v>2</v>
      </c>
      <c r="CC745" s="12">
        <f t="shared" ca="1" si="61"/>
        <v>0.1</v>
      </c>
      <c r="CD745" s="12">
        <f t="shared" ca="1" si="62"/>
        <v>89.119378226711405</v>
      </c>
      <c r="CE745" s="12">
        <f t="shared" ca="1" si="63"/>
        <v>8.9119378226711508</v>
      </c>
      <c r="CS745" s="33"/>
      <c r="CT745" s="33"/>
      <c r="CU745" s="33"/>
      <c r="CV745" s="32"/>
      <c r="CW745" s="32"/>
      <c r="CX745" s="32"/>
      <c r="CY745" s="34"/>
      <c r="CZ745" s="34"/>
      <c r="DA745" s="34"/>
      <c r="DB745" s="33"/>
      <c r="DC745" s="33"/>
      <c r="DD745" s="33"/>
      <c r="DE745" s="33"/>
      <c r="DF745" s="33"/>
      <c r="DG745" s="33"/>
      <c r="DH745" s="34"/>
      <c r="DI745" s="34"/>
      <c r="DJ745" s="34"/>
      <c r="DK745" s="34"/>
      <c r="DL745" s="34"/>
      <c r="DM745" s="34"/>
      <c r="DN745" s="12">
        <v>5303063</v>
      </c>
      <c r="DS745" s="21"/>
      <c r="DT745" s="21"/>
      <c r="DU745" s="21"/>
    </row>
    <row r="746" spans="72:125" ht="13.5" customHeight="1">
      <c r="BT746" s="12">
        <v>5304063</v>
      </c>
      <c r="BU746" s="3">
        <f>[1]monsters!$N746</f>
        <v>93.87</v>
      </c>
      <c r="BV746" s="3">
        <f>[1]monsters!$O746</f>
        <v>9.39</v>
      </c>
      <c r="BW746" s="3">
        <f>[1]monsters!$P746</f>
        <v>1056</v>
      </c>
      <c r="BX746" s="3">
        <f>[1]monsters!$Q746</f>
        <v>105.6</v>
      </c>
      <c r="BY746" s="3">
        <f>[1]monsters!$R746</f>
        <v>31.29</v>
      </c>
      <c r="BZ746" s="3">
        <f>[1]monsters!$S746</f>
        <v>3.13</v>
      </c>
      <c r="CA746" s="3">
        <f>[1]monsters!$K746</f>
        <v>1.6</v>
      </c>
      <c r="CB746" s="12">
        <f>[1]monsters!$D746</f>
        <v>2</v>
      </c>
      <c r="CC746" s="12">
        <f t="shared" ca="1" si="61"/>
        <v>0.1</v>
      </c>
      <c r="CD746" s="12">
        <f t="shared" ca="1" si="62"/>
        <v>92.521378226711406</v>
      </c>
      <c r="CE746" s="12">
        <f t="shared" ca="1" si="63"/>
        <v>9.2521378226711395</v>
      </c>
      <c r="CS746" s="33"/>
      <c r="CT746" s="33"/>
      <c r="CU746" s="33"/>
      <c r="CV746" s="32"/>
      <c r="CW746" s="32"/>
      <c r="CX746" s="32"/>
      <c r="CY746" s="34"/>
      <c r="CZ746" s="34"/>
      <c r="DA746" s="34"/>
      <c r="DB746" s="33"/>
      <c r="DC746" s="33"/>
      <c r="DD746" s="33"/>
      <c r="DE746" s="33"/>
      <c r="DF746" s="33"/>
      <c r="DG746" s="33"/>
      <c r="DH746" s="34"/>
      <c r="DI746" s="34"/>
      <c r="DJ746" s="34"/>
      <c r="DK746" s="34"/>
      <c r="DL746" s="34"/>
      <c r="DM746" s="34"/>
      <c r="DN746" s="12">
        <v>5304063</v>
      </c>
      <c r="DS746" s="21"/>
      <c r="DT746" s="21"/>
      <c r="DU746" s="21"/>
    </row>
    <row r="747" spans="72:125" ht="13.5" customHeight="1">
      <c r="BT747" s="12">
        <v>5503063</v>
      </c>
      <c r="BU747" s="3">
        <f>[1]monsters!$N747</f>
        <v>102.4</v>
      </c>
      <c r="BV747" s="3">
        <f>[1]monsters!$O747</f>
        <v>10.24</v>
      </c>
      <c r="BW747" s="3">
        <f>[1]monsters!$P747</f>
        <v>1152</v>
      </c>
      <c r="BX747" s="3">
        <f>[1]monsters!$Q747</f>
        <v>115.2</v>
      </c>
      <c r="BY747" s="3">
        <f>[1]monsters!$R747</f>
        <v>34.130000000000003</v>
      </c>
      <c r="BZ747" s="3">
        <f>[1]monsters!$S747</f>
        <v>3.41</v>
      </c>
      <c r="CA747" s="3">
        <f>[1]monsters!$K747</f>
        <v>1.6</v>
      </c>
      <c r="CB747" s="12">
        <f>[1]monsters!$D747</f>
        <v>2</v>
      </c>
      <c r="CC747" s="12">
        <f t="shared" ca="1" si="61"/>
        <v>0.1</v>
      </c>
      <c r="CD747" s="12">
        <f t="shared" ca="1" si="62"/>
        <v>106.246033670034</v>
      </c>
      <c r="CE747" s="12">
        <f t="shared" ca="1" si="63"/>
        <v>10.624603367003401</v>
      </c>
      <c r="CS747" s="33"/>
      <c r="CT747" s="33"/>
      <c r="CU747" s="33"/>
      <c r="CV747" s="32"/>
      <c r="CW747" s="32"/>
      <c r="CX747" s="32"/>
      <c r="CY747" s="34"/>
      <c r="CZ747" s="34"/>
      <c r="DA747" s="34"/>
      <c r="DB747" s="33"/>
      <c r="DC747" s="33"/>
      <c r="DD747" s="33"/>
      <c r="DE747" s="33"/>
      <c r="DF747" s="33"/>
      <c r="DG747" s="33"/>
      <c r="DH747" s="34"/>
      <c r="DI747" s="34"/>
      <c r="DJ747" s="34"/>
      <c r="DK747" s="34"/>
      <c r="DL747" s="34"/>
      <c r="DM747" s="34"/>
      <c r="DN747" s="12">
        <v>5503063</v>
      </c>
      <c r="DS747" s="21"/>
      <c r="DT747" s="21"/>
      <c r="DU747" s="21"/>
    </row>
    <row r="748" spans="72:125" ht="13.5" customHeight="1">
      <c r="BT748" s="12">
        <v>5504063</v>
      </c>
      <c r="BU748" s="3">
        <f>[1]monsters!$N748</f>
        <v>102.4</v>
      </c>
      <c r="BV748" s="3">
        <f>[1]monsters!$O748</f>
        <v>10.24</v>
      </c>
      <c r="BW748" s="3">
        <f>[1]monsters!$P748</f>
        <v>1152</v>
      </c>
      <c r="BX748" s="3">
        <f>[1]monsters!$Q748</f>
        <v>115.2</v>
      </c>
      <c r="BY748" s="3">
        <f>[1]monsters!$R748</f>
        <v>34.130000000000003</v>
      </c>
      <c r="BZ748" s="3">
        <f>[1]monsters!$S748</f>
        <v>3.41</v>
      </c>
      <c r="CA748" s="3">
        <f>[1]monsters!$K748</f>
        <v>1.6</v>
      </c>
      <c r="CB748" s="12">
        <f>[1]monsters!$D748</f>
        <v>2</v>
      </c>
      <c r="CC748" s="12">
        <f t="shared" ca="1" si="61"/>
        <v>0.1</v>
      </c>
      <c r="CD748" s="12">
        <f t="shared" ca="1" si="62"/>
        <v>115.318033670034</v>
      </c>
      <c r="CE748" s="12">
        <f t="shared" ca="1" si="63"/>
        <v>11.5318033670034</v>
      </c>
      <c r="CS748" s="33"/>
      <c r="CT748" s="33"/>
      <c r="CU748" s="33"/>
      <c r="CV748" s="32"/>
      <c r="CW748" s="32"/>
      <c r="CX748" s="32"/>
      <c r="CY748" s="34"/>
      <c r="CZ748" s="34"/>
      <c r="DA748" s="34"/>
      <c r="DB748" s="33"/>
      <c r="DC748" s="33"/>
      <c r="DD748" s="33"/>
      <c r="DE748" s="33"/>
      <c r="DF748" s="33"/>
      <c r="DG748" s="33"/>
      <c r="DH748" s="34"/>
      <c r="DI748" s="34"/>
      <c r="DJ748" s="34"/>
      <c r="DK748" s="34"/>
      <c r="DL748" s="34"/>
      <c r="DM748" s="34"/>
      <c r="DN748" s="12">
        <v>5504063</v>
      </c>
      <c r="DS748" s="21"/>
      <c r="DT748" s="21"/>
      <c r="DU748" s="21"/>
    </row>
    <row r="749" spans="72:125" ht="13.5" customHeight="1">
      <c r="BT749" s="12">
        <v>5101063</v>
      </c>
      <c r="BU749" s="3">
        <f>[1]monsters!$N749</f>
        <v>102.4</v>
      </c>
      <c r="BV749" s="3">
        <f>[1]monsters!$O749</f>
        <v>10.24</v>
      </c>
      <c r="BW749" s="3">
        <f>[1]monsters!$P749</f>
        <v>1152</v>
      </c>
      <c r="BX749" s="3">
        <f>[1]monsters!$Q749</f>
        <v>115.2</v>
      </c>
      <c r="BY749" s="3">
        <f>[1]monsters!$R749</f>
        <v>34.130000000000003</v>
      </c>
      <c r="BZ749" s="3">
        <f>[1]monsters!$S749</f>
        <v>3.41</v>
      </c>
      <c r="CA749" s="3">
        <f>[1]monsters!$K749</f>
        <v>1.6</v>
      </c>
      <c r="CB749" s="12">
        <f>[1]monsters!$D749</f>
        <v>2</v>
      </c>
      <c r="CC749" s="12">
        <f t="shared" ca="1" si="61"/>
        <v>0.1</v>
      </c>
      <c r="CD749" s="12">
        <f t="shared" ca="1" si="62"/>
        <v>100.88404040403999</v>
      </c>
      <c r="CE749" s="12">
        <f t="shared" ca="1" si="63"/>
        <v>10.088404040404001</v>
      </c>
      <c r="CS749" s="33"/>
      <c r="CT749" s="33"/>
      <c r="CU749" s="33"/>
      <c r="CV749" s="32"/>
      <c r="CW749" s="32"/>
      <c r="CX749" s="32"/>
      <c r="CY749" s="34"/>
      <c r="CZ749" s="34"/>
      <c r="DA749" s="34"/>
      <c r="DB749" s="33"/>
      <c r="DC749" s="33"/>
      <c r="DD749" s="33"/>
      <c r="DE749" s="33"/>
      <c r="DF749" s="33"/>
      <c r="DG749" s="33"/>
      <c r="DH749" s="34"/>
      <c r="DI749" s="34"/>
      <c r="DJ749" s="34"/>
      <c r="DK749" s="34"/>
      <c r="DL749" s="34"/>
      <c r="DM749" s="34"/>
      <c r="DN749" s="12">
        <v>5101063</v>
      </c>
      <c r="DS749" s="21"/>
      <c r="DT749" s="21"/>
      <c r="DU749" s="21"/>
    </row>
    <row r="750" spans="72:125" ht="13.5" customHeight="1">
      <c r="BT750" s="12">
        <v>5102063</v>
      </c>
      <c r="BU750" s="3">
        <f>[1]monsters!$N750</f>
        <v>102.4</v>
      </c>
      <c r="BV750" s="3">
        <f>[1]monsters!$O750</f>
        <v>10.24</v>
      </c>
      <c r="BW750" s="3">
        <f>[1]monsters!$P750</f>
        <v>1152</v>
      </c>
      <c r="BX750" s="3">
        <f>[1]monsters!$Q750</f>
        <v>115.2</v>
      </c>
      <c r="BY750" s="3">
        <f>[1]monsters!$R750</f>
        <v>34.130000000000003</v>
      </c>
      <c r="BZ750" s="3">
        <f>[1]monsters!$S750</f>
        <v>3.41</v>
      </c>
      <c r="CA750" s="3">
        <f>[1]monsters!$K750</f>
        <v>1.6</v>
      </c>
      <c r="CB750" s="12">
        <f>[1]monsters!$D750</f>
        <v>2</v>
      </c>
      <c r="CC750" s="12">
        <f t="shared" ca="1" si="61"/>
        <v>0.1</v>
      </c>
      <c r="CD750" s="12">
        <f t="shared" ca="1" si="62"/>
        <v>93.324040404040403</v>
      </c>
      <c r="CE750" s="12">
        <f t="shared" ca="1" si="63"/>
        <v>9.3324040404040396</v>
      </c>
      <c r="CS750" s="33"/>
      <c r="CT750" s="33"/>
      <c r="CU750" s="33"/>
      <c r="CV750" s="32"/>
      <c r="CW750" s="32"/>
      <c r="CX750" s="32"/>
      <c r="CY750" s="34"/>
      <c r="CZ750" s="34"/>
      <c r="DA750" s="34"/>
      <c r="DB750" s="33"/>
      <c r="DC750" s="33"/>
      <c r="DD750" s="33"/>
      <c r="DE750" s="33"/>
      <c r="DF750" s="33"/>
      <c r="DG750" s="33"/>
      <c r="DH750" s="34"/>
      <c r="DI750" s="34"/>
      <c r="DJ750" s="34"/>
      <c r="DK750" s="34"/>
      <c r="DL750" s="34"/>
      <c r="DM750" s="34"/>
      <c r="DN750" s="12">
        <v>5102063</v>
      </c>
      <c r="DS750" s="21"/>
      <c r="DT750" s="21"/>
      <c r="DU750" s="21"/>
    </row>
    <row r="751" spans="72:125" ht="13.5" customHeight="1">
      <c r="BT751" s="12">
        <v>5206064</v>
      </c>
      <c r="BU751" s="3">
        <f>[1]monsters!$N751</f>
        <v>102.4</v>
      </c>
      <c r="BV751" s="3">
        <f>[1]monsters!$O751</f>
        <v>10.24</v>
      </c>
      <c r="BW751" s="3">
        <f>[1]monsters!$P751</f>
        <v>1152</v>
      </c>
      <c r="BX751" s="3">
        <f>[1]monsters!$Q751</f>
        <v>115.2</v>
      </c>
      <c r="BY751" s="3">
        <f>[1]monsters!$R751</f>
        <v>34.130000000000003</v>
      </c>
      <c r="BZ751" s="3">
        <f>[1]monsters!$S751</f>
        <v>3.41</v>
      </c>
      <c r="CA751" s="3">
        <f>[1]monsters!$K751</f>
        <v>1.6</v>
      </c>
      <c r="CB751" s="12">
        <f>[1]monsters!$D751</f>
        <v>2</v>
      </c>
      <c r="CC751" s="12">
        <f t="shared" ca="1" si="61"/>
        <v>0.1</v>
      </c>
      <c r="CD751" s="12">
        <f t="shared" ca="1" si="62"/>
        <v>101.913050505051</v>
      </c>
      <c r="CE751" s="12">
        <f t="shared" ca="1" si="63"/>
        <v>10.1913050505051</v>
      </c>
      <c r="CS751" s="33"/>
      <c r="CT751" s="33"/>
      <c r="CU751" s="33"/>
      <c r="CV751" s="32"/>
      <c r="CW751" s="32"/>
      <c r="CX751" s="32"/>
      <c r="CY751" s="34"/>
      <c r="CZ751" s="34"/>
      <c r="DA751" s="34"/>
      <c r="DB751" s="33"/>
      <c r="DC751" s="33"/>
      <c r="DD751" s="33"/>
      <c r="DE751" s="33"/>
      <c r="DF751" s="33"/>
      <c r="DG751" s="33"/>
      <c r="DH751" s="34"/>
      <c r="DI751" s="34"/>
      <c r="DJ751" s="34"/>
      <c r="DK751" s="34"/>
      <c r="DL751" s="34"/>
      <c r="DM751" s="34"/>
      <c r="DN751" s="12">
        <v>5206064</v>
      </c>
      <c r="DS751" s="21"/>
      <c r="DT751" s="21"/>
      <c r="DU751" s="21"/>
    </row>
    <row r="752" spans="72:125" ht="13.5" customHeight="1">
      <c r="BT752" s="12">
        <v>5406064</v>
      </c>
      <c r="BU752" s="3">
        <f>[1]monsters!$N752</f>
        <v>119.47</v>
      </c>
      <c r="BV752" s="3">
        <f>[1]monsters!$O752</f>
        <v>11.95</v>
      </c>
      <c r="BW752" s="3">
        <f>[1]monsters!$P752</f>
        <v>1344</v>
      </c>
      <c r="BX752" s="3">
        <f>[1]monsters!$Q752</f>
        <v>134.4</v>
      </c>
      <c r="BY752" s="3">
        <f>[1]monsters!$R752</f>
        <v>39.82</v>
      </c>
      <c r="BZ752" s="3">
        <f>[1]monsters!$S752</f>
        <v>3.98</v>
      </c>
      <c r="CA752" s="3">
        <f>[1]monsters!$K752</f>
        <v>1.6</v>
      </c>
      <c r="CB752" s="12">
        <f>[1]monsters!$D752</f>
        <v>2</v>
      </c>
      <c r="CC752" s="12">
        <f t="shared" ca="1" si="61"/>
        <v>0.1</v>
      </c>
      <c r="CD752" s="12">
        <f t="shared" ca="1" si="62"/>
        <v>94.942945821854906</v>
      </c>
      <c r="CE752" s="12">
        <f t="shared" ca="1" si="63"/>
        <v>9.4942945821854892</v>
      </c>
      <c r="CS752" s="33"/>
      <c r="CT752" s="33"/>
      <c r="CU752" s="33"/>
      <c r="CV752" s="32"/>
      <c r="CW752" s="32"/>
      <c r="CX752" s="32"/>
      <c r="CY752" s="34"/>
      <c r="CZ752" s="34"/>
      <c r="DA752" s="34"/>
      <c r="DB752" s="33"/>
      <c r="DC752" s="33"/>
      <c r="DD752" s="33"/>
      <c r="DE752" s="33"/>
      <c r="DF752" s="33"/>
      <c r="DG752" s="33"/>
      <c r="DH752" s="34"/>
      <c r="DI752" s="34"/>
      <c r="DJ752" s="34"/>
      <c r="DK752" s="34"/>
      <c r="DL752" s="34"/>
      <c r="DM752" s="34"/>
      <c r="DN752" s="12">
        <v>5406064</v>
      </c>
      <c r="DS752" s="21"/>
      <c r="DT752" s="21"/>
      <c r="DU752" s="21"/>
    </row>
    <row r="753" spans="72:125" ht="13.5" customHeight="1">
      <c r="BT753" s="12">
        <v>5205064</v>
      </c>
      <c r="BU753" s="3">
        <f>[1]monsters!$N753</f>
        <v>119.47</v>
      </c>
      <c r="BV753" s="3">
        <f>[1]monsters!$O753</f>
        <v>11.95</v>
      </c>
      <c r="BW753" s="3">
        <f>[1]monsters!$P753</f>
        <v>1344</v>
      </c>
      <c r="BX753" s="3">
        <f>[1]monsters!$Q753</f>
        <v>134.4</v>
      </c>
      <c r="BY753" s="3">
        <f>[1]monsters!$R753</f>
        <v>39.82</v>
      </c>
      <c r="BZ753" s="3">
        <f>[1]monsters!$S753</f>
        <v>3.98</v>
      </c>
      <c r="CA753" s="3">
        <f>[1]monsters!$K753</f>
        <v>1.6</v>
      </c>
      <c r="CB753" s="12">
        <f>[1]monsters!$D753</f>
        <v>2</v>
      </c>
      <c r="CC753" s="12">
        <f t="shared" ca="1" si="61"/>
        <v>0.1</v>
      </c>
      <c r="CD753" s="12">
        <f t="shared" ca="1" si="62"/>
        <v>110.98505050505101</v>
      </c>
      <c r="CE753" s="12">
        <f t="shared" ca="1" si="63"/>
        <v>11.0985050505051</v>
      </c>
      <c r="CS753" s="33"/>
      <c r="CT753" s="33"/>
      <c r="CU753" s="33"/>
      <c r="CV753" s="32"/>
      <c r="CW753" s="32"/>
      <c r="CX753" s="32"/>
      <c r="CY753" s="34"/>
      <c r="CZ753" s="34"/>
      <c r="DA753" s="34"/>
      <c r="DB753" s="33"/>
      <c r="DC753" s="33"/>
      <c r="DD753" s="33"/>
      <c r="DE753" s="33"/>
      <c r="DF753" s="33"/>
      <c r="DG753" s="33"/>
      <c r="DH753" s="34"/>
      <c r="DI753" s="34"/>
      <c r="DJ753" s="34"/>
      <c r="DK753" s="34"/>
      <c r="DL753" s="34"/>
      <c r="DM753" s="34"/>
      <c r="DN753" s="12">
        <v>5205064</v>
      </c>
      <c r="DS753" s="21"/>
      <c r="DT753" s="21"/>
      <c r="DU753" s="21"/>
    </row>
    <row r="754" spans="72:125" ht="13.5" customHeight="1">
      <c r="BT754" s="12">
        <v>5405064</v>
      </c>
      <c r="BU754" s="3">
        <f>[1]monsters!$N754</f>
        <v>119.47</v>
      </c>
      <c r="BV754" s="3">
        <f>[1]monsters!$O754</f>
        <v>11.95</v>
      </c>
      <c r="BW754" s="3">
        <f>[1]monsters!$P754</f>
        <v>1344</v>
      </c>
      <c r="BX754" s="3">
        <f>[1]monsters!$Q754</f>
        <v>134.4</v>
      </c>
      <c r="BY754" s="3">
        <f>[1]monsters!$R754</f>
        <v>39.82</v>
      </c>
      <c r="BZ754" s="3">
        <f>[1]monsters!$S754</f>
        <v>3.98</v>
      </c>
      <c r="CA754" s="3">
        <f>[1]monsters!$K754</f>
        <v>1.6</v>
      </c>
      <c r="CB754" s="12">
        <f>[1]monsters!$D754</f>
        <v>2</v>
      </c>
      <c r="CC754" s="12">
        <f t="shared" ca="1" si="61"/>
        <v>0.1</v>
      </c>
      <c r="CD754" s="12">
        <f t="shared" ca="1" si="62"/>
        <v>99.100945821854907</v>
      </c>
      <c r="CE754" s="12">
        <f t="shared" ca="1" si="63"/>
        <v>9.91009458218549</v>
      </c>
      <c r="CS754" s="33"/>
      <c r="CT754" s="33"/>
      <c r="CU754" s="33"/>
      <c r="CV754" s="32"/>
      <c r="CW754" s="32"/>
      <c r="CX754" s="32"/>
      <c r="CY754" s="34"/>
      <c r="CZ754" s="34"/>
      <c r="DA754" s="34"/>
      <c r="DB754" s="33"/>
      <c r="DC754" s="33"/>
      <c r="DD754" s="33"/>
      <c r="DE754" s="33"/>
      <c r="DF754" s="33"/>
      <c r="DG754" s="33"/>
      <c r="DH754" s="34"/>
      <c r="DI754" s="34"/>
      <c r="DJ754" s="34"/>
      <c r="DK754" s="34"/>
      <c r="DL754" s="34"/>
      <c r="DM754" s="34"/>
      <c r="DN754" s="12">
        <v>5405064</v>
      </c>
      <c r="DS754" s="21"/>
      <c r="DT754" s="21"/>
      <c r="DU754" s="21"/>
    </row>
    <row r="755" spans="72:125" ht="13.5" customHeight="1">
      <c r="BT755" s="12">
        <v>5203064</v>
      </c>
      <c r="BU755" s="3">
        <f>[1]monsters!$N755</f>
        <v>119.47</v>
      </c>
      <c r="BV755" s="3">
        <f>[1]monsters!$O755</f>
        <v>11.95</v>
      </c>
      <c r="BW755" s="3">
        <f>[1]monsters!$P755</f>
        <v>1344</v>
      </c>
      <c r="BX755" s="3">
        <f>[1]monsters!$Q755</f>
        <v>134.4</v>
      </c>
      <c r="BY755" s="3">
        <f>[1]monsters!$R755</f>
        <v>39.82</v>
      </c>
      <c r="BZ755" s="3">
        <f>[1]monsters!$S755</f>
        <v>3.98</v>
      </c>
      <c r="CA755" s="3">
        <f>[1]monsters!$K755</f>
        <v>1.6</v>
      </c>
      <c r="CB755" s="12">
        <f>[1]monsters!$D755</f>
        <v>2</v>
      </c>
      <c r="CC755" s="12">
        <f t="shared" ca="1" si="61"/>
        <v>0.1</v>
      </c>
      <c r="CD755" s="12">
        <f t="shared" ca="1" si="62"/>
        <v>89.817050505050503</v>
      </c>
      <c r="CE755" s="12">
        <f t="shared" ca="1" si="63"/>
        <v>8.9817050505050506</v>
      </c>
      <c r="CS755" s="33"/>
      <c r="CT755" s="33"/>
      <c r="CU755" s="33"/>
      <c r="CV755" s="32"/>
      <c r="CW755" s="32"/>
      <c r="CX755" s="32"/>
      <c r="CY755" s="34"/>
      <c r="CZ755" s="34"/>
      <c r="DA755" s="34"/>
      <c r="DB755" s="33"/>
      <c r="DC755" s="33"/>
      <c r="DD755" s="33"/>
      <c r="DE755" s="33"/>
      <c r="DF755" s="33"/>
      <c r="DG755" s="33"/>
      <c r="DH755" s="34"/>
      <c r="DI755" s="34"/>
      <c r="DJ755" s="34"/>
      <c r="DK755" s="34"/>
      <c r="DL755" s="34"/>
      <c r="DM755" s="34"/>
      <c r="DN755" s="12">
        <v>5203064</v>
      </c>
      <c r="DS755" s="21"/>
      <c r="DT755" s="21"/>
      <c r="DU755" s="21"/>
    </row>
    <row r="756" spans="72:125" ht="13.5" customHeight="1">
      <c r="BT756" s="12">
        <v>5403064</v>
      </c>
      <c r="BU756" s="3">
        <f>[1]monsters!$N756</f>
        <v>119.47</v>
      </c>
      <c r="BV756" s="3">
        <f>[1]monsters!$O756</f>
        <v>11.95</v>
      </c>
      <c r="BW756" s="3">
        <f>[1]monsters!$P756</f>
        <v>1344</v>
      </c>
      <c r="BX756" s="3">
        <f>[1]monsters!$Q756</f>
        <v>134.4</v>
      </c>
      <c r="BY756" s="3">
        <f>[1]monsters!$R756</f>
        <v>39.82</v>
      </c>
      <c r="BZ756" s="3">
        <f>[1]monsters!$S756</f>
        <v>3.98</v>
      </c>
      <c r="CA756" s="3">
        <f>[1]monsters!$K756</f>
        <v>1.6</v>
      </c>
      <c r="CB756" s="12">
        <f>[1]monsters!$D756</f>
        <v>2</v>
      </c>
      <c r="CC756" s="12">
        <f t="shared" ca="1" si="61"/>
        <v>0.1</v>
      </c>
      <c r="CD756" s="12">
        <f t="shared" ca="1" si="62"/>
        <v>82.468945821854902</v>
      </c>
      <c r="CE756" s="12">
        <f t="shared" ca="1" si="63"/>
        <v>8.2468945821854902</v>
      </c>
      <c r="CS756" s="33"/>
      <c r="CT756" s="33"/>
      <c r="CU756" s="33"/>
      <c r="CV756" s="32"/>
      <c r="CW756" s="32"/>
      <c r="CX756" s="32"/>
      <c r="CY756" s="34"/>
      <c r="CZ756" s="34"/>
      <c r="DA756" s="34"/>
      <c r="DB756" s="33"/>
      <c r="DC756" s="33"/>
      <c r="DD756" s="33"/>
      <c r="DE756" s="33"/>
      <c r="DF756" s="33"/>
      <c r="DG756" s="33"/>
      <c r="DH756" s="34"/>
      <c r="DI756" s="34"/>
      <c r="DJ756" s="34"/>
      <c r="DK756" s="34"/>
      <c r="DL756" s="34"/>
      <c r="DM756" s="34"/>
      <c r="DN756" s="12">
        <v>5403064</v>
      </c>
      <c r="DS756" s="21"/>
      <c r="DT756" s="21"/>
      <c r="DU756" s="21"/>
    </row>
    <row r="757" spans="72:125" ht="13.5" customHeight="1">
      <c r="BT757" s="12">
        <v>5204064</v>
      </c>
      <c r="BU757" s="3">
        <f>[1]monsters!$N757</f>
        <v>136.53</v>
      </c>
      <c r="BV757" s="3">
        <f>[1]monsters!$O757</f>
        <v>13.65</v>
      </c>
      <c r="BW757" s="3">
        <f>[1]monsters!$P757</f>
        <v>1536</v>
      </c>
      <c r="BX757" s="3">
        <f>[1]monsters!$Q757</f>
        <v>153.6</v>
      </c>
      <c r="BY757" s="3">
        <f>[1]monsters!$R757</f>
        <v>45.51</v>
      </c>
      <c r="BZ757" s="3">
        <f>[1]monsters!$S757</f>
        <v>4.55</v>
      </c>
      <c r="CA757" s="3">
        <f>[1]monsters!$K757</f>
        <v>1.6</v>
      </c>
      <c r="CB757" s="12">
        <f>[1]monsters!$D757</f>
        <v>2</v>
      </c>
      <c r="CC757" s="12">
        <f t="shared" ca="1" si="61"/>
        <v>0.1</v>
      </c>
      <c r="CD757" s="12">
        <f t="shared" ca="1" si="62"/>
        <v>92.841050505050504</v>
      </c>
      <c r="CE757" s="12">
        <f t="shared" ca="1" si="63"/>
        <v>9.2841050505050493</v>
      </c>
      <c r="CS757" s="33"/>
      <c r="CT757" s="33"/>
      <c r="CU757" s="33"/>
      <c r="CV757" s="32"/>
      <c r="CW757" s="32"/>
      <c r="CX757" s="32"/>
      <c r="CY757" s="34"/>
      <c r="CZ757" s="34"/>
      <c r="DA757" s="34"/>
      <c r="DB757" s="33"/>
      <c r="DC757" s="33"/>
      <c r="DD757" s="33"/>
      <c r="DE757" s="33"/>
      <c r="DF757" s="33"/>
      <c r="DG757" s="33"/>
      <c r="DH757" s="34"/>
      <c r="DI757" s="34"/>
      <c r="DJ757" s="34"/>
      <c r="DK757" s="34"/>
      <c r="DL757" s="34"/>
      <c r="DM757" s="34"/>
      <c r="DN757" s="12">
        <v>5204064</v>
      </c>
      <c r="DS757" s="21"/>
      <c r="DT757" s="21"/>
      <c r="DU757" s="21"/>
    </row>
    <row r="758" spans="72:125" ht="13.5" customHeight="1">
      <c r="BT758" s="12">
        <v>5404064</v>
      </c>
      <c r="BU758" s="3">
        <f>[1]monsters!$N758</f>
        <v>136.53</v>
      </c>
      <c r="BV758" s="3">
        <f>[1]monsters!$O758</f>
        <v>13.65</v>
      </c>
      <c r="BW758" s="3">
        <f>[1]monsters!$P758</f>
        <v>1536</v>
      </c>
      <c r="BX758" s="3">
        <f>[1]monsters!$Q758</f>
        <v>153.6</v>
      </c>
      <c r="BY758" s="3">
        <f>[1]monsters!$R758</f>
        <v>45.51</v>
      </c>
      <c r="BZ758" s="3">
        <f>[1]monsters!$S758</f>
        <v>4.55</v>
      </c>
      <c r="CA758" s="3">
        <f>[1]monsters!$K758</f>
        <v>1.6</v>
      </c>
      <c r="CB758" s="12">
        <f>[1]monsters!$D758</f>
        <v>2</v>
      </c>
      <c r="CC758" s="12">
        <f t="shared" ca="1" si="61"/>
        <v>0.1</v>
      </c>
      <c r="CD758" s="12">
        <f t="shared" ca="1" si="62"/>
        <v>99.100945821854907</v>
      </c>
      <c r="CE758" s="12">
        <f t="shared" ca="1" si="63"/>
        <v>9.91009458218549</v>
      </c>
      <c r="CS758" s="33"/>
      <c r="CT758" s="33"/>
      <c r="CU758" s="33"/>
      <c r="CV758" s="32"/>
      <c r="CW758" s="32"/>
      <c r="CX758" s="32"/>
      <c r="CY758" s="34"/>
      <c r="CZ758" s="34"/>
      <c r="DA758" s="34"/>
      <c r="DB758" s="33"/>
      <c r="DC758" s="33"/>
      <c r="DD758" s="33"/>
      <c r="DE758" s="33"/>
      <c r="DF758" s="33"/>
      <c r="DG758" s="33"/>
      <c r="DH758" s="34"/>
      <c r="DI758" s="34"/>
      <c r="DJ758" s="34"/>
      <c r="DK758" s="34"/>
      <c r="DL758" s="34"/>
      <c r="DM758" s="34"/>
      <c r="DN758" s="12">
        <v>5404064</v>
      </c>
      <c r="DS758" s="21"/>
      <c r="DT758" s="21"/>
      <c r="DU758" s="21"/>
    </row>
    <row r="759" spans="72:125" ht="13.5" customHeight="1">
      <c r="BT759" s="12">
        <v>5303064</v>
      </c>
      <c r="BU759" s="3">
        <f>[1]monsters!$N759</f>
        <v>136.53</v>
      </c>
      <c r="BV759" s="3">
        <f>[1]monsters!$O759</f>
        <v>13.65</v>
      </c>
      <c r="BW759" s="3">
        <f>[1]monsters!$P759</f>
        <v>1536</v>
      </c>
      <c r="BX759" s="3">
        <f>[1]monsters!$Q759</f>
        <v>153.6</v>
      </c>
      <c r="BY759" s="3">
        <f>[1]monsters!$R759</f>
        <v>45.51</v>
      </c>
      <c r="BZ759" s="3">
        <f>[1]monsters!$S759</f>
        <v>4.55</v>
      </c>
      <c r="CA759" s="3">
        <f>[1]monsters!$K759</f>
        <v>1.6</v>
      </c>
      <c r="CB759" s="12">
        <f>[1]monsters!$D759</f>
        <v>2</v>
      </c>
      <c r="CC759" s="12">
        <f t="shared" ca="1" si="61"/>
        <v>0.1</v>
      </c>
      <c r="CD759" s="12">
        <f t="shared" ca="1" si="62"/>
        <v>89.119378226711405</v>
      </c>
      <c r="CE759" s="12">
        <f t="shared" ca="1" si="63"/>
        <v>8.9119378226711508</v>
      </c>
      <c r="CS759" s="33"/>
      <c r="CT759" s="33"/>
      <c r="CU759" s="33"/>
      <c r="CV759" s="32"/>
      <c r="CW759" s="32"/>
      <c r="CX759" s="32"/>
      <c r="CY759" s="34"/>
      <c r="CZ759" s="34"/>
      <c r="DA759" s="34"/>
      <c r="DB759" s="33"/>
      <c r="DC759" s="33"/>
      <c r="DD759" s="33"/>
      <c r="DE759" s="33"/>
      <c r="DF759" s="33"/>
      <c r="DG759" s="33"/>
      <c r="DH759" s="34"/>
      <c r="DI759" s="34"/>
      <c r="DJ759" s="34"/>
      <c r="DK759" s="34"/>
      <c r="DL759" s="34"/>
      <c r="DM759" s="34"/>
      <c r="DN759" s="12">
        <v>5303064</v>
      </c>
      <c r="DS759" s="21"/>
      <c r="DT759" s="21"/>
      <c r="DU759" s="21"/>
    </row>
    <row r="760" spans="72:125" ht="13.5" customHeight="1">
      <c r="BT760" s="12">
        <v>5304064</v>
      </c>
      <c r="BU760" s="3">
        <f>[1]monsters!$N760</f>
        <v>136.53</v>
      </c>
      <c r="BV760" s="3">
        <f>[1]monsters!$O760</f>
        <v>13.65</v>
      </c>
      <c r="BW760" s="3">
        <f>[1]monsters!$P760</f>
        <v>1536</v>
      </c>
      <c r="BX760" s="3">
        <f>[1]monsters!$Q760</f>
        <v>153.6</v>
      </c>
      <c r="BY760" s="3">
        <f>[1]monsters!$R760</f>
        <v>45.51</v>
      </c>
      <c r="BZ760" s="3">
        <f>[1]monsters!$S760</f>
        <v>4.55</v>
      </c>
      <c r="CA760" s="3">
        <f>[1]monsters!$K760</f>
        <v>1.6</v>
      </c>
      <c r="CB760" s="12">
        <f>[1]monsters!$D760</f>
        <v>2</v>
      </c>
      <c r="CC760" s="12">
        <f t="shared" ca="1" si="61"/>
        <v>0.1</v>
      </c>
      <c r="CD760" s="12">
        <f t="shared" ca="1" si="62"/>
        <v>92.521378226711406</v>
      </c>
      <c r="CE760" s="12">
        <f t="shared" ca="1" si="63"/>
        <v>9.2521378226711395</v>
      </c>
      <c r="CS760" s="33"/>
      <c r="CT760" s="33"/>
      <c r="CU760" s="33"/>
      <c r="CV760" s="32"/>
      <c r="CW760" s="32"/>
      <c r="CX760" s="32"/>
      <c r="CY760" s="34"/>
      <c r="CZ760" s="34"/>
      <c r="DA760" s="34"/>
      <c r="DB760" s="33"/>
      <c r="DC760" s="33"/>
      <c r="DD760" s="33"/>
      <c r="DE760" s="33"/>
      <c r="DF760" s="33"/>
      <c r="DG760" s="33"/>
      <c r="DH760" s="34"/>
      <c r="DI760" s="34"/>
      <c r="DJ760" s="34"/>
      <c r="DK760" s="34"/>
      <c r="DL760" s="34"/>
      <c r="DM760" s="34"/>
      <c r="DN760" s="12">
        <v>5304064</v>
      </c>
      <c r="DS760" s="21"/>
      <c r="DT760" s="21"/>
      <c r="DU760" s="21"/>
    </row>
    <row r="761" spans="72:125" ht="13.5" customHeight="1">
      <c r="BT761" s="12">
        <v>5503064</v>
      </c>
      <c r="BU761" s="3">
        <f>[1]monsters!$N761</f>
        <v>136.53</v>
      </c>
      <c r="BV761" s="3">
        <f>[1]monsters!$O761</f>
        <v>13.65</v>
      </c>
      <c r="BW761" s="3">
        <f>[1]monsters!$P761</f>
        <v>1536</v>
      </c>
      <c r="BX761" s="3">
        <f>[1]monsters!$Q761</f>
        <v>153.6</v>
      </c>
      <c r="BY761" s="3">
        <f>[1]monsters!$R761</f>
        <v>45.51</v>
      </c>
      <c r="BZ761" s="3">
        <f>[1]monsters!$S761</f>
        <v>4.55</v>
      </c>
      <c r="CA761" s="3">
        <f>[1]monsters!$K761</f>
        <v>1.6</v>
      </c>
      <c r="CB761" s="12">
        <f>[1]monsters!$D761</f>
        <v>2</v>
      </c>
      <c r="CC761" s="12">
        <f t="shared" ca="1" si="61"/>
        <v>0.1</v>
      </c>
      <c r="CD761" s="12">
        <f t="shared" ca="1" si="62"/>
        <v>106.246033670034</v>
      </c>
      <c r="CE761" s="12">
        <f t="shared" ca="1" si="63"/>
        <v>10.624603367003401</v>
      </c>
      <c r="CS761" s="33"/>
      <c r="CT761" s="33"/>
      <c r="CU761" s="33"/>
      <c r="CV761" s="32"/>
      <c r="CW761" s="32"/>
      <c r="CX761" s="32"/>
      <c r="CY761" s="34"/>
      <c r="CZ761" s="34"/>
      <c r="DA761" s="34"/>
      <c r="DB761" s="33"/>
      <c r="DC761" s="33"/>
      <c r="DD761" s="33"/>
      <c r="DE761" s="33"/>
      <c r="DF761" s="33"/>
      <c r="DG761" s="33"/>
      <c r="DH761" s="34"/>
      <c r="DI761" s="34"/>
      <c r="DJ761" s="34"/>
      <c r="DK761" s="34"/>
      <c r="DL761" s="34"/>
      <c r="DM761" s="34"/>
      <c r="DN761" s="12">
        <v>5503064</v>
      </c>
      <c r="DS761" s="21"/>
      <c r="DT761" s="21"/>
      <c r="DU761" s="21"/>
    </row>
    <row r="762" spans="72:125" ht="13.5" customHeight="1">
      <c r="BT762" s="12">
        <v>5504064</v>
      </c>
      <c r="BU762" s="3">
        <f>[1]monsters!$N762</f>
        <v>153.6</v>
      </c>
      <c r="BV762" s="3">
        <f>[1]monsters!$O762</f>
        <v>15.36</v>
      </c>
      <c r="BW762" s="3">
        <f>[1]monsters!$P762</f>
        <v>1728</v>
      </c>
      <c r="BX762" s="3">
        <f>[1]monsters!$Q762</f>
        <v>172.8</v>
      </c>
      <c r="BY762" s="3">
        <f>[1]monsters!$R762</f>
        <v>51.2</v>
      </c>
      <c r="BZ762" s="3">
        <f>[1]monsters!$S762</f>
        <v>5.12</v>
      </c>
      <c r="CA762" s="3">
        <f>[1]monsters!$K762</f>
        <v>1.6</v>
      </c>
      <c r="CB762" s="12">
        <f>[1]monsters!$D762</f>
        <v>2</v>
      </c>
      <c r="CC762" s="12">
        <f t="shared" ca="1" si="61"/>
        <v>0.1</v>
      </c>
      <c r="CD762" s="12">
        <f t="shared" ca="1" si="62"/>
        <v>115.318033670034</v>
      </c>
      <c r="CE762" s="12">
        <f t="shared" ca="1" si="63"/>
        <v>11.5318033670034</v>
      </c>
      <c r="CS762" s="33"/>
      <c r="CT762" s="33"/>
      <c r="CU762" s="33"/>
      <c r="CV762" s="32"/>
      <c r="CW762" s="32"/>
      <c r="CX762" s="32"/>
      <c r="CY762" s="34"/>
      <c r="CZ762" s="34"/>
      <c r="DA762" s="34"/>
      <c r="DB762" s="33"/>
      <c r="DC762" s="33"/>
      <c r="DD762" s="33"/>
      <c r="DE762" s="33"/>
      <c r="DF762" s="33"/>
      <c r="DG762" s="33"/>
      <c r="DH762" s="34"/>
      <c r="DI762" s="34"/>
      <c r="DJ762" s="34"/>
      <c r="DK762" s="34"/>
      <c r="DL762" s="34"/>
      <c r="DM762" s="34"/>
      <c r="DN762" s="12">
        <v>5504064</v>
      </c>
      <c r="DS762" s="21"/>
      <c r="DT762" s="21"/>
      <c r="DU762" s="21"/>
    </row>
    <row r="763" spans="72:125" ht="13.5" customHeight="1">
      <c r="BT763" s="12">
        <v>5101064</v>
      </c>
      <c r="BU763" s="3">
        <f>[1]monsters!$N763</f>
        <v>153.6</v>
      </c>
      <c r="BV763" s="3">
        <f>[1]monsters!$O763</f>
        <v>15.36</v>
      </c>
      <c r="BW763" s="3">
        <f>[1]monsters!$P763</f>
        <v>1728</v>
      </c>
      <c r="BX763" s="3">
        <f>[1]monsters!$Q763</f>
        <v>172.8</v>
      </c>
      <c r="BY763" s="3">
        <f>[1]monsters!$R763</f>
        <v>51.2</v>
      </c>
      <c r="BZ763" s="3">
        <f>[1]monsters!$S763</f>
        <v>5.12</v>
      </c>
      <c r="CA763" s="3">
        <f>[1]monsters!$K763</f>
        <v>1.6</v>
      </c>
      <c r="CB763" s="12">
        <f>[1]monsters!$D763</f>
        <v>2</v>
      </c>
      <c r="CC763" s="12">
        <f t="shared" ca="1" si="61"/>
        <v>0.1</v>
      </c>
      <c r="CD763" s="12">
        <f t="shared" ca="1" si="62"/>
        <v>100.88404040403999</v>
      </c>
      <c r="CE763" s="12">
        <f t="shared" ca="1" si="63"/>
        <v>10.088404040404001</v>
      </c>
      <c r="CS763" s="33"/>
      <c r="CT763" s="33"/>
      <c r="CU763" s="33"/>
      <c r="CV763" s="32"/>
      <c r="CW763" s="32"/>
      <c r="CX763" s="32"/>
      <c r="CY763" s="34"/>
      <c r="CZ763" s="34"/>
      <c r="DA763" s="34"/>
      <c r="DB763" s="33"/>
      <c r="DC763" s="33"/>
      <c r="DD763" s="33"/>
      <c r="DE763" s="33"/>
      <c r="DF763" s="33"/>
      <c r="DG763" s="33"/>
      <c r="DH763" s="34"/>
      <c r="DI763" s="34"/>
      <c r="DJ763" s="34"/>
      <c r="DK763" s="34"/>
      <c r="DL763" s="34"/>
      <c r="DM763" s="34"/>
      <c r="DN763" s="12">
        <v>5101064</v>
      </c>
      <c r="DS763" s="21"/>
      <c r="DT763" s="21"/>
      <c r="DU763" s="21"/>
    </row>
    <row r="764" spans="72:125" ht="13.5" customHeight="1">
      <c r="BT764" s="12">
        <v>5102064</v>
      </c>
      <c r="BU764" s="3">
        <f>[1]monsters!$N764</f>
        <v>153.6</v>
      </c>
      <c r="BV764" s="3">
        <f>[1]monsters!$O764</f>
        <v>15.36</v>
      </c>
      <c r="BW764" s="3">
        <f>[1]monsters!$P764</f>
        <v>1728</v>
      </c>
      <c r="BX764" s="3">
        <f>[1]monsters!$Q764</f>
        <v>172.8</v>
      </c>
      <c r="BY764" s="3">
        <f>[1]monsters!$R764</f>
        <v>51.2</v>
      </c>
      <c r="BZ764" s="3">
        <f>[1]monsters!$S764</f>
        <v>5.12</v>
      </c>
      <c r="CA764" s="3">
        <f>[1]monsters!$K764</f>
        <v>1.6</v>
      </c>
      <c r="CB764" s="12">
        <f>[1]monsters!$D764</f>
        <v>2</v>
      </c>
      <c r="CC764" s="12">
        <f t="shared" ca="1" si="61"/>
        <v>0.1</v>
      </c>
      <c r="CD764" s="12">
        <f t="shared" ca="1" si="62"/>
        <v>93.324040404040403</v>
      </c>
      <c r="CE764" s="12">
        <f t="shared" ca="1" si="63"/>
        <v>9.3324040404040396</v>
      </c>
      <c r="CS764" s="33"/>
      <c r="CT764" s="33"/>
      <c r="CU764" s="33"/>
      <c r="CV764" s="32"/>
      <c r="CW764" s="32"/>
      <c r="CX764" s="32"/>
      <c r="CY764" s="34"/>
      <c r="CZ764" s="34"/>
      <c r="DA764" s="34"/>
      <c r="DB764" s="33"/>
      <c r="DC764" s="33"/>
      <c r="DD764" s="33"/>
      <c r="DE764" s="33"/>
      <c r="DF764" s="33"/>
      <c r="DG764" s="33"/>
      <c r="DH764" s="34"/>
      <c r="DI764" s="34"/>
      <c r="DJ764" s="34"/>
      <c r="DK764" s="34"/>
      <c r="DL764" s="34"/>
      <c r="DM764" s="34"/>
      <c r="DN764" s="12">
        <v>5102064</v>
      </c>
      <c r="DS764" s="21"/>
      <c r="DT764" s="21"/>
      <c r="DU764" s="21"/>
    </row>
    <row r="765" spans="72:125" ht="13.5" customHeight="1">
      <c r="BT765" s="12">
        <v>5206065</v>
      </c>
      <c r="BU765" s="3">
        <f>[1]monsters!$N765</f>
        <v>153.6</v>
      </c>
      <c r="BV765" s="3">
        <f>[1]monsters!$O765</f>
        <v>15.36</v>
      </c>
      <c r="BW765" s="3">
        <f>[1]monsters!$P765</f>
        <v>1728</v>
      </c>
      <c r="BX765" s="3">
        <f>[1]monsters!$Q765</f>
        <v>172.8</v>
      </c>
      <c r="BY765" s="3">
        <f>[1]monsters!$R765</f>
        <v>51.2</v>
      </c>
      <c r="BZ765" s="3">
        <f>[1]monsters!$S765</f>
        <v>5.12</v>
      </c>
      <c r="CA765" s="3">
        <f>[1]monsters!$K765</f>
        <v>1.6</v>
      </c>
      <c r="CB765" s="12">
        <f>[1]monsters!$D765</f>
        <v>2</v>
      </c>
      <c r="CC765" s="12">
        <f t="shared" ca="1" si="61"/>
        <v>0.1</v>
      </c>
      <c r="CD765" s="12">
        <f t="shared" ca="1" si="62"/>
        <v>101.913050505051</v>
      </c>
      <c r="CE765" s="12">
        <f t="shared" ca="1" si="63"/>
        <v>10.1913050505051</v>
      </c>
      <c r="CS765" s="33"/>
      <c r="CT765" s="33"/>
      <c r="CU765" s="33"/>
      <c r="CV765" s="32"/>
      <c r="CW765" s="32"/>
      <c r="CX765" s="32"/>
      <c r="CY765" s="34"/>
      <c r="CZ765" s="34"/>
      <c r="DA765" s="34"/>
      <c r="DB765" s="33"/>
      <c r="DC765" s="33"/>
      <c r="DD765" s="33"/>
      <c r="DE765" s="33"/>
      <c r="DF765" s="33"/>
      <c r="DG765" s="33"/>
      <c r="DH765" s="34"/>
      <c r="DI765" s="34"/>
      <c r="DJ765" s="34"/>
      <c r="DK765" s="34"/>
      <c r="DL765" s="34"/>
      <c r="DM765" s="34"/>
      <c r="DN765" s="12">
        <v>5206065</v>
      </c>
      <c r="DS765" s="21"/>
      <c r="DT765" s="21"/>
      <c r="DU765" s="21"/>
    </row>
    <row r="766" spans="72:125" ht="13.5" customHeight="1">
      <c r="BT766" s="12">
        <v>5406065</v>
      </c>
      <c r="BU766" s="3">
        <f>[1]monsters!$N766</f>
        <v>153.6</v>
      </c>
      <c r="BV766" s="3">
        <f>[1]monsters!$O766</f>
        <v>15.36</v>
      </c>
      <c r="BW766" s="3">
        <f>[1]monsters!$P766</f>
        <v>1728</v>
      </c>
      <c r="BX766" s="3">
        <f>[1]monsters!$Q766</f>
        <v>172.8</v>
      </c>
      <c r="BY766" s="3">
        <f>[1]monsters!$R766</f>
        <v>51.2</v>
      </c>
      <c r="BZ766" s="3">
        <f>[1]monsters!$S766</f>
        <v>5.12</v>
      </c>
      <c r="CA766" s="3">
        <f>[1]monsters!$K766</f>
        <v>1.6</v>
      </c>
      <c r="CB766" s="12">
        <f>[1]monsters!$D766</f>
        <v>2</v>
      </c>
      <c r="CC766" s="12">
        <f t="shared" ca="1" si="61"/>
        <v>0.1</v>
      </c>
      <c r="CD766" s="12">
        <f t="shared" ca="1" si="62"/>
        <v>94.942945821854906</v>
      </c>
      <c r="CE766" s="12">
        <f t="shared" ca="1" si="63"/>
        <v>9.4942945821854892</v>
      </c>
      <c r="CS766" s="33"/>
      <c r="CT766" s="33"/>
      <c r="CU766" s="33"/>
      <c r="CV766" s="32"/>
      <c r="CW766" s="32"/>
      <c r="CX766" s="32"/>
      <c r="CY766" s="34"/>
      <c r="CZ766" s="34"/>
      <c r="DA766" s="34"/>
      <c r="DB766" s="33"/>
      <c r="DC766" s="33"/>
      <c r="DD766" s="33"/>
      <c r="DE766" s="33"/>
      <c r="DF766" s="33"/>
      <c r="DG766" s="33"/>
      <c r="DH766" s="34"/>
      <c r="DI766" s="34"/>
      <c r="DJ766" s="34"/>
      <c r="DK766" s="34"/>
      <c r="DL766" s="34"/>
      <c r="DM766" s="34"/>
      <c r="DN766" s="12">
        <v>5406065</v>
      </c>
      <c r="DS766" s="21"/>
      <c r="DT766" s="21"/>
      <c r="DU766" s="21"/>
    </row>
    <row r="767" spans="72:125" ht="13.5" customHeight="1">
      <c r="BT767" s="12">
        <v>5205065</v>
      </c>
      <c r="BU767" s="3">
        <f>[1]monsters!$N767</f>
        <v>170.67</v>
      </c>
      <c r="BV767" s="3">
        <f>[1]monsters!$O767</f>
        <v>17.07</v>
      </c>
      <c r="BW767" s="3">
        <f>[1]monsters!$P767</f>
        <v>1920</v>
      </c>
      <c r="BX767" s="3">
        <f>[1]monsters!$Q767</f>
        <v>192</v>
      </c>
      <c r="BY767" s="3">
        <f>[1]monsters!$R767</f>
        <v>56.89</v>
      </c>
      <c r="BZ767" s="3">
        <f>[1]monsters!$S767</f>
        <v>5.69</v>
      </c>
      <c r="CA767" s="3">
        <f>[1]monsters!$K767</f>
        <v>1.6</v>
      </c>
      <c r="CB767" s="12">
        <f>[1]monsters!$D767</f>
        <v>2</v>
      </c>
      <c r="CC767" s="12">
        <f t="shared" ca="1" si="61"/>
        <v>0.1</v>
      </c>
      <c r="CD767" s="12">
        <f t="shared" ca="1" si="62"/>
        <v>110.98505050505101</v>
      </c>
      <c r="CE767" s="12">
        <f t="shared" ca="1" si="63"/>
        <v>11.0985050505051</v>
      </c>
      <c r="CS767" s="33"/>
      <c r="CT767" s="33"/>
      <c r="CU767" s="33"/>
      <c r="CV767" s="32"/>
      <c r="CW767" s="32"/>
      <c r="CX767" s="32"/>
      <c r="CY767" s="34"/>
      <c r="CZ767" s="34"/>
      <c r="DA767" s="34"/>
      <c r="DB767" s="33"/>
      <c r="DC767" s="33"/>
      <c r="DD767" s="33"/>
      <c r="DE767" s="33"/>
      <c r="DF767" s="33"/>
      <c r="DG767" s="33"/>
      <c r="DH767" s="34"/>
      <c r="DI767" s="34"/>
      <c r="DJ767" s="34"/>
      <c r="DK767" s="34"/>
      <c r="DL767" s="34"/>
      <c r="DM767" s="34"/>
      <c r="DN767" s="12">
        <v>5205065</v>
      </c>
      <c r="DS767" s="21"/>
      <c r="DT767" s="21"/>
      <c r="DU767" s="21"/>
    </row>
    <row r="768" spans="72:125" ht="13.5" customHeight="1">
      <c r="BT768" s="12">
        <v>5405065</v>
      </c>
      <c r="BU768" s="3">
        <f>[1]monsters!$N768</f>
        <v>170.67</v>
      </c>
      <c r="BV768" s="3">
        <f>[1]monsters!$O768</f>
        <v>17.07</v>
      </c>
      <c r="BW768" s="3">
        <f>[1]monsters!$P768</f>
        <v>1920</v>
      </c>
      <c r="BX768" s="3">
        <f>[1]monsters!$Q768</f>
        <v>192</v>
      </c>
      <c r="BY768" s="3">
        <f>[1]monsters!$R768</f>
        <v>56.89</v>
      </c>
      <c r="BZ768" s="3">
        <f>[1]monsters!$S768</f>
        <v>5.69</v>
      </c>
      <c r="CA768" s="3">
        <f>[1]monsters!$K768</f>
        <v>1.6</v>
      </c>
      <c r="CB768" s="12">
        <f>[1]monsters!$D768</f>
        <v>2</v>
      </c>
      <c r="CC768" s="12">
        <f t="shared" ca="1" si="61"/>
        <v>0.1</v>
      </c>
      <c r="CD768" s="12">
        <f t="shared" ca="1" si="62"/>
        <v>99.100945821854907</v>
      </c>
      <c r="CE768" s="12">
        <f t="shared" ca="1" si="63"/>
        <v>9.91009458218549</v>
      </c>
      <c r="CS768" s="33"/>
      <c r="CT768" s="33"/>
      <c r="CU768" s="33"/>
      <c r="CV768" s="32"/>
      <c r="CW768" s="32"/>
      <c r="CX768" s="32"/>
      <c r="CY768" s="34"/>
      <c r="CZ768" s="34"/>
      <c r="DA768" s="34"/>
      <c r="DB768" s="33"/>
      <c r="DC768" s="33"/>
      <c r="DD768" s="33"/>
      <c r="DE768" s="33"/>
      <c r="DF768" s="33"/>
      <c r="DG768" s="33"/>
      <c r="DH768" s="34"/>
      <c r="DI768" s="34"/>
      <c r="DJ768" s="34"/>
      <c r="DK768" s="34"/>
      <c r="DL768" s="34"/>
      <c r="DM768" s="34"/>
      <c r="DN768" s="12">
        <v>5405065</v>
      </c>
      <c r="DS768" s="21"/>
      <c r="DT768" s="21"/>
      <c r="DU768" s="21"/>
    </row>
    <row r="769" spans="72:125" ht="13.5" customHeight="1">
      <c r="BT769" s="12">
        <v>5203065</v>
      </c>
      <c r="BU769" s="3">
        <f>[1]monsters!$N769</f>
        <v>170.67</v>
      </c>
      <c r="BV769" s="3">
        <f>[1]monsters!$O769</f>
        <v>17.07</v>
      </c>
      <c r="BW769" s="3">
        <f>[1]monsters!$P769</f>
        <v>1920</v>
      </c>
      <c r="BX769" s="3">
        <f>[1]monsters!$Q769</f>
        <v>192</v>
      </c>
      <c r="BY769" s="3">
        <f>[1]monsters!$R769</f>
        <v>56.89</v>
      </c>
      <c r="BZ769" s="3">
        <f>[1]monsters!$S769</f>
        <v>5.69</v>
      </c>
      <c r="CA769" s="3">
        <f>[1]monsters!$K769</f>
        <v>1.6</v>
      </c>
      <c r="CB769" s="12">
        <f>[1]monsters!$D769</f>
        <v>2</v>
      </c>
      <c r="CC769" s="12">
        <f t="shared" ca="1" si="61"/>
        <v>0.1</v>
      </c>
      <c r="CD769" s="12">
        <f t="shared" ca="1" si="62"/>
        <v>89.817050505050503</v>
      </c>
      <c r="CE769" s="12">
        <f t="shared" ca="1" si="63"/>
        <v>8.9817050505050506</v>
      </c>
      <c r="CS769" s="33"/>
      <c r="CT769" s="33"/>
      <c r="CU769" s="33"/>
      <c r="CV769" s="32"/>
      <c r="CW769" s="32"/>
      <c r="CX769" s="32"/>
      <c r="CY769" s="34"/>
      <c r="CZ769" s="34"/>
      <c r="DA769" s="34"/>
      <c r="DB769" s="33"/>
      <c r="DC769" s="33"/>
      <c r="DD769" s="33"/>
      <c r="DE769" s="33"/>
      <c r="DF769" s="33"/>
      <c r="DG769" s="33"/>
      <c r="DH769" s="34"/>
      <c r="DI769" s="34"/>
      <c r="DJ769" s="34"/>
      <c r="DK769" s="34"/>
      <c r="DL769" s="34"/>
      <c r="DM769" s="34"/>
      <c r="DN769" s="12">
        <v>5203065</v>
      </c>
      <c r="DS769" s="21"/>
      <c r="DT769" s="21"/>
      <c r="DU769" s="21"/>
    </row>
    <row r="770" spans="72:125" ht="13.5" customHeight="1">
      <c r="BT770" s="12">
        <v>5403065</v>
      </c>
      <c r="BU770" s="3">
        <f>[1]monsters!$N770</f>
        <v>170.67</v>
      </c>
      <c r="BV770" s="3">
        <f>[1]monsters!$O770</f>
        <v>17.07</v>
      </c>
      <c r="BW770" s="3">
        <f>[1]monsters!$P770</f>
        <v>1920</v>
      </c>
      <c r="BX770" s="3">
        <f>[1]monsters!$Q770</f>
        <v>192</v>
      </c>
      <c r="BY770" s="3">
        <f>[1]monsters!$R770</f>
        <v>56.89</v>
      </c>
      <c r="BZ770" s="3">
        <f>[1]monsters!$S770</f>
        <v>5.69</v>
      </c>
      <c r="CA770" s="3">
        <f>[1]monsters!$K770</f>
        <v>1.6</v>
      </c>
      <c r="CB770" s="12">
        <f>[1]monsters!$D770</f>
        <v>2</v>
      </c>
      <c r="CC770" s="12">
        <f t="shared" ca="1" si="61"/>
        <v>0.1</v>
      </c>
      <c r="CD770" s="12">
        <f t="shared" ca="1" si="62"/>
        <v>82.468945821854902</v>
      </c>
      <c r="CE770" s="12">
        <f t="shared" ca="1" si="63"/>
        <v>8.2468945821854902</v>
      </c>
      <c r="CS770" s="33"/>
      <c r="CT770" s="33"/>
      <c r="CU770" s="33"/>
      <c r="CV770" s="32"/>
      <c r="CW770" s="32"/>
      <c r="CX770" s="32"/>
      <c r="CY770" s="34"/>
      <c r="CZ770" s="34"/>
      <c r="DA770" s="34"/>
      <c r="DB770" s="33"/>
      <c r="DC770" s="33"/>
      <c r="DD770" s="33"/>
      <c r="DE770" s="33"/>
      <c r="DF770" s="33"/>
      <c r="DG770" s="33"/>
      <c r="DH770" s="34"/>
      <c r="DI770" s="34"/>
      <c r="DJ770" s="34"/>
      <c r="DK770" s="34"/>
      <c r="DL770" s="34"/>
      <c r="DM770" s="34"/>
      <c r="DN770" s="12">
        <v>5403065</v>
      </c>
      <c r="DS770" s="21"/>
      <c r="DT770" s="21"/>
      <c r="DU770" s="21"/>
    </row>
    <row r="771" spans="72:125" ht="13.5" customHeight="1">
      <c r="BT771" s="12">
        <v>5204065</v>
      </c>
      <c r="BU771" s="3">
        <f>[1]monsters!$N771</f>
        <v>170.67</v>
      </c>
      <c r="BV771" s="3">
        <f>[1]monsters!$O771</f>
        <v>17.07</v>
      </c>
      <c r="BW771" s="3">
        <f>[1]monsters!$P771</f>
        <v>1920</v>
      </c>
      <c r="BX771" s="3">
        <f>[1]monsters!$Q771</f>
        <v>192</v>
      </c>
      <c r="BY771" s="3">
        <f>[1]monsters!$R771</f>
        <v>56.89</v>
      </c>
      <c r="BZ771" s="3">
        <f>[1]monsters!$S771</f>
        <v>5.69</v>
      </c>
      <c r="CA771" s="3">
        <f>[1]monsters!$K771</f>
        <v>1.6</v>
      </c>
      <c r="CB771" s="12">
        <f>[1]monsters!$D771</f>
        <v>2</v>
      </c>
      <c r="CC771" s="12">
        <f t="shared" ca="1" si="61"/>
        <v>0.1</v>
      </c>
      <c r="CD771" s="12">
        <f t="shared" ca="1" si="62"/>
        <v>92.841050505050504</v>
      </c>
      <c r="CE771" s="12">
        <f t="shared" ca="1" si="63"/>
        <v>9.2841050505050493</v>
      </c>
      <c r="CS771" s="33"/>
      <c r="CT771" s="33"/>
      <c r="CU771" s="33"/>
      <c r="CV771" s="32"/>
      <c r="CW771" s="32"/>
      <c r="CX771" s="32"/>
      <c r="CY771" s="34"/>
      <c r="CZ771" s="34"/>
      <c r="DA771" s="34"/>
      <c r="DB771" s="33"/>
      <c r="DC771" s="33"/>
      <c r="DD771" s="33"/>
      <c r="DE771" s="33"/>
      <c r="DF771" s="33"/>
      <c r="DG771" s="33"/>
      <c r="DH771" s="34"/>
      <c r="DI771" s="34"/>
      <c r="DJ771" s="34"/>
      <c r="DK771" s="34"/>
      <c r="DL771" s="34"/>
      <c r="DM771" s="34"/>
      <c r="DN771" s="12">
        <v>5204065</v>
      </c>
      <c r="DS771" s="21"/>
      <c r="DT771" s="21"/>
      <c r="DU771" s="21"/>
    </row>
    <row r="772" spans="72:125" ht="13.5" customHeight="1">
      <c r="BT772" s="12">
        <v>5404065</v>
      </c>
      <c r="BU772" s="3">
        <f>[1]monsters!$N772</f>
        <v>187.73</v>
      </c>
      <c r="BV772" s="3">
        <f>[1]monsters!$O772</f>
        <v>18.77</v>
      </c>
      <c r="BW772" s="3">
        <f>[1]monsters!$P772</f>
        <v>2112</v>
      </c>
      <c r="BX772" s="3">
        <f>[1]monsters!$Q772</f>
        <v>211.2</v>
      </c>
      <c r="BY772" s="3">
        <f>[1]monsters!$R772</f>
        <v>62.58</v>
      </c>
      <c r="BZ772" s="3">
        <f>[1]monsters!$S772</f>
        <v>6.26</v>
      </c>
      <c r="CA772" s="3">
        <f>[1]monsters!$K772</f>
        <v>1.6</v>
      </c>
      <c r="CB772" s="12">
        <f>[1]monsters!$D772</f>
        <v>2</v>
      </c>
      <c r="CC772" s="12">
        <f t="shared" ref="CC772:CC835" ca="1" si="64">INDEX($CK$5:$CK$10,MATCH($CC772,$CJ$5:$CJ$10))</f>
        <v>0.1</v>
      </c>
      <c r="CD772" s="12">
        <f t="shared" ca="1" si="62"/>
        <v>99.100945821854907</v>
      </c>
      <c r="CE772" s="12">
        <f t="shared" ca="1" si="63"/>
        <v>9.91009458218549</v>
      </c>
      <c r="CS772" s="33"/>
      <c r="CT772" s="33"/>
      <c r="CU772" s="33"/>
      <c r="CV772" s="32"/>
      <c r="CW772" s="32"/>
      <c r="CX772" s="32"/>
      <c r="CY772" s="34"/>
      <c r="CZ772" s="34"/>
      <c r="DA772" s="34"/>
      <c r="DB772" s="33"/>
      <c r="DC772" s="33"/>
      <c r="DD772" s="33"/>
      <c r="DE772" s="33"/>
      <c r="DF772" s="33"/>
      <c r="DG772" s="33"/>
      <c r="DH772" s="34"/>
      <c r="DI772" s="34"/>
      <c r="DJ772" s="34"/>
      <c r="DK772" s="34"/>
      <c r="DL772" s="34"/>
      <c r="DM772" s="34"/>
      <c r="DN772" s="12">
        <v>5404065</v>
      </c>
      <c r="DS772" s="21"/>
      <c r="DT772" s="21"/>
      <c r="DU772" s="21"/>
    </row>
    <row r="773" spans="72:125" ht="13.5" customHeight="1">
      <c r="BT773" s="12">
        <v>5303065</v>
      </c>
      <c r="BU773" s="3">
        <f>[1]monsters!$N773</f>
        <v>187.73</v>
      </c>
      <c r="BV773" s="3">
        <f>[1]monsters!$O773</f>
        <v>18.77</v>
      </c>
      <c r="BW773" s="3">
        <f>[1]monsters!$P773</f>
        <v>2112</v>
      </c>
      <c r="BX773" s="3">
        <f>[1]monsters!$Q773</f>
        <v>211.2</v>
      </c>
      <c r="BY773" s="3">
        <f>[1]monsters!$R773</f>
        <v>62.58</v>
      </c>
      <c r="BZ773" s="3">
        <f>[1]monsters!$S773</f>
        <v>6.26</v>
      </c>
      <c r="CA773" s="3">
        <f>[1]monsters!$K773</f>
        <v>1.6</v>
      </c>
      <c r="CB773" s="12">
        <f>[1]monsters!$D773</f>
        <v>2</v>
      </c>
      <c r="CC773" s="12">
        <f t="shared" ca="1" si="64"/>
        <v>0.1</v>
      </c>
      <c r="CD773" s="12">
        <f t="shared" ref="CD773:CD836" ca="1" si="65">(BW773/33/(1-CC773)/(1-0)+BU773*(1+0.5*0.1)*0.9)</f>
        <v>89.119378226711405</v>
      </c>
      <c r="CE773" s="12">
        <f t="shared" ref="CE773:CE836" ca="1" si="66">(BW773/33/(1-CC773)/(1-0)+BU773*(1+0.5*0.1)*0.9)*0.1</f>
        <v>8.9119378226711508</v>
      </c>
      <c r="CS773" s="33"/>
      <c r="CT773" s="33"/>
      <c r="CU773" s="33"/>
      <c r="CV773" s="32"/>
      <c r="CW773" s="32"/>
      <c r="CX773" s="32"/>
      <c r="CY773" s="34"/>
      <c r="CZ773" s="34"/>
      <c r="DA773" s="34"/>
      <c r="DB773" s="33"/>
      <c r="DC773" s="33"/>
      <c r="DD773" s="33"/>
      <c r="DE773" s="33"/>
      <c r="DF773" s="33"/>
      <c r="DG773" s="33"/>
      <c r="DH773" s="34"/>
      <c r="DI773" s="34"/>
      <c r="DJ773" s="34"/>
      <c r="DK773" s="34"/>
      <c r="DL773" s="34"/>
      <c r="DM773" s="34"/>
      <c r="DN773" s="12">
        <v>5303065</v>
      </c>
      <c r="DS773" s="21"/>
      <c r="DT773" s="21"/>
      <c r="DU773" s="21"/>
    </row>
    <row r="774" spans="72:125" ht="13.5" customHeight="1">
      <c r="BT774" s="12">
        <v>5304065</v>
      </c>
      <c r="BU774" s="3">
        <f>[1]monsters!$N774</f>
        <v>187.73</v>
      </c>
      <c r="BV774" s="3">
        <f>[1]monsters!$O774</f>
        <v>18.77</v>
      </c>
      <c r="BW774" s="3">
        <f>[1]monsters!$P774</f>
        <v>2112</v>
      </c>
      <c r="BX774" s="3">
        <f>[1]monsters!$Q774</f>
        <v>211.2</v>
      </c>
      <c r="BY774" s="3">
        <f>[1]monsters!$R774</f>
        <v>62.58</v>
      </c>
      <c r="BZ774" s="3">
        <f>[1]monsters!$S774</f>
        <v>6.26</v>
      </c>
      <c r="CA774" s="3">
        <f>[1]monsters!$K774</f>
        <v>1.6</v>
      </c>
      <c r="CB774" s="12">
        <f>[1]monsters!$D774</f>
        <v>2</v>
      </c>
      <c r="CC774" s="12">
        <f t="shared" ca="1" si="64"/>
        <v>0.1</v>
      </c>
      <c r="CD774" s="12">
        <f t="shared" ca="1" si="65"/>
        <v>92.521378226711406</v>
      </c>
      <c r="CE774" s="12">
        <f t="shared" ca="1" si="66"/>
        <v>9.2521378226711395</v>
      </c>
      <c r="CS774" s="33"/>
      <c r="CT774" s="33"/>
      <c r="CU774" s="33"/>
      <c r="CV774" s="32"/>
      <c r="CW774" s="32"/>
      <c r="CX774" s="32"/>
      <c r="CY774" s="34"/>
      <c r="CZ774" s="34"/>
      <c r="DA774" s="34"/>
      <c r="DB774" s="33"/>
      <c r="DC774" s="33"/>
      <c r="DD774" s="33"/>
      <c r="DE774" s="33"/>
      <c r="DF774" s="33"/>
      <c r="DG774" s="33"/>
      <c r="DH774" s="34"/>
      <c r="DI774" s="34"/>
      <c r="DJ774" s="34"/>
      <c r="DK774" s="34"/>
      <c r="DL774" s="34"/>
      <c r="DM774" s="34"/>
      <c r="DN774" s="12">
        <v>5304065</v>
      </c>
      <c r="DS774" s="21"/>
      <c r="DT774" s="21"/>
      <c r="DU774" s="21"/>
    </row>
    <row r="775" spans="72:125" ht="13.5" customHeight="1">
      <c r="BT775" s="12">
        <v>5503065</v>
      </c>
      <c r="BU775" s="3">
        <f>[1]monsters!$N775</f>
        <v>187.73</v>
      </c>
      <c r="BV775" s="3">
        <f>[1]monsters!$O775</f>
        <v>18.77</v>
      </c>
      <c r="BW775" s="3">
        <f>[1]monsters!$P775</f>
        <v>2112</v>
      </c>
      <c r="BX775" s="3">
        <f>[1]monsters!$Q775</f>
        <v>211.2</v>
      </c>
      <c r="BY775" s="3">
        <f>[1]monsters!$R775</f>
        <v>62.58</v>
      </c>
      <c r="BZ775" s="3">
        <f>[1]monsters!$S775</f>
        <v>6.26</v>
      </c>
      <c r="CA775" s="3">
        <f>[1]monsters!$K775</f>
        <v>1.6</v>
      </c>
      <c r="CB775" s="12">
        <f>[1]monsters!$D775</f>
        <v>2</v>
      </c>
      <c r="CC775" s="12">
        <f t="shared" ca="1" si="64"/>
        <v>0.1</v>
      </c>
      <c r="CD775" s="12">
        <f t="shared" ca="1" si="65"/>
        <v>106.246033670034</v>
      </c>
      <c r="CE775" s="12">
        <f t="shared" ca="1" si="66"/>
        <v>10.624603367003401</v>
      </c>
      <c r="CS775" s="33"/>
      <c r="CT775" s="33"/>
      <c r="CU775" s="33"/>
      <c r="CV775" s="32"/>
      <c r="CW775" s="32"/>
      <c r="CX775" s="32"/>
      <c r="CY775" s="34"/>
      <c r="CZ775" s="34"/>
      <c r="DA775" s="34"/>
      <c r="DB775" s="33"/>
      <c r="DC775" s="33"/>
      <c r="DD775" s="33"/>
      <c r="DE775" s="33"/>
      <c r="DF775" s="33"/>
      <c r="DG775" s="33"/>
      <c r="DH775" s="34"/>
      <c r="DI775" s="34"/>
      <c r="DJ775" s="34"/>
      <c r="DK775" s="34"/>
      <c r="DL775" s="34"/>
      <c r="DM775" s="34"/>
      <c r="DN775" s="12">
        <v>5503065</v>
      </c>
      <c r="DS775" s="21"/>
      <c r="DT775" s="21"/>
      <c r="DU775" s="21"/>
    </row>
    <row r="776" spans="72:125" ht="13.5" customHeight="1">
      <c r="BT776" s="12">
        <v>5504065</v>
      </c>
      <c r="BU776" s="3">
        <f>[1]monsters!$N776</f>
        <v>187.73</v>
      </c>
      <c r="BV776" s="3">
        <f>[1]monsters!$O776</f>
        <v>18.77</v>
      </c>
      <c r="BW776" s="3">
        <f>[1]monsters!$P776</f>
        <v>2112</v>
      </c>
      <c r="BX776" s="3">
        <f>[1]monsters!$Q776</f>
        <v>211.2</v>
      </c>
      <c r="BY776" s="3">
        <f>[1]monsters!$R776</f>
        <v>62.58</v>
      </c>
      <c r="BZ776" s="3">
        <f>[1]monsters!$S776</f>
        <v>6.26</v>
      </c>
      <c r="CA776" s="3">
        <f>[1]monsters!$K776</f>
        <v>1.6</v>
      </c>
      <c r="CB776" s="12">
        <f>[1]monsters!$D776</f>
        <v>2</v>
      </c>
      <c r="CC776" s="12">
        <f t="shared" ca="1" si="64"/>
        <v>0.1</v>
      </c>
      <c r="CD776" s="12">
        <f t="shared" ca="1" si="65"/>
        <v>115.318033670034</v>
      </c>
      <c r="CE776" s="12">
        <f t="shared" ca="1" si="66"/>
        <v>11.5318033670034</v>
      </c>
      <c r="CS776" s="33"/>
      <c r="CT776" s="33"/>
      <c r="CU776" s="33"/>
      <c r="CV776" s="32"/>
      <c r="CW776" s="32"/>
      <c r="CX776" s="32"/>
      <c r="CY776" s="34"/>
      <c r="CZ776" s="34"/>
      <c r="DA776" s="34"/>
      <c r="DB776" s="33"/>
      <c r="DC776" s="33"/>
      <c r="DD776" s="33"/>
      <c r="DE776" s="33"/>
      <c r="DF776" s="33"/>
      <c r="DG776" s="33"/>
      <c r="DH776" s="34"/>
      <c r="DI776" s="34"/>
      <c r="DJ776" s="34"/>
      <c r="DK776" s="34"/>
      <c r="DL776" s="34"/>
      <c r="DM776" s="34"/>
      <c r="DN776" s="12">
        <v>5504065</v>
      </c>
      <c r="DS776" s="21"/>
      <c r="DT776" s="21"/>
      <c r="DU776" s="21"/>
    </row>
    <row r="777" spans="72:125" ht="13.5" customHeight="1">
      <c r="BT777" s="12">
        <v>5101065</v>
      </c>
      <c r="BU777" s="3">
        <f>[1]monsters!$N777</f>
        <v>204.8</v>
      </c>
      <c r="BV777" s="3">
        <f>[1]monsters!$O777</f>
        <v>20.48</v>
      </c>
      <c r="BW777" s="3">
        <f>[1]monsters!$P777</f>
        <v>2304</v>
      </c>
      <c r="BX777" s="3">
        <f>[1]monsters!$Q777</f>
        <v>230.4</v>
      </c>
      <c r="BY777" s="3">
        <f>[1]monsters!$R777</f>
        <v>68.27</v>
      </c>
      <c r="BZ777" s="3">
        <f>[1]monsters!$S777</f>
        <v>6.83</v>
      </c>
      <c r="CA777" s="3">
        <f>[1]monsters!$K777</f>
        <v>1.6</v>
      </c>
      <c r="CB777" s="12">
        <f>[1]monsters!$D777</f>
        <v>2</v>
      </c>
      <c r="CC777" s="12">
        <f t="shared" ca="1" si="64"/>
        <v>0.1</v>
      </c>
      <c r="CD777" s="12">
        <f t="shared" ca="1" si="65"/>
        <v>100.88404040403999</v>
      </c>
      <c r="CE777" s="12">
        <f t="shared" ca="1" si="66"/>
        <v>10.088404040404001</v>
      </c>
      <c r="CS777" s="33"/>
      <c r="CT777" s="33"/>
      <c r="CU777" s="33"/>
      <c r="CV777" s="32"/>
      <c r="CW777" s="32"/>
      <c r="CX777" s="32"/>
      <c r="CY777" s="34"/>
      <c r="CZ777" s="34"/>
      <c r="DA777" s="34"/>
      <c r="DB777" s="33"/>
      <c r="DC777" s="33"/>
      <c r="DD777" s="33"/>
      <c r="DE777" s="33"/>
      <c r="DF777" s="33"/>
      <c r="DG777" s="33"/>
      <c r="DH777" s="34"/>
      <c r="DI777" s="34"/>
      <c r="DJ777" s="34"/>
      <c r="DK777" s="34"/>
      <c r="DL777" s="34"/>
      <c r="DM777" s="34"/>
      <c r="DN777" s="12">
        <v>5101065</v>
      </c>
      <c r="DS777" s="21"/>
      <c r="DT777" s="21"/>
      <c r="DU777" s="21"/>
    </row>
    <row r="778" spans="72:125" ht="13.5" customHeight="1">
      <c r="BT778" s="12">
        <v>5102065</v>
      </c>
      <c r="BU778" s="3">
        <f>[1]monsters!$N778</f>
        <v>204.8</v>
      </c>
      <c r="BV778" s="3">
        <f>[1]monsters!$O778</f>
        <v>20.48</v>
      </c>
      <c r="BW778" s="3">
        <f>[1]monsters!$P778</f>
        <v>2304</v>
      </c>
      <c r="BX778" s="3">
        <f>[1]monsters!$Q778</f>
        <v>230.4</v>
      </c>
      <c r="BY778" s="3">
        <f>[1]monsters!$R778</f>
        <v>68.27</v>
      </c>
      <c r="BZ778" s="3">
        <f>[1]monsters!$S778</f>
        <v>6.83</v>
      </c>
      <c r="CA778" s="3">
        <f>[1]monsters!$K778</f>
        <v>1.6</v>
      </c>
      <c r="CB778" s="12">
        <f>[1]monsters!$D778</f>
        <v>2</v>
      </c>
      <c r="CC778" s="12">
        <f t="shared" ca="1" si="64"/>
        <v>0.1</v>
      </c>
      <c r="CD778" s="12">
        <f t="shared" ca="1" si="65"/>
        <v>93.324040404040403</v>
      </c>
      <c r="CE778" s="12">
        <f t="shared" ca="1" si="66"/>
        <v>9.3324040404040396</v>
      </c>
      <c r="CS778" s="33"/>
      <c r="CT778" s="33"/>
      <c r="CU778" s="33"/>
      <c r="CV778" s="32"/>
      <c r="CW778" s="32"/>
      <c r="CX778" s="32"/>
      <c r="CY778" s="34"/>
      <c r="CZ778" s="34"/>
      <c r="DA778" s="34"/>
      <c r="DB778" s="33"/>
      <c r="DC778" s="33"/>
      <c r="DD778" s="33"/>
      <c r="DE778" s="33"/>
      <c r="DF778" s="33"/>
      <c r="DG778" s="33"/>
      <c r="DH778" s="34"/>
      <c r="DI778" s="34"/>
      <c r="DJ778" s="34"/>
      <c r="DK778" s="34"/>
      <c r="DL778" s="34"/>
      <c r="DM778" s="34"/>
      <c r="DN778" s="12">
        <v>5102065</v>
      </c>
      <c r="DS778" s="21"/>
      <c r="DT778" s="21"/>
      <c r="DU778" s="21"/>
    </row>
    <row r="779" spans="72:125" ht="13.5" customHeight="1">
      <c r="BT779" s="12">
        <v>5206071</v>
      </c>
      <c r="BU779" s="3">
        <f>[1]monsters!$N779</f>
        <v>204.8</v>
      </c>
      <c r="BV779" s="3">
        <f>[1]monsters!$O779</f>
        <v>20.48</v>
      </c>
      <c r="BW779" s="3">
        <f>[1]monsters!$P779</f>
        <v>2304</v>
      </c>
      <c r="BX779" s="3">
        <f>[1]monsters!$Q779</f>
        <v>230.4</v>
      </c>
      <c r="BY779" s="3">
        <f>[1]monsters!$R779</f>
        <v>68.27</v>
      </c>
      <c r="BZ779" s="3">
        <f>[1]monsters!$S779</f>
        <v>6.83</v>
      </c>
      <c r="CA779" s="3">
        <f>[1]monsters!$K779</f>
        <v>1.6</v>
      </c>
      <c r="CB779" s="12">
        <f>[1]monsters!$D779</f>
        <v>2</v>
      </c>
      <c r="CC779" s="12">
        <f t="shared" ca="1" si="64"/>
        <v>0.1</v>
      </c>
      <c r="CD779" s="12">
        <f t="shared" ca="1" si="65"/>
        <v>112.104355555556</v>
      </c>
      <c r="CE779" s="12">
        <f t="shared" ca="1" si="66"/>
        <v>11.2104355555556</v>
      </c>
      <c r="CS779" s="33"/>
      <c r="CT779" s="33"/>
      <c r="CU779" s="33"/>
      <c r="CV779" s="32"/>
      <c r="CW779" s="32"/>
      <c r="CX779" s="32"/>
      <c r="CY779" s="34"/>
      <c r="CZ779" s="34"/>
      <c r="DA779" s="34"/>
      <c r="DB779" s="33"/>
      <c r="DC779" s="33"/>
      <c r="DD779" s="33"/>
      <c r="DE779" s="33"/>
      <c r="DF779" s="33"/>
      <c r="DG779" s="33"/>
      <c r="DH779" s="34"/>
      <c r="DI779" s="34"/>
      <c r="DJ779" s="34"/>
      <c r="DK779" s="34"/>
      <c r="DL779" s="34"/>
      <c r="DM779" s="34"/>
      <c r="DN779" s="12">
        <v>5206071</v>
      </c>
      <c r="DS779" s="21"/>
      <c r="DT779" s="21"/>
      <c r="DU779" s="21"/>
    </row>
    <row r="780" spans="72:125" ht="13.5" customHeight="1">
      <c r="BT780" s="12">
        <v>5406071</v>
      </c>
      <c r="BU780" s="3">
        <f>[1]monsters!$N780</f>
        <v>204.8</v>
      </c>
      <c r="BV780" s="3">
        <f>[1]monsters!$O780</f>
        <v>20.48</v>
      </c>
      <c r="BW780" s="3">
        <f>[1]monsters!$P780</f>
        <v>2304</v>
      </c>
      <c r="BX780" s="3">
        <f>[1]monsters!$Q780</f>
        <v>230.4</v>
      </c>
      <c r="BY780" s="3">
        <f>[1]monsters!$R780</f>
        <v>68.27</v>
      </c>
      <c r="BZ780" s="3">
        <f>[1]monsters!$S780</f>
        <v>6.83</v>
      </c>
      <c r="CA780" s="3">
        <f>[1]monsters!$K780</f>
        <v>1.6</v>
      </c>
      <c r="CB780" s="12">
        <f>[1]monsters!$D780</f>
        <v>2</v>
      </c>
      <c r="CC780" s="12">
        <f t="shared" ca="1" si="64"/>
        <v>0.1</v>
      </c>
      <c r="CD780" s="12">
        <f t="shared" ca="1" si="65"/>
        <v>104.43724040404</v>
      </c>
      <c r="CE780" s="12">
        <f t="shared" ca="1" si="66"/>
        <v>10.443724040404</v>
      </c>
      <c r="CS780" s="33"/>
      <c r="CT780" s="33"/>
      <c r="CU780" s="33"/>
      <c r="CV780" s="32"/>
      <c r="CW780" s="32"/>
      <c r="CX780" s="32"/>
      <c r="CY780" s="34"/>
      <c r="CZ780" s="34"/>
      <c r="DA780" s="34"/>
      <c r="DB780" s="33"/>
      <c r="DC780" s="33"/>
      <c r="DD780" s="33"/>
      <c r="DE780" s="33"/>
      <c r="DF780" s="33"/>
      <c r="DG780" s="33"/>
      <c r="DH780" s="34"/>
      <c r="DI780" s="34"/>
      <c r="DJ780" s="34"/>
      <c r="DK780" s="34"/>
      <c r="DL780" s="34"/>
      <c r="DM780" s="34"/>
      <c r="DN780" s="12">
        <v>5406071</v>
      </c>
      <c r="DS780" s="21"/>
      <c r="DT780" s="21"/>
      <c r="DU780" s="21"/>
    </row>
    <row r="781" spans="72:125" ht="13.5" customHeight="1">
      <c r="BT781" s="12">
        <v>5205071</v>
      </c>
      <c r="BU781" s="3">
        <f>[1]monsters!$N781</f>
        <v>204.8</v>
      </c>
      <c r="BV781" s="3">
        <f>[1]monsters!$O781</f>
        <v>20.48</v>
      </c>
      <c r="BW781" s="3">
        <f>[1]monsters!$P781</f>
        <v>2304</v>
      </c>
      <c r="BX781" s="3">
        <f>[1]monsters!$Q781</f>
        <v>230.4</v>
      </c>
      <c r="BY781" s="3">
        <f>[1]monsters!$R781</f>
        <v>68.27</v>
      </c>
      <c r="BZ781" s="3">
        <f>[1]monsters!$S781</f>
        <v>6.83</v>
      </c>
      <c r="CA781" s="3">
        <f>[1]monsters!$K781</f>
        <v>1.6</v>
      </c>
      <c r="CB781" s="12">
        <f>[1]monsters!$D781</f>
        <v>2</v>
      </c>
      <c r="CC781" s="12">
        <f t="shared" ca="1" si="64"/>
        <v>0.1</v>
      </c>
      <c r="CD781" s="12">
        <f t="shared" ca="1" si="65"/>
        <v>122.083555555556</v>
      </c>
      <c r="CE781" s="12">
        <f t="shared" ca="1" si="66"/>
        <v>12.208355555555601</v>
      </c>
      <c r="CS781" s="33"/>
      <c r="CT781" s="33"/>
      <c r="CU781" s="33"/>
      <c r="CV781" s="32"/>
      <c r="CW781" s="32"/>
      <c r="CX781" s="32"/>
      <c r="CY781" s="34"/>
      <c r="CZ781" s="34"/>
      <c r="DA781" s="34"/>
      <c r="DB781" s="33"/>
      <c r="DC781" s="33"/>
      <c r="DD781" s="33"/>
      <c r="DE781" s="33"/>
      <c r="DF781" s="33"/>
      <c r="DG781" s="33"/>
      <c r="DH781" s="34"/>
      <c r="DI781" s="34"/>
      <c r="DJ781" s="34"/>
      <c r="DK781" s="34"/>
      <c r="DL781" s="34"/>
      <c r="DM781" s="34"/>
      <c r="DN781" s="12">
        <v>5205071</v>
      </c>
      <c r="DS781" s="21"/>
      <c r="DT781" s="21"/>
      <c r="DU781" s="21"/>
    </row>
    <row r="782" spans="72:125" ht="13.5" customHeight="1">
      <c r="BT782" s="12">
        <v>5405071</v>
      </c>
      <c r="BU782" s="3">
        <f>[1]monsters!$N782</f>
        <v>221.87</v>
      </c>
      <c r="BV782" s="3">
        <f>[1]monsters!$O782</f>
        <v>22.19</v>
      </c>
      <c r="BW782" s="3">
        <f>[1]monsters!$P782</f>
        <v>2496</v>
      </c>
      <c r="BX782" s="3">
        <f>[1]monsters!$Q782</f>
        <v>249.6</v>
      </c>
      <c r="BY782" s="3">
        <f>[1]monsters!$R782</f>
        <v>73.959999999999994</v>
      </c>
      <c r="BZ782" s="3">
        <f>[1]monsters!$S782</f>
        <v>7.4</v>
      </c>
      <c r="CA782" s="3">
        <f>[1]monsters!$K782</f>
        <v>1.6</v>
      </c>
      <c r="CB782" s="12">
        <f>[1]monsters!$D782</f>
        <v>2</v>
      </c>
      <c r="CC782" s="12">
        <f t="shared" ca="1" si="64"/>
        <v>0.1</v>
      </c>
      <c r="CD782" s="12">
        <f t="shared" ca="1" si="65"/>
        <v>109.01104040404</v>
      </c>
      <c r="CE782" s="12">
        <f t="shared" ca="1" si="66"/>
        <v>10.901104040404</v>
      </c>
      <c r="CS782" s="33"/>
      <c r="CT782" s="33"/>
      <c r="CU782" s="33"/>
      <c r="CV782" s="32"/>
      <c r="CW782" s="32"/>
      <c r="CX782" s="32"/>
      <c r="CY782" s="34"/>
      <c r="CZ782" s="34"/>
      <c r="DA782" s="34"/>
      <c r="DB782" s="33"/>
      <c r="DC782" s="33"/>
      <c r="DD782" s="33"/>
      <c r="DE782" s="33"/>
      <c r="DF782" s="33"/>
      <c r="DG782" s="33"/>
      <c r="DH782" s="34"/>
      <c r="DI782" s="34"/>
      <c r="DJ782" s="34"/>
      <c r="DK782" s="34"/>
      <c r="DL782" s="34"/>
      <c r="DM782" s="34"/>
      <c r="DN782" s="12">
        <v>5405071</v>
      </c>
      <c r="DS782" s="21"/>
      <c r="DT782" s="21"/>
      <c r="DU782" s="21"/>
    </row>
    <row r="783" spans="72:125" ht="13.5" customHeight="1">
      <c r="BT783" s="12">
        <v>5203071</v>
      </c>
      <c r="BU783" s="3">
        <f>[1]monsters!$N783</f>
        <v>221.87</v>
      </c>
      <c r="BV783" s="3">
        <f>[1]monsters!$O783</f>
        <v>22.19</v>
      </c>
      <c r="BW783" s="3">
        <f>[1]monsters!$P783</f>
        <v>2496</v>
      </c>
      <c r="BX783" s="3">
        <f>[1]monsters!$Q783</f>
        <v>249.6</v>
      </c>
      <c r="BY783" s="3">
        <f>[1]monsters!$R783</f>
        <v>73.959999999999994</v>
      </c>
      <c r="BZ783" s="3">
        <f>[1]monsters!$S783</f>
        <v>7.4</v>
      </c>
      <c r="CA783" s="3">
        <f>[1]monsters!$K783</f>
        <v>1.6</v>
      </c>
      <c r="CB783" s="12">
        <f>[1]monsters!$D783</f>
        <v>2</v>
      </c>
      <c r="CC783" s="12">
        <f t="shared" ca="1" si="64"/>
        <v>0.1</v>
      </c>
      <c r="CD783" s="12">
        <f t="shared" ca="1" si="65"/>
        <v>98.798755555555601</v>
      </c>
      <c r="CE783" s="12">
        <f t="shared" ca="1" si="66"/>
        <v>9.8798755555555609</v>
      </c>
      <c r="CS783" s="33"/>
      <c r="CT783" s="33"/>
      <c r="CU783" s="33"/>
      <c r="CV783" s="32"/>
      <c r="CW783" s="32"/>
      <c r="CX783" s="32"/>
      <c r="CY783" s="34"/>
      <c r="CZ783" s="34"/>
      <c r="DA783" s="34"/>
      <c r="DB783" s="33"/>
      <c r="DC783" s="33"/>
      <c r="DD783" s="33"/>
      <c r="DE783" s="33"/>
      <c r="DF783" s="33"/>
      <c r="DG783" s="33"/>
      <c r="DH783" s="34"/>
      <c r="DI783" s="34"/>
      <c r="DJ783" s="34"/>
      <c r="DK783" s="34"/>
      <c r="DL783" s="34"/>
      <c r="DM783" s="34"/>
      <c r="DN783" s="12">
        <v>5203071</v>
      </c>
      <c r="DS783" s="21"/>
      <c r="DT783" s="21"/>
      <c r="DU783" s="21"/>
    </row>
    <row r="784" spans="72:125" ht="13.5" customHeight="1">
      <c r="BT784" s="12">
        <v>5403071</v>
      </c>
      <c r="BU784" s="3">
        <f>[1]monsters!$N784</f>
        <v>221.87</v>
      </c>
      <c r="BV784" s="3">
        <f>[1]monsters!$O784</f>
        <v>22.19</v>
      </c>
      <c r="BW784" s="3">
        <f>[1]monsters!$P784</f>
        <v>2496</v>
      </c>
      <c r="BX784" s="3">
        <f>[1]monsters!$Q784</f>
        <v>249.6</v>
      </c>
      <c r="BY784" s="3">
        <f>[1]monsters!$R784</f>
        <v>73.959999999999994</v>
      </c>
      <c r="BZ784" s="3">
        <f>[1]monsters!$S784</f>
        <v>7.4</v>
      </c>
      <c r="CA784" s="3">
        <f>[1]monsters!$K784</f>
        <v>1.6</v>
      </c>
      <c r="CB784" s="12">
        <f>[1]monsters!$D784</f>
        <v>2</v>
      </c>
      <c r="CC784" s="12">
        <f t="shared" ca="1" si="64"/>
        <v>0.1</v>
      </c>
      <c r="CD784" s="12">
        <f t="shared" ca="1" si="65"/>
        <v>90.715840404040406</v>
      </c>
      <c r="CE784" s="12">
        <f t="shared" ca="1" si="66"/>
        <v>9.0715840404040406</v>
      </c>
      <c r="CS784" s="33"/>
      <c r="CT784" s="33"/>
      <c r="CU784" s="33"/>
      <c r="CV784" s="32"/>
      <c r="CW784" s="32"/>
      <c r="CX784" s="32"/>
      <c r="CY784" s="34"/>
      <c r="CZ784" s="34"/>
      <c r="DA784" s="34"/>
      <c r="DB784" s="33"/>
      <c r="DC784" s="33"/>
      <c r="DD784" s="33"/>
      <c r="DE784" s="33"/>
      <c r="DF784" s="33"/>
      <c r="DG784" s="33"/>
      <c r="DH784" s="34"/>
      <c r="DI784" s="34"/>
      <c r="DJ784" s="34"/>
      <c r="DK784" s="34"/>
      <c r="DL784" s="34"/>
      <c r="DM784" s="34"/>
      <c r="DN784" s="12">
        <v>5403071</v>
      </c>
      <c r="DS784" s="21"/>
      <c r="DT784" s="21"/>
      <c r="DU784" s="21"/>
    </row>
    <row r="785" spans="72:125" ht="13.5" customHeight="1">
      <c r="BT785" s="12">
        <v>5204071</v>
      </c>
      <c r="BU785" s="3">
        <f>[1]monsters!$N785</f>
        <v>221.87</v>
      </c>
      <c r="BV785" s="3">
        <f>[1]monsters!$O785</f>
        <v>22.19</v>
      </c>
      <c r="BW785" s="3">
        <f>[1]monsters!$P785</f>
        <v>2496</v>
      </c>
      <c r="BX785" s="3">
        <f>[1]monsters!$Q785</f>
        <v>249.6</v>
      </c>
      <c r="BY785" s="3">
        <f>[1]monsters!$R785</f>
        <v>73.959999999999994</v>
      </c>
      <c r="BZ785" s="3">
        <f>[1]monsters!$S785</f>
        <v>7.4</v>
      </c>
      <c r="CA785" s="3">
        <f>[1]monsters!$K785</f>
        <v>1.6</v>
      </c>
      <c r="CB785" s="12">
        <f>[1]monsters!$D785</f>
        <v>2</v>
      </c>
      <c r="CC785" s="12">
        <f t="shared" ca="1" si="64"/>
        <v>0.1</v>
      </c>
      <c r="CD785" s="12">
        <f t="shared" ca="1" si="65"/>
        <v>102.12515555555601</v>
      </c>
      <c r="CE785" s="12">
        <f t="shared" ca="1" si="66"/>
        <v>10.2125155555556</v>
      </c>
      <c r="CS785" s="33"/>
      <c r="CT785" s="33"/>
      <c r="CU785" s="33"/>
      <c r="CV785" s="32"/>
      <c r="CW785" s="32"/>
      <c r="CX785" s="32"/>
      <c r="CY785" s="34"/>
      <c r="CZ785" s="34"/>
      <c r="DA785" s="34"/>
      <c r="DB785" s="33"/>
      <c r="DC785" s="33"/>
      <c r="DD785" s="33"/>
      <c r="DE785" s="33"/>
      <c r="DF785" s="33"/>
      <c r="DG785" s="33"/>
      <c r="DH785" s="34"/>
      <c r="DI785" s="34"/>
      <c r="DJ785" s="34"/>
      <c r="DK785" s="34"/>
      <c r="DL785" s="34"/>
      <c r="DM785" s="34"/>
      <c r="DN785" s="12">
        <v>5204071</v>
      </c>
      <c r="DS785" s="21"/>
      <c r="DT785" s="21"/>
      <c r="DU785" s="21"/>
    </row>
    <row r="786" spans="72:125" ht="13.5" customHeight="1">
      <c r="BT786" s="12">
        <v>5404071</v>
      </c>
      <c r="BU786" s="3">
        <f>[1]monsters!$N786</f>
        <v>221.87</v>
      </c>
      <c r="BV786" s="3">
        <f>[1]monsters!$O786</f>
        <v>22.19</v>
      </c>
      <c r="BW786" s="3">
        <f>[1]monsters!$P786</f>
        <v>2496</v>
      </c>
      <c r="BX786" s="3">
        <f>[1]monsters!$Q786</f>
        <v>249.6</v>
      </c>
      <c r="BY786" s="3">
        <f>[1]monsters!$R786</f>
        <v>73.959999999999994</v>
      </c>
      <c r="BZ786" s="3">
        <f>[1]monsters!$S786</f>
        <v>7.4</v>
      </c>
      <c r="CA786" s="3">
        <f>[1]monsters!$K786</f>
        <v>1.6</v>
      </c>
      <c r="CB786" s="12">
        <f>[1]monsters!$D786</f>
        <v>2</v>
      </c>
      <c r="CC786" s="12">
        <f t="shared" ca="1" si="64"/>
        <v>0.1</v>
      </c>
      <c r="CD786" s="12">
        <f t="shared" ca="1" si="65"/>
        <v>109.01104040404</v>
      </c>
      <c r="CE786" s="12">
        <f t="shared" ca="1" si="66"/>
        <v>10.901104040404</v>
      </c>
      <c r="CS786" s="33"/>
      <c r="CT786" s="33"/>
      <c r="CU786" s="33"/>
      <c r="CV786" s="32"/>
      <c r="CW786" s="32"/>
      <c r="CX786" s="32"/>
      <c r="CY786" s="34"/>
      <c r="CZ786" s="34"/>
      <c r="DA786" s="34"/>
      <c r="DB786" s="33"/>
      <c r="DC786" s="33"/>
      <c r="DD786" s="33"/>
      <c r="DE786" s="33"/>
      <c r="DF786" s="33"/>
      <c r="DG786" s="33"/>
      <c r="DH786" s="34"/>
      <c r="DI786" s="34"/>
      <c r="DJ786" s="34"/>
      <c r="DK786" s="34"/>
      <c r="DL786" s="34"/>
      <c r="DM786" s="34"/>
      <c r="DN786" s="12">
        <v>5404071</v>
      </c>
      <c r="DS786" s="21"/>
      <c r="DT786" s="21"/>
      <c r="DU786" s="21"/>
    </row>
    <row r="787" spans="72:125" ht="13.5" customHeight="1">
      <c r="BT787" s="12">
        <v>5303071</v>
      </c>
      <c r="BU787" s="3">
        <f>[1]monsters!$N787</f>
        <v>238.93</v>
      </c>
      <c r="BV787" s="3">
        <f>[1]monsters!$O787</f>
        <v>23.89</v>
      </c>
      <c r="BW787" s="3">
        <f>[1]monsters!$P787</f>
        <v>2688</v>
      </c>
      <c r="BX787" s="3">
        <f>[1]monsters!$Q787</f>
        <v>268.8</v>
      </c>
      <c r="BY787" s="3">
        <f>[1]monsters!$R787</f>
        <v>79.64</v>
      </c>
      <c r="BZ787" s="3">
        <f>[1]monsters!$S787</f>
        <v>7.96</v>
      </c>
      <c r="CA787" s="3">
        <f>[1]monsters!$K787</f>
        <v>1.6</v>
      </c>
      <c r="CB787" s="12">
        <f>[1]monsters!$D787</f>
        <v>2</v>
      </c>
      <c r="CC787" s="12">
        <f t="shared" ca="1" si="64"/>
        <v>0.1</v>
      </c>
      <c r="CD787" s="12">
        <f t="shared" ca="1" si="65"/>
        <v>98.031316049382795</v>
      </c>
      <c r="CE787" s="12">
        <f t="shared" ca="1" si="66"/>
        <v>9.8031316049382795</v>
      </c>
      <c r="CS787" s="33"/>
      <c r="CT787" s="33"/>
      <c r="CU787" s="33"/>
      <c r="CV787" s="32"/>
      <c r="CW787" s="32"/>
      <c r="CX787" s="32"/>
      <c r="CY787" s="34"/>
      <c r="CZ787" s="34"/>
      <c r="DA787" s="34"/>
      <c r="DB787" s="33"/>
      <c r="DC787" s="33"/>
      <c r="DD787" s="33"/>
      <c r="DE787" s="33"/>
      <c r="DF787" s="33"/>
      <c r="DG787" s="33"/>
      <c r="DH787" s="34"/>
      <c r="DI787" s="34"/>
      <c r="DJ787" s="34"/>
      <c r="DK787" s="34"/>
      <c r="DL787" s="34"/>
      <c r="DM787" s="34"/>
      <c r="DN787" s="12">
        <v>5303071</v>
      </c>
      <c r="DS787" s="21"/>
      <c r="DT787" s="21"/>
      <c r="DU787" s="21"/>
    </row>
    <row r="788" spans="72:125" ht="13.5" customHeight="1">
      <c r="BT788" s="12">
        <v>5304071</v>
      </c>
      <c r="BU788" s="3">
        <f>[1]monsters!$N788</f>
        <v>238.93</v>
      </c>
      <c r="BV788" s="3">
        <f>[1]monsters!$O788</f>
        <v>23.89</v>
      </c>
      <c r="BW788" s="3">
        <f>[1]monsters!$P788</f>
        <v>2688</v>
      </c>
      <c r="BX788" s="3">
        <f>[1]monsters!$Q788</f>
        <v>268.8</v>
      </c>
      <c r="BY788" s="3">
        <f>[1]monsters!$R788</f>
        <v>79.64</v>
      </c>
      <c r="BZ788" s="3">
        <f>[1]monsters!$S788</f>
        <v>7.96</v>
      </c>
      <c r="CA788" s="3">
        <f>[1]monsters!$K788</f>
        <v>1.6</v>
      </c>
      <c r="CB788" s="12">
        <f>[1]monsters!$D788</f>
        <v>2</v>
      </c>
      <c r="CC788" s="12">
        <f t="shared" ca="1" si="64"/>
        <v>0.1</v>
      </c>
      <c r="CD788" s="12">
        <f t="shared" ca="1" si="65"/>
        <v>101.77351604938301</v>
      </c>
      <c r="CE788" s="12">
        <f t="shared" ca="1" si="66"/>
        <v>10.1773516049383</v>
      </c>
      <c r="CS788" s="33"/>
      <c r="CT788" s="33"/>
      <c r="CU788" s="33"/>
      <c r="CV788" s="32"/>
      <c r="CW788" s="32"/>
      <c r="CX788" s="32"/>
      <c r="CY788" s="34"/>
      <c r="CZ788" s="34"/>
      <c r="DA788" s="34"/>
      <c r="DB788" s="33"/>
      <c r="DC788" s="33"/>
      <c r="DD788" s="33"/>
      <c r="DE788" s="33"/>
      <c r="DF788" s="33"/>
      <c r="DG788" s="33"/>
      <c r="DH788" s="34"/>
      <c r="DI788" s="34"/>
      <c r="DJ788" s="34"/>
      <c r="DK788" s="34"/>
      <c r="DL788" s="34"/>
      <c r="DM788" s="34"/>
      <c r="DN788" s="12">
        <v>5304071</v>
      </c>
      <c r="DS788" s="21"/>
      <c r="DT788" s="21"/>
      <c r="DU788" s="21"/>
    </row>
    <row r="789" spans="72:125" ht="13.5" customHeight="1">
      <c r="BT789" s="12">
        <v>5503071</v>
      </c>
      <c r="BU789" s="3">
        <f>[1]monsters!$N789</f>
        <v>238.93</v>
      </c>
      <c r="BV789" s="3">
        <f>[1]monsters!$O789</f>
        <v>23.89</v>
      </c>
      <c r="BW789" s="3">
        <f>[1]monsters!$P789</f>
        <v>2688</v>
      </c>
      <c r="BX789" s="3">
        <f>[1]monsters!$Q789</f>
        <v>268.8</v>
      </c>
      <c r="BY789" s="3">
        <f>[1]monsters!$R789</f>
        <v>79.64</v>
      </c>
      <c r="BZ789" s="3">
        <f>[1]monsters!$S789</f>
        <v>7.96</v>
      </c>
      <c r="CA789" s="3">
        <f>[1]monsters!$K789</f>
        <v>1.6</v>
      </c>
      <c r="CB789" s="12">
        <f>[1]monsters!$D789</f>
        <v>2</v>
      </c>
      <c r="CC789" s="12">
        <f t="shared" ca="1" si="64"/>
        <v>0.1</v>
      </c>
      <c r="CD789" s="12">
        <f t="shared" ca="1" si="65"/>
        <v>116.870637037037</v>
      </c>
      <c r="CE789" s="12">
        <f t="shared" ca="1" si="66"/>
        <v>11.6870637037037</v>
      </c>
      <c r="CS789" s="33"/>
      <c r="CT789" s="33"/>
      <c r="CU789" s="33"/>
      <c r="CV789" s="32"/>
      <c r="CW789" s="32"/>
      <c r="CX789" s="32"/>
      <c r="CY789" s="34"/>
      <c r="CZ789" s="34"/>
      <c r="DA789" s="34"/>
      <c r="DB789" s="33"/>
      <c r="DC789" s="33"/>
      <c r="DD789" s="33"/>
      <c r="DE789" s="33"/>
      <c r="DF789" s="33"/>
      <c r="DG789" s="33"/>
      <c r="DH789" s="34"/>
      <c r="DI789" s="34"/>
      <c r="DJ789" s="34"/>
      <c r="DK789" s="34"/>
      <c r="DL789" s="34"/>
      <c r="DM789" s="34"/>
      <c r="DN789" s="12">
        <v>5503071</v>
      </c>
      <c r="DS789" s="21"/>
      <c r="DT789" s="21"/>
      <c r="DU789" s="21"/>
    </row>
    <row r="790" spans="72:125" ht="13.5" customHeight="1">
      <c r="BT790" s="12">
        <v>5504071</v>
      </c>
      <c r="BU790" s="3">
        <f>[1]monsters!$N790</f>
        <v>238.93</v>
      </c>
      <c r="BV790" s="3">
        <f>[1]monsters!$O790</f>
        <v>23.89</v>
      </c>
      <c r="BW790" s="3">
        <f>[1]monsters!$P790</f>
        <v>2688</v>
      </c>
      <c r="BX790" s="3">
        <f>[1]monsters!$Q790</f>
        <v>268.8</v>
      </c>
      <c r="BY790" s="3">
        <f>[1]monsters!$R790</f>
        <v>79.64</v>
      </c>
      <c r="BZ790" s="3">
        <f>[1]monsters!$S790</f>
        <v>7.96</v>
      </c>
      <c r="CA790" s="3">
        <f>[1]monsters!$K790</f>
        <v>1.6</v>
      </c>
      <c r="CB790" s="12">
        <f>[1]monsters!$D790</f>
        <v>2</v>
      </c>
      <c r="CC790" s="12">
        <f t="shared" ca="1" si="64"/>
        <v>0.1</v>
      </c>
      <c r="CD790" s="12">
        <f t="shared" ca="1" si="65"/>
        <v>126.84983703703701</v>
      </c>
      <c r="CE790" s="12">
        <f t="shared" ca="1" si="66"/>
        <v>12.684983703703701</v>
      </c>
      <c r="CS790" s="33"/>
      <c r="CT790" s="33"/>
      <c r="CU790" s="33"/>
      <c r="CV790" s="32"/>
      <c r="CW790" s="32"/>
      <c r="CX790" s="32"/>
      <c r="CY790" s="34"/>
      <c r="CZ790" s="34"/>
      <c r="DA790" s="34"/>
      <c r="DB790" s="33"/>
      <c r="DC790" s="33"/>
      <c r="DD790" s="33"/>
      <c r="DE790" s="33"/>
      <c r="DF790" s="33"/>
      <c r="DG790" s="33"/>
      <c r="DH790" s="34"/>
      <c r="DI790" s="34"/>
      <c r="DJ790" s="34"/>
      <c r="DK790" s="34"/>
      <c r="DL790" s="34"/>
      <c r="DM790" s="34"/>
      <c r="DN790" s="12">
        <v>5504071</v>
      </c>
      <c r="DS790" s="21"/>
      <c r="DT790" s="21"/>
      <c r="DU790" s="21"/>
    </row>
    <row r="791" spans="72:125" ht="13.5" customHeight="1">
      <c r="BT791" s="12">
        <v>5101071</v>
      </c>
      <c r="BU791" s="3">
        <f>[1]monsters!$N791</f>
        <v>238.93</v>
      </c>
      <c r="BV791" s="3">
        <f>[1]monsters!$O791</f>
        <v>23.89</v>
      </c>
      <c r="BW791" s="3">
        <f>[1]monsters!$P791</f>
        <v>2688</v>
      </c>
      <c r="BX791" s="3">
        <f>[1]monsters!$Q791</f>
        <v>268.8</v>
      </c>
      <c r="BY791" s="3">
        <f>[1]monsters!$R791</f>
        <v>79.64</v>
      </c>
      <c r="BZ791" s="3">
        <f>[1]monsters!$S791</f>
        <v>7.96</v>
      </c>
      <c r="CA791" s="3">
        <f>[1]monsters!$K791</f>
        <v>1.6</v>
      </c>
      <c r="CB791" s="12">
        <f>[1]monsters!$D791</f>
        <v>2</v>
      </c>
      <c r="CC791" s="12">
        <f t="shared" ca="1" si="64"/>
        <v>0.1</v>
      </c>
      <c r="CD791" s="12">
        <f t="shared" ca="1" si="65"/>
        <v>110.97244444444399</v>
      </c>
      <c r="CE791" s="12">
        <f t="shared" ca="1" si="66"/>
        <v>11.097244444444399</v>
      </c>
      <c r="CS791" s="33"/>
      <c r="CT791" s="33"/>
      <c r="CU791" s="33"/>
      <c r="CV791" s="32"/>
      <c r="CW791" s="32"/>
      <c r="CX791" s="32"/>
      <c r="CY791" s="34"/>
      <c r="CZ791" s="34"/>
      <c r="DA791" s="34"/>
      <c r="DB791" s="33"/>
      <c r="DC791" s="33"/>
      <c r="DD791" s="33"/>
      <c r="DE791" s="33"/>
      <c r="DF791" s="33"/>
      <c r="DG791" s="33"/>
      <c r="DH791" s="34"/>
      <c r="DI791" s="34"/>
      <c r="DJ791" s="34"/>
      <c r="DK791" s="34"/>
      <c r="DL791" s="34"/>
      <c r="DM791" s="34"/>
      <c r="DN791" s="12">
        <v>5101071</v>
      </c>
      <c r="DS791" s="21"/>
      <c r="DT791" s="21"/>
      <c r="DU791" s="21"/>
    </row>
    <row r="792" spans="72:125" ht="13.5" customHeight="1">
      <c r="BT792" s="12">
        <v>5102071</v>
      </c>
      <c r="BU792" s="3">
        <f>[1]monsters!$N792</f>
        <v>256</v>
      </c>
      <c r="BV792" s="3">
        <f>[1]monsters!$O792</f>
        <v>25.6</v>
      </c>
      <c r="BW792" s="3">
        <f>[1]monsters!$P792</f>
        <v>2880</v>
      </c>
      <c r="BX792" s="3">
        <f>[1]monsters!$Q792</f>
        <v>288</v>
      </c>
      <c r="BY792" s="3">
        <f>[1]monsters!$R792</f>
        <v>85.33</v>
      </c>
      <c r="BZ792" s="3">
        <f>[1]monsters!$S792</f>
        <v>8.5299999999999994</v>
      </c>
      <c r="CA792" s="3">
        <f>[1]monsters!$K792</f>
        <v>1.6</v>
      </c>
      <c r="CB792" s="12">
        <f>[1]monsters!$D792</f>
        <v>2</v>
      </c>
      <c r="CC792" s="12">
        <f t="shared" ca="1" si="64"/>
        <v>0.1</v>
      </c>
      <c r="CD792" s="12">
        <f t="shared" ca="1" si="65"/>
        <v>102.65644444444401</v>
      </c>
      <c r="CE792" s="12">
        <f t="shared" ca="1" si="66"/>
        <v>10.265644444444399</v>
      </c>
      <c r="CS792" s="33"/>
      <c r="CT792" s="33"/>
      <c r="CU792" s="33"/>
      <c r="CV792" s="32"/>
      <c r="CW792" s="32"/>
      <c r="CX792" s="32"/>
      <c r="CY792" s="34"/>
      <c r="CZ792" s="34"/>
      <c r="DA792" s="34"/>
      <c r="DB792" s="33"/>
      <c r="DC792" s="33"/>
      <c r="DD792" s="33"/>
      <c r="DE792" s="33"/>
      <c r="DF792" s="33"/>
      <c r="DG792" s="33"/>
      <c r="DH792" s="34"/>
      <c r="DI792" s="34"/>
      <c r="DJ792" s="34"/>
      <c r="DK792" s="34"/>
      <c r="DL792" s="34"/>
      <c r="DM792" s="34"/>
      <c r="DN792" s="12">
        <v>5102071</v>
      </c>
      <c r="DS792" s="21"/>
      <c r="DT792" s="21"/>
      <c r="DU792" s="21"/>
    </row>
    <row r="793" spans="72:125" ht="13.5" customHeight="1">
      <c r="BT793" s="12">
        <v>5206072</v>
      </c>
      <c r="BU793" s="3">
        <f>[1]monsters!$N793</f>
        <v>256</v>
      </c>
      <c r="BV793" s="3">
        <f>[1]monsters!$O793</f>
        <v>25.6</v>
      </c>
      <c r="BW793" s="3">
        <f>[1]monsters!$P793</f>
        <v>2880</v>
      </c>
      <c r="BX793" s="3">
        <f>[1]monsters!$Q793</f>
        <v>288</v>
      </c>
      <c r="BY793" s="3">
        <f>[1]monsters!$R793</f>
        <v>85.33</v>
      </c>
      <c r="BZ793" s="3">
        <f>[1]monsters!$S793</f>
        <v>8.5299999999999994</v>
      </c>
      <c r="CA793" s="3">
        <f>[1]monsters!$K793</f>
        <v>1.6</v>
      </c>
      <c r="CB793" s="12">
        <f>[1]monsters!$D793</f>
        <v>2</v>
      </c>
      <c r="CC793" s="12">
        <f t="shared" ca="1" si="64"/>
        <v>0.1</v>
      </c>
      <c r="CD793" s="12">
        <f t="shared" ca="1" si="65"/>
        <v>112.104355555556</v>
      </c>
      <c r="CE793" s="12">
        <f t="shared" ca="1" si="66"/>
        <v>11.2104355555556</v>
      </c>
      <c r="CS793" s="33"/>
      <c r="CT793" s="33"/>
      <c r="CU793" s="33"/>
      <c r="CV793" s="32"/>
      <c r="CW793" s="32"/>
      <c r="CX793" s="32"/>
      <c r="CY793" s="34"/>
      <c r="CZ793" s="34"/>
      <c r="DA793" s="34"/>
      <c r="DB793" s="33"/>
      <c r="DC793" s="33"/>
      <c r="DD793" s="33"/>
      <c r="DE793" s="33"/>
      <c r="DF793" s="33"/>
      <c r="DG793" s="33"/>
      <c r="DH793" s="34"/>
      <c r="DI793" s="34"/>
      <c r="DJ793" s="34"/>
      <c r="DK793" s="34"/>
      <c r="DL793" s="34"/>
      <c r="DM793" s="34"/>
      <c r="DN793" s="12">
        <v>5206072</v>
      </c>
      <c r="DS793" s="21"/>
      <c r="DT793" s="21"/>
      <c r="DU793" s="21"/>
    </row>
    <row r="794" spans="72:125" ht="13.5" customHeight="1">
      <c r="BT794" s="12">
        <v>5406072</v>
      </c>
      <c r="BU794" s="3">
        <f>[1]monsters!$N794</f>
        <v>256</v>
      </c>
      <c r="BV794" s="3">
        <f>[1]monsters!$O794</f>
        <v>25.6</v>
      </c>
      <c r="BW794" s="3">
        <f>[1]monsters!$P794</f>
        <v>2880</v>
      </c>
      <c r="BX794" s="3">
        <f>[1]monsters!$Q794</f>
        <v>288</v>
      </c>
      <c r="BY794" s="3">
        <f>[1]monsters!$R794</f>
        <v>85.33</v>
      </c>
      <c r="BZ794" s="3">
        <f>[1]monsters!$S794</f>
        <v>8.5299999999999994</v>
      </c>
      <c r="CA794" s="3">
        <f>[1]monsters!$K794</f>
        <v>1.6</v>
      </c>
      <c r="CB794" s="12">
        <f>[1]monsters!$D794</f>
        <v>2</v>
      </c>
      <c r="CC794" s="12">
        <f t="shared" ca="1" si="64"/>
        <v>0.1</v>
      </c>
      <c r="CD794" s="12">
        <f t="shared" ca="1" si="65"/>
        <v>104.43724040404</v>
      </c>
      <c r="CE794" s="12">
        <f t="shared" ca="1" si="66"/>
        <v>10.443724040404</v>
      </c>
      <c r="CS794" s="33"/>
      <c r="CT794" s="33"/>
      <c r="CU794" s="33"/>
      <c r="CV794" s="32"/>
      <c r="CW794" s="32"/>
      <c r="CX794" s="32"/>
      <c r="CY794" s="34"/>
      <c r="CZ794" s="34"/>
      <c r="DA794" s="34"/>
      <c r="DB794" s="33"/>
      <c r="DC794" s="33"/>
      <c r="DD794" s="33"/>
      <c r="DE794" s="33"/>
      <c r="DF794" s="33"/>
      <c r="DG794" s="33"/>
      <c r="DH794" s="34"/>
      <c r="DI794" s="34"/>
      <c r="DJ794" s="34"/>
      <c r="DK794" s="34"/>
      <c r="DL794" s="34"/>
      <c r="DM794" s="34"/>
      <c r="DN794" s="12">
        <v>5406072</v>
      </c>
      <c r="DS794" s="21"/>
      <c r="DT794" s="21"/>
      <c r="DU794" s="21"/>
    </row>
    <row r="795" spans="72:125" ht="13.5" customHeight="1">
      <c r="BT795" s="12">
        <v>5205072</v>
      </c>
      <c r="BU795" s="3">
        <f>[1]monsters!$N795</f>
        <v>256</v>
      </c>
      <c r="BV795" s="3">
        <f>[1]monsters!$O795</f>
        <v>25.6</v>
      </c>
      <c r="BW795" s="3">
        <f>[1]monsters!$P795</f>
        <v>2880</v>
      </c>
      <c r="BX795" s="3">
        <f>[1]monsters!$Q795</f>
        <v>288</v>
      </c>
      <c r="BY795" s="3">
        <f>[1]monsters!$R795</f>
        <v>85.33</v>
      </c>
      <c r="BZ795" s="3">
        <f>[1]monsters!$S795</f>
        <v>8.5299999999999994</v>
      </c>
      <c r="CA795" s="3">
        <f>[1]monsters!$K795</f>
        <v>1.6</v>
      </c>
      <c r="CB795" s="12">
        <f>[1]monsters!$D795</f>
        <v>2</v>
      </c>
      <c r="CC795" s="12">
        <f t="shared" ca="1" si="64"/>
        <v>0.1</v>
      </c>
      <c r="CD795" s="12">
        <f t="shared" ca="1" si="65"/>
        <v>122.083555555556</v>
      </c>
      <c r="CE795" s="12">
        <f t="shared" ca="1" si="66"/>
        <v>12.208355555555601</v>
      </c>
      <c r="CS795" s="33"/>
      <c r="CT795" s="33"/>
      <c r="CU795" s="33"/>
      <c r="CV795" s="32"/>
      <c r="CW795" s="32"/>
      <c r="CX795" s="32"/>
      <c r="CY795" s="34"/>
      <c r="CZ795" s="34"/>
      <c r="DA795" s="34"/>
      <c r="DB795" s="33"/>
      <c r="DC795" s="33"/>
      <c r="DD795" s="33"/>
      <c r="DE795" s="33"/>
      <c r="DF795" s="33"/>
      <c r="DG795" s="33"/>
      <c r="DH795" s="34"/>
      <c r="DI795" s="34"/>
      <c r="DJ795" s="34"/>
      <c r="DK795" s="34"/>
      <c r="DL795" s="34"/>
      <c r="DM795" s="34"/>
      <c r="DN795" s="12">
        <v>5205072</v>
      </c>
      <c r="DS795" s="21"/>
      <c r="DT795" s="21"/>
      <c r="DU795" s="21"/>
    </row>
    <row r="796" spans="72:125" ht="13.5" customHeight="1">
      <c r="BT796" s="12">
        <v>5405072</v>
      </c>
      <c r="BU796" s="3">
        <f>[1]monsters!$N796</f>
        <v>256</v>
      </c>
      <c r="BV796" s="3">
        <f>[1]monsters!$O796</f>
        <v>25.6</v>
      </c>
      <c r="BW796" s="3">
        <f>[1]monsters!$P796</f>
        <v>2880</v>
      </c>
      <c r="BX796" s="3">
        <f>[1]monsters!$Q796</f>
        <v>288</v>
      </c>
      <c r="BY796" s="3">
        <f>[1]monsters!$R796</f>
        <v>85.33</v>
      </c>
      <c r="BZ796" s="3">
        <f>[1]monsters!$S796</f>
        <v>8.5299999999999994</v>
      </c>
      <c r="CA796" s="3">
        <f>[1]monsters!$K796</f>
        <v>1.6</v>
      </c>
      <c r="CB796" s="12">
        <f>[1]monsters!$D796</f>
        <v>2</v>
      </c>
      <c r="CC796" s="12">
        <f t="shared" ca="1" si="64"/>
        <v>0.1</v>
      </c>
      <c r="CD796" s="12">
        <f t="shared" ca="1" si="65"/>
        <v>109.01104040404</v>
      </c>
      <c r="CE796" s="12">
        <f t="shared" ca="1" si="66"/>
        <v>10.901104040404</v>
      </c>
      <c r="CS796" s="33"/>
      <c r="CT796" s="33"/>
      <c r="CU796" s="33"/>
      <c r="CV796" s="32"/>
      <c r="CW796" s="32"/>
      <c r="CX796" s="32"/>
      <c r="CY796" s="34"/>
      <c r="CZ796" s="34"/>
      <c r="DA796" s="34"/>
      <c r="DB796" s="33"/>
      <c r="DC796" s="33"/>
      <c r="DD796" s="33"/>
      <c r="DE796" s="33"/>
      <c r="DF796" s="33"/>
      <c r="DG796" s="33"/>
      <c r="DH796" s="34"/>
      <c r="DI796" s="34"/>
      <c r="DJ796" s="34"/>
      <c r="DK796" s="34"/>
      <c r="DL796" s="34"/>
      <c r="DM796" s="34"/>
      <c r="DN796" s="12">
        <v>5405072</v>
      </c>
      <c r="DS796" s="21"/>
      <c r="DT796" s="21"/>
      <c r="DU796" s="21"/>
    </row>
    <row r="797" spans="72:125" ht="13.5" customHeight="1">
      <c r="BT797" s="12">
        <v>5203072</v>
      </c>
      <c r="BU797" s="3">
        <f>[1]monsters!$N797</f>
        <v>273.07</v>
      </c>
      <c r="BV797" s="3">
        <f>[1]monsters!$O797</f>
        <v>27.31</v>
      </c>
      <c r="BW797" s="3">
        <f>[1]monsters!$P797</f>
        <v>3072</v>
      </c>
      <c r="BX797" s="3">
        <f>[1]monsters!$Q797</f>
        <v>307.2</v>
      </c>
      <c r="BY797" s="3">
        <f>[1]monsters!$R797</f>
        <v>91.02</v>
      </c>
      <c r="BZ797" s="3">
        <f>[1]monsters!$S797</f>
        <v>9.1</v>
      </c>
      <c r="CA797" s="3">
        <f>[1]monsters!$K797</f>
        <v>1.6</v>
      </c>
      <c r="CB797" s="12">
        <f>[1]monsters!$D797</f>
        <v>2</v>
      </c>
      <c r="CC797" s="12">
        <f t="shared" ca="1" si="64"/>
        <v>0.1</v>
      </c>
      <c r="CD797" s="12">
        <f t="shared" ca="1" si="65"/>
        <v>98.798755555555601</v>
      </c>
      <c r="CE797" s="12">
        <f t="shared" ca="1" si="66"/>
        <v>9.8798755555555609</v>
      </c>
      <c r="CS797" s="33"/>
      <c r="CT797" s="33"/>
      <c r="CU797" s="33"/>
      <c r="CV797" s="32"/>
      <c r="CW797" s="32"/>
      <c r="CX797" s="32"/>
      <c r="CY797" s="34"/>
      <c r="CZ797" s="34"/>
      <c r="DA797" s="34"/>
      <c r="DB797" s="33"/>
      <c r="DC797" s="33"/>
      <c r="DD797" s="33"/>
      <c r="DE797" s="33"/>
      <c r="DF797" s="33"/>
      <c r="DG797" s="33"/>
      <c r="DH797" s="34"/>
      <c r="DI797" s="34"/>
      <c r="DJ797" s="34"/>
      <c r="DK797" s="34"/>
      <c r="DL797" s="34"/>
      <c r="DM797" s="34"/>
      <c r="DN797" s="12">
        <v>5203072</v>
      </c>
      <c r="DS797" s="21"/>
      <c r="DT797" s="21"/>
      <c r="DU797" s="21"/>
    </row>
    <row r="798" spans="72:125" ht="13.5" customHeight="1">
      <c r="BT798" s="12">
        <v>5403072</v>
      </c>
      <c r="BU798" s="3">
        <f>[1]monsters!$N798</f>
        <v>273.07</v>
      </c>
      <c r="BV798" s="3">
        <f>[1]monsters!$O798</f>
        <v>27.31</v>
      </c>
      <c r="BW798" s="3">
        <f>[1]monsters!$P798</f>
        <v>3072</v>
      </c>
      <c r="BX798" s="3">
        <f>[1]monsters!$Q798</f>
        <v>307.2</v>
      </c>
      <c r="BY798" s="3">
        <f>[1]monsters!$R798</f>
        <v>91.02</v>
      </c>
      <c r="BZ798" s="3">
        <f>[1]monsters!$S798</f>
        <v>9.1</v>
      </c>
      <c r="CA798" s="3">
        <f>[1]monsters!$K798</f>
        <v>1.6</v>
      </c>
      <c r="CB798" s="12">
        <f>[1]monsters!$D798</f>
        <v>2</v>
      </c>
      <c r="CC798" s="12">
        <f t="shared" ca="1" si="64"/>
        <v>0.1</v>
      </c>
      <c r="CD798" s="12">
        <f t="shared" ca="1" si="65"/>
        <v>90.715840404040406</v>
      </c>
      <c r="CE798" s="12">
        <f t="shared" ca="1" si="66"/>
        <v>9.0715840404040406</v>
      </c>
      <c r="CS798" s="33"/>
      <c r="CT798" s="33"/>
      <c r="CU798" s="33"/>
      <c r="CV798" s="32"/>
      <c r="CW798" s="32"/>
      <c r="CX798" s="32"/>
      <c r="CY798" s="34"/>
      <c r="CZ798" s="34"/>
      <c r="DA798" s="34"/>
      <c r="DB798" s="33"/>
      <c r="DC798" s="33"/>
      <c r="DD798" s="33"/>
      <c r="DE798" s="33"/>
      <c r="DF798" s="33"/>
      <c r="DG798" s="33"/>
      <c r="DH798" s="34"/>
      <c r="DI798" s="34"/>
      <c r="DJ798" s="34"/>
      <c r="DK798" s="34"/>
      <c r="DL798" s="34"/>
      <c r="DM798" s="34"/>
      <c r="DN798" s="12">
        <v>5403072</v>
      </c>
      <c r="DS798" s="21"/>
      <c r="DT798" s="21"/>
      <c r="DU798" s="21"/>
    </row>
    <row r="799" spans="72:125" ht="13.5" customHeight="1">
      <c r="BT799" s="12">
        <v>5204072</v>
      </c>
      <c r="BU799" s="3">
        <f>[1]monsters!$N799</f>
        <v>273.07</v>
      </c>
      <c r="BV799" s="3">
        <f>[1]monsters!$O799</f>
        <v>27.31</v>
      </c>
      <c r="BW799" s="3">
        <f>[1]monsters!$P799</f>
        <v>3072</v>
      </c>
      <c r="BX799" s="3">
        <f>[1]monsters!$Q799</f>
        <v>307.2</v>
      </c>
      <c r="BY799" s="3">
        <f>[1]monsters!$R799</f>
        <v>91.02</v>
      </c>
      <c r="BZ799" s="3">
        <f>[1]monsters!$S799</f>
        <v>9.1</v>
      </c>
      <c r="CA799" s="3">
        <f>[1]monsters!$K799</f>
        <v>1.6</v>
      </c>
      <c r="CB799" s="12">
        <f>[1]monsters!$D799</f>
        <v>2</v>
      </c>
      <c r="CC799" s="12">
        <f t="shared" ca="1" si="64"/>
        <v>0.1</v>
      </c>
      <c r="CD799" s="12">
        <f t="shared" ca="1" si="65"/>
        <v>102.12515555555601</v>
      </c>
      <c r="CE799" s="12">
        <f t="shared" ca="1" si="66"/>
        <v>10.2125155555556</v>
      </c>
      <c r="CS799" s="33"/>
      <c r="CT799" s="33"/>
      <c r="CU799" s="33"/>
      <c r="CV799" s="32"/>
      <c r="CW799" s="32"/>
      <c r="CX799" s="32"/>
      <c r="CY799" s="34"/>
      <c r="CZ799" s="34"/>
      <c r="DA799" s="34"/>
      <c r="DB799" s="33"/>
      <c r="DC799" s="33"/>
      <c r="DD799" s="33"/>
      <c r="DE799" s="33"/>
      <c r="DF799" s="33"/>
      <c r="DG799" s="33"/>
      <c r="DH799" s="34"/>
      <c r="DI799" s="34"/>
      <c r="DJ799" s="34"/>
      <c r="DK799" s="34"/>
      <c r="DL799" s="34"/>
      <c r="DM799" s="34"/>
      <c r="DN799" s="12">
        <v>5204072</v>
      </c>
      <c r="DS799" s="21"/>
      <c r="DT799" s="21"/>
      <c r="DU799" s="21"/>
    </row>
    <row r="800" spans="72:125" ht="13.5" customHeight="1">
      <c r="BT800" s="12">
        <v>5404072</v>
      </c>
      <c r="BU800" s="3">
        <f>[1]monsters!$N800</f>
        <v>62.4</v>
      </c>
      <c r="BV800" s="3">
        <f>[1]monsters!$O800</f>
        <v>6.24</v>
      </c>
      <c r="BW800" s="3">
        <f>[1]monsters!$P800</f>
        <v>213.33400000000003</v>
      </c>
      <c r="BX800" s="3">
        <f>[1]monsters!$Q800</f>
        <v>106.67</v>
      </c>
      <c r="BY800" s="3">
        <f>[1]monsters!$R800</f>
        <v>12.48</v>
      </c>
      <c r="BZ800" s="3">
        <f>[1]monsters!$S800</f>
        <v>1.25</v>
      </c>
      <c r="CA800" s="3">
        <f>[1]monsters!$K800</f>
        <v>1.3</v>
      </c>
      <c r="CB800" s="12">
        <f>[1]monsters!$D800</f>
        <v>2</v>
      </c>
      <c r="CC800" s="12">
        <f t="shared" ca="1" si="64"/>
        <v>0.1</v>
      </c>
      <c r="CD800" s="12">
        <f t="shared" ca="1" si="65"/>
        <v>109.01104040404</v>
      </c>
      <c r="CE800" s="12">
        <f t="shared" ca="1" si="66"/>
        <v>10.901104040404</v>
      </c>
      <c r="CS800" s="33"/>
      <c r="CT800" s="33"/>
      <c r="CU800" s="33"/>
      <c r="CV800" s="32"/>
      <c r="CW800" s="32"/>
      <c r="CX800" s="32"/>
      <c r="CY800" s="34"/>
      <c r="CZ800" s="34"/>
      <c r="DA800" s="34"/>
      <c r="DB800" s="33"/>
      <c r="DC800" s="33"/>
      <c r="DD800" s="33"/>
      <c r="DE800" s="33"/>
      <c r="DF800" s="33"/>
      <c r="DG800" s="33"/>
      <c r="DH800" s="34"/>
      <c r="DI800" s="34"/>
      <c r="DJ800" s="34"/>
      <c r="DK800" s="34"/>
      <c r="DL800" s="34"/>
      <c r="DM800" s="34"/>
      <c r="DN800" s="12">
        <v>5404072</v>
      </c>
      <c r="DS800" s="21"/>
      <c r="DT800" s="21"/>
      <c r="DU800" s="21"/>
    </row>
    <row r="801" spans="72:125" ht="13.5" customHeight="1">
      <c r="BT801" s="12">
        <v>5303072</v>
      </c>
      <c r="BU801" s="3">
        <f>[1]monsters!$N801</f>
        <v>83.2</v>
      </c>
      <c r="BV801" s="3">
        <f>[1]monsters!$O801</f>
        <v>8.32</v>
      </c>
      <c r="BW801" s="3">
        <f>[1]monsters!$P801</f>
        <v>160</v>
      </c>
      <c r="BX801" s="3">
        <f>[1]monsters!$Q801</f>
        <v>80</v>
      </c>
      <c r="BY801" s="3">
        <f>[1]monsters!$R801</f>
        <v>8.32</v>
      </c>
      <c r="BZ801" s="3">
        <f>[1]monsters!$S801</f>
        <v>0.83</v>
      </c>
      <c r="CA801" s="3">
        <f>[1]monsters!$K801</f>
        <v>1.3</v>
      </c>
      <c r="CB801" s="12">
        <f>[1]monsters!$D801</f>
        <v>4</v>
      </c>
      <c r="CC801" s="12">
        <f t="shared" ca="1" si="64"/>
        <v>0.1</v>
      </c>
      <c r="CD801" s="12">
        <f t="shared" ca="1" si="65"/>
        <v>98.031316049382795</v>
      </c>
      <c r="CE801" s="12">
        <f t="shared" ca="1" si="66"/>
        <v>9.8031316049382795</v>
      </c>
      <c r="CS801" s="33"/>
      <c r="CT801" s="33"/>
      <c r="CU801" s="33"/>
      <c r="CV801" s="32"/>
      <c r="CW801" s="32"/>
      <c r="CX801" s="32"/>
      <c r="CY801" s="34"/>
      <c r="CZ801" s="34"/>
      <c r="DA801" s="34"/>
      <c r="DB801" s="33"/>
      <c r="DC801" s="33"/>
      <c r="DD801" s="33"/>
      <c r="DE801" s="33"/>
      <c r="DF801" s="33"/>
      <c r="DG801" s="33"/>
      <c r="DH801" s="34"/>
      <c r="DI801" s="34"/>
      <c r="DJ801" s="34"/>
      <c r="DK801" s="34"/>
      <c r="DL801" s="34"/>
      <c r="DM801" s="34"/>
      <c r="DN801" s="12">
        <v>5303072</v>
      </c>
      <c r="DS801" s="21"/>
      <c r="DT801" s="21"/>
      <c r="DU801" s="21"/>
    </row>
    <row r="802" spans="72:125" ht="13.5" customHeight="1">
      <c r="BT802" s="12">
        <v>5304072</v>
      </c>
      <c r="BU802" s="3">
        <f>[1]monsters!$N802</f>
        <v>86.4</v>
      </c>
      <c r="BV802" s="3">
        <f>[1]monsters!$O802</f>
        <v>8.64</v>
      </c>
      <c r="BW802" s="3">
        <f>[1]monsters!$P802</f>
        <v>213.33400000000003</v>
      </c>
      <c r="BX802" s="3">
        <f>[1]monsters!$Q802</f>
        <v>106.67</v>
      </c>
      <c r="BY802" s="3">
        <f>[1]monsters!$R802</f>
        <v>17.28</v>
      </c>
      <c r="BZ802" s="3">
        <f>[1]monsters!$S802</f>
        <v>1.73</v>
      </c>
      <c r="CA802" s="3">
        <f>[1]monsters!$K802</f>
        <v>1.8</v>
      </c>
      <c r="CB802" s="12">
        <f>[1]monsters!$D802</f>
        <v>2</v>
      </c>
      <c r="CC802" s="12">
        <f t="shared" ca="1" si="64"/>
        <v>0.1</v>
      </c>
      <c r="CD802" s="12">
        <f t="shared" ca="1" si="65"/>
        <v>101.77351604938301</v>
      </c>
      <c r="CE802" s="12">
        <f t="shared" ca="1" si="66"/>
        <v>10.1773516049383</v>
      </c>
      <c r="CS802" s="33"/>
      <c r="CT802" s="33"/>
      <c r="CU802" s="33"/>
      <c r="CV802" s="32"/>
      <c r="CW802" s="32"/>
      <c r="CX802" s="32"/>
      <c r="CY802" s="34"/>
      <c r="CZ802" s="34"/>
      <c r="DA802" s="34"/>
      <c r="DB802" s="33"/>
      <c r="DC802" s="33"/>
      <c r="DD802" s="33"/>
      <c r="DE802" s="33"/>
      <c r="DF802" s="33"/>
      <c r="DG802" s="33"/>
      <c r="DH802" s="34"/>
      <c r="DI802" s="34"/>
      <c r="DJ802" s="34"/>
      <c r="DK802" s="34"/>
      <c r="DL802" s="34"/>
      <c r="DM802" s="34"/>
      <c r="DN802" s="12">
        <v>5304072</v>
      </c>
      <c r="DS802" s="21"/>
      <c r="DT802" s="21"/>
      <c r="DU802" s="21"/>
    </row>
    <row r="803" spans="72:125" ht="13.5" customHeight="1">
      <c r="BT803" s="12">
        <v>5503072</v>
      </c>
      <c r="BU803" s="3">
        <f>[1]monsters!$N803</f>
        <v>100</v>
      </c>
      <c r="BV803" s="3">
        <f>[1]monsters!$O803</f>
        <v>10</v>
      </c>
      <c r="BW803" s="3">
        <f>[1]monsters!$P803</f>
        <v>153.60000000000002</v>
      </c>
      <c r="BX803" s="3">
        <f>[1]monsters!$Q803</f>
        <v>76.8</v>
      </c>
      <c r="BY803" s="3">
        <f>[1]monsters!$R803</f>
        <v>10</v>
      </c>
      <c r="BZ803" s="3">
        <f>[1]monsters!$S803</f>
        <v>1</v>
      </c>
      <c r="CA803" s="3">
        <f>[1]monsters!$K803</f>
        <v>1.5</v>
      </c>
      <c r="CB803" s="12">
        <f>[1]monsters!$D803</f>
        <v>4</v>
      </c>
      <c r="CC803" s="12">
        <f t="shared" ca="1" si="64"/>
        <v>0.1</v>
      </c>
      <c r="CD803" s="12">
        <f t="shared" ca="1" si="65"/>
        <v>116.870637037037</v>
      </c>
      <c r="CE803" s="12">
        <f t="shared" ca="1" si="66"/>
        <v>11.6870637037037</v>
      </c>
      <c r="CS803" s="33"/>
      <c r="CT803" s="33"/>
      <c r="CU803" s="33"/>
      <c r="CV803" s="32"/>
      <c r="CW803" s="32"/>
      <c r="CX803" s="32"/>
      <c r="CY803" s="34"/>
      <c r="CZ803" s="34"/>
      <c r="DA803" s="34"/>
      <c r="DB803" s="33"/>
      <c r="DC803" s="33"/>
      <c r="DD803" s="33"/>
      <c r="DE803" s="33"/>
      <c r="DF803" s="33"/>
      <c r="DG803" s="33"/>
      <c r="DH803" s="34"/>
      <c r="DI803" s="34"/>
      <c r="DJ803" s="34"/>
      <c r="DK803" s="34"/>
      <c r="DL803" s="34"/>
      <c r="DM803" s="34"/>
      <c r="DN803" s="12">
        <v>5503072</v>
      </c>
      <c r="DS803" s="21"/>
      <c r="DT803" s="21"/>
      <c r="DU803" s="21"/>
    </row>
    <row r="804" spans="72:125" ht="13.5" customHeight="1">
      <c r="BT804" s="12">
        <v>5504072</v>
      </c>
      <c r="BU804" s="3">
        <f>[1]monsters!$N804</f>
        <v>76.27</v>
      </c>
      <c r="BV804" s="3">
        <f>[1]monsters!$O804</f>
        <v>7.63</v>
      </c>
      <c r="BW804" s="3">
        <f>[1]monsters!$P804</f>
        <v>174.54600000000002</v>
      </c>
      <c r="BX804" s="3">
        <f>[1]monsters!$Q804</f>
        <v>87.27</v>
      </c>
      <c r="BY804" s="3">
        <f>[1]monsters!$R804</f>
        <v>9.5299999999999994</v>
      </c>
      <c r="BZ804" s="3">
        <f>[1]monsters!$S804</f>
        <v>0.95</v>
      </c>
      <c r="CA804" s="3">
        <f>[1]monsters!$K804</f>
        <v>1.3</v>
      </c>
      <c r="CB804" s="12">
        <f>[1]monsters!$D804</f>
        <v>3</v>
      </c>
      <c r="CC804" s="12">
        <f t="shared" ca="1" si="64"/>
        <v>0.1</v>
      </c>
      <c r="CD804" s="12">
        <f t="shared" ca="1" si="65"/>
        <v>126.84983703703701</v>
      </c>
      <c r="CE804" s="12">
        <f t="shared" ca="1" si="66"/>
        <v>12.684983703703701</v>
      </c>
      <c r="CS804" s="33"/>
      <c r="CT804" s="33"/>
      <c r="CU804" s="33"/>
      <c r="CV804" s="32"/>
      <c r="CW804" s="32"/>
      <c r="CX804" s="32"/>
      <c r="CY804" s="34"/>
      <c r="CZ804" s="34"/>
      <c r="DA804" s="34"/>
      <c r="DB804" s="33"/>
      <c r="DC804" s="33"/>
      <c r="DD804" s="33"/>
      <c r="DE804" s="33"/>
      <c r="DF804" s="33"/>
      <c r="DG804" s="33"/>
      <c r="DH804" s="34"/>
      <c r="DI804" s="34"/>
      <c r="DJ804" s="34"/>
      <c r="DK804" s="34"/>
      <c r="DL804" s="34"/>
      <c r="DM804" s="34"/>
      <c r="DN804" s="12">
        <v>5504072</v>
      </c>
      <c r="DS804" s="21"/>
      <c r="DT804" s="21"/>
      <c r="DU804" s="21"/>
    </row>
    <row r="805" spans="72:125" ht="13.5" customHeight="1">
      <c r="BT805" s="12">
        <v>5101072</v>
      </c>
      <c r="BU805" s="3">
        <f>[1]monsters!$N805</f>
        <v>105.6</v>
      </c>
      <c r="BV805" s="3">
        <f>[1]monsters!$O805</f>
        <v>10.56</v>
      </c>
      <c r="BW805" s="3">
        <f>[1]monsters!$P805</f>
        <v>174.54600000000002</v>
      </c>
      <c r="BX805" s="3">
        <f>[1]monsters!$Q805</f>
        <v>87.27</v>
      </c>
      <c r="BY805" s="3">
        <f>[1]monsters!$R805</f>
        <v>17.600000000000001</v>
      </c>
      <c r="BZ805" s="3">
        <f>[1]monsters!$S805</f>
        <v>1.76</v>
      </c>
      <c r="CA805" s="3">
        <f>[1]monsters!$K805</f>
        <v>1.8</v>
      </c>
      <c r="CB805" s="12">
        <f>[1]monsters!$D805</f>
        <v>5</v>
      </c>
      <c r="CC805" s="12">
        <f t="shared" ca="1" si="64"/>
        <v>0.1</v>
      </c>
      <c r="CD805" s="12">
        <f t="shared" ca="1" si="65"/>
        <v>110.97244444444399</v>
      </c>
      <c r="CE805" s="12">
        <f t="shared" ca="1" si="66"/>
        <v>11.097244444444399</v>
      </c>
      <c r="CS805" s="33"/>
      <c r="CT805" s="33"/>
      <c r="CU805" s="33"/>
      <c r="CV805" s="32"/>
      <c r="CW805" s="32"/>
      <c r="CX805" s="32"/>
      <c r="CY805" s="34"/>
      <c r="CZ805" s="34"/>
      <c r="DA805" s="34"/>
      <c r="DB805" s="33"/>
      <c r="DC805" s="33"/>
      <c r="DD805" s="33"/>
      <c r="DE805" s="33"/>
      <c r="DF805" s="33"/>
      <c r="DG805" s="33"/>
      <c r="DH805" s="34"/>
      <c r="DI805" s="34"/>
      <c r="DJ805" s="34"/>
      <c r="DK805" s="34"/>
      <c r="DL805" s="34"/>
      <c r="DM805" s="34"/>
      <c r="DN805" s="12">
        <v>5101072</v>
      </c>
      <c r="DS805" s="21"/>
      <c r="DT805" s="21"/>
      <c r="DU805" s="21"/>
    </row>
    <row r="806" spans="72:125" ht="13.5" customHeight="1">
      <c r="BT806" s="12">
        <v>5102072</v>
      </c>
      <c r="BU806" s="3">
        <f>[1]monsters!$N806</f>
        <v>76.8</v>
      </c>
      <c r="BV806" s="3">
        <f>[1]monsters!$O806</f>
        <v>7.68</v>
      </c>
      <c r="BW806" s="3">
        <f>[1]monsters!$P806</f>
        <v>213.33400000000003</v>
      </c>
      <c r="BX806" s="3">
        <f>[1]monsters!$Q806</f>
        <v>106.67</v>
      </c>
      <c r="BY806" s="3">
        <f>[1]monsters!$R806</f>
        <v>15.36</v>
      </c>
      <c r="BZ806" s="3">
        <f>[1]monsters!$S806</f>
        <v>1.54</v>
      </c>
      <c r="CA806" s="3">
        <f>[1]monsters!$K806</f>
        <v>1.6</v>
      </c>
      <c r="CB806" s="12">
        <f>[1]monsters!$D806</f>
        <v>2</v>
      </c>
      <c r="CC806" s="12">
        <f t="shared" ca="1" si="64"/>
        <v>0.1</v>
      </c>
      <c r="CD806" s="12">
        <f t="shared" ca="1" si="65"/>
        <v>102.65644444444401</v>
      </c>
      <c r="CE806" s="12">
        <f t="shared" ca="1" si="66"/>
        <v>10.265644444444399</v>
      </c>
      <c r="CS806" s="33"/>
      <c r="CT806" s="33"/>
      <c r="CU806" s="33"/>
      <c r="CV806" s="32"/>
      <c r="CW806" s="32"/>
      <c r="CX806" s="32"/>
      <c r="CY806" s="34"/>
      <c r="CZ806" s="34"/>
      <c r="DA806" s="34"/>
      <c r="DB806" s="33"/>
      <c r="DC806" s="33"/>
      <c r="DD806" s="33"/>
      <c r="DE806" s="33"/>
      <c r="DF806" s="33"/>
      <c r="DG806" s="33"/>
      <c r="DH806" s="34"/>
      <c r="DI806" s="34"/>
      <c r="DJ806" s="34"/>
      <c r="DK806" s="34"/>
      <c r="DL806" s="34"/>
      <c r="DM806" s="34"/>
      <c r="DN806" s="12">
        <v>5102072</v>
      </c>
      <c r="DS806" s="21"/>
      <c r="DT806" s="21"/>
      <c r="DU806" s="21"/>
    </row>
    <row r="807" spans="72:125" ht="13.5" customHeight="1">
      <c r="BT807" s="12">
        <v>5206073</v>
      </c>
      <c r="BU807" s="3">
        <f>[1]monsters!$N807</f>
        <v>97.07</v>
      </c>
      <c r="BV807" s="3">
        <f>[1]monsters!$O807</f>
        <v>9.7100000000000009</v>
      </c>
      <c r="BW807" s="3">
        <f>[1]monsters!$P807</f>
        <v>147.69200000000001</v>
      </c>
      <c r="BX807" s="3">
        <f>[1]monsters!$Q807</f>
        <v>73.849999999999994</v>
      </c>
      <c r="BY807" s="3">
        <f>[1]monsters!$R807</f>
        <v>9.7100000000000009</v>
      </c>
      <c r="BZ807" s="3">
        <f>[1]monsters!$S807</f>
        <v>0.97</v>
      </c>
      <c r="CA807" s="3">
        <f>[1]monsters!$K807</f>
        <v>1.4000000000000001</v>
      </c>
      <c r="CB807" s="12">
        <f>[1]monsters!$D807</f>
        <v>4</v>
      </c>
      <c r="CC807" s="12">
        <f t="shared" ca="1" si="64"/>
        <v>0.1</v>
      </c>
      <c r="CD807" s="12">
        <f t="shared" ca="1" si="65"/>
        <v>112.104355555556</v>
      </c>
      <c r="CE807" s="12">
        <f t="shared" ca="1" si="66"/>
        <v>11.2104355555556</v>
      </c>
      <c r="CS807" s="33"/>
      <c r="CT807" s="33"/>
      <c r="CU807" s="33"/>
      <c r="CV807" s="32"/>
      <c r="CW807" s="32"/>
      <c r="CX807" s="32"/>
      <c r="CY807" s="34"/>
      <c r="CZ807" s="34"/>
      <c r="DA807" s="34"/>
      <c r="DB807" s="33"/>
      <c r="DC807" s="33"/>
      <c r="DD807" s="33"/>
      <c r="DE807" s="33"/>
      <c r="DF807" s="33"/>
      <c r="DG807" s="33"/>
      <c r="DH807" s="34"/>
      <c r="DI807" s="34"/>
      <c r="DJ807" s="34"/>
      <c r="DK807" s="34"/>
      <c r="DL807" s="34"/>
      <c r="DM807" s="34"/>
      <c r="DN807" s="12">
        <v>5206073</v>
      </c>
      <c r="DS807" s="21"/>
      <c r="DT807" s="21"/>
      <c r="DU807" s="21"/>
    </row>
    <row r="808" spans="72:125" ht="13.5" customHeight="1">
      <c r="BT808" s="12">
        <v>5406073</v>
      </c>
      <c r="BU808" s="3">
        <f>[1]monsters!$N808</f>
        <v>67.2</v>
      </c>
      <c r="BV808" s="3">
        <f>[1]monsters!$O808</f>
        <v>6.72</v>
      </c>
      <c r="BW808" s="3">
        <f>[1]monsters!$P808</f>
        <v>213.33400000000003</v>
      </c>
      <c r="BX808" s="3">
        <f>[1]monsters!$Q808</f>
        <v>106.67</v>
      </c>
      <c r="BY808" s="3">
        <f>[1]monsters!$R808</f>
        <v>13.44</v>
      </c>
      <c r="BZ808" s="3">
        <f>[1]monsters!$S808</f>
        <v>1.34</v>
      </c>
      <c r="CA808" s="3">
        <f>[1]monsters!$K808</f>
        <v>1.4000000000000001</v>
      </c>
      <c r="CB808" s="12">
        <f>[1]monsters!$D808</f>
        <v>2</v>
      </c>
      <c r="CC808" s="12">
        <f t="shared" ca="1" si="64"/>
        <v>0.1</v>
      </c>
      <c r="CD808" s="12">
        <f t="shared" ca="1" si="65"/>
        <v>104.43724040404</v>
      </c>
      <c r="CE808" s="12">
        <f t="shared" ca="1" si="66"/>
        <v>10.443724040404</v>
      </c>
      <c r="CS808" s="33"/>
      <c r="CT808" s="33"/>
      <c r="CU808" s="33"/>
      <c r="CV808" s="32"/>
      <c r="CW808" s="32"/>
      <c r="CX808" s="32"/>
      <c r="CY808" s="34"/>
      <c r="CZ808" s="34"/>
      <c r="DA808" s="34"/>
      <c r="DB808" s="33"/>
      <c r="DC808" s="33"/>
      <c r="DD808" s="33"/>
      <c r="DE808" s="33"/>
      <c r="DF808" s="33"/>
      <c r="DG808" s="33"/>
      <c r="DH808" s="34"/>
      <c r="DI808" s="34"/>
      <c r="DJ808" s="34"/>
      <c r="DK808" s="34"/>
      <c r="DL808" s="34"/>
      <c r="DM808" s="34"/>
      <c r="DN808" s="12">
        <v>5406073</v>
      </c>
      <c r="DS808" s="21"/>
      <c r="DT808" s="21"/>
      <c r="DU808" s="21"/>
    </row>
    <row r="809" spans="72:125" ht="13.5" customHeight="1">
      <c r="BT809" s="12">
        <v>5205073</v>
      </c>
      <c r="BU809" s="3">
        <f>[1]monsters!$N809</f>
        <v>110.93</v>
      </c>
      <c r="BV809" s="3">
        <f>[1]monsters!$O809</f>
        <v>11.09</v>
      </c>
      <c r="BW809" s="3">
        <f>[1]monsters!$P809</f>
        <v>147.69200000000001</v>
      </c>
      <c r="BX809" s="3">
        <f>[1]monsters!$Q809</f>
        <v>73.849999999999994</v>
      </c>
      <c r="BY809" s="3">
        <f>[1]monsters!$R809</f>
        <v>11.09</v>
      </c>
      <c r="BZ809" s="3">
        <f>[1]monsters!$S809</f>
        <v>1.1100000000000001</v>
      </c>
      <c r="CA809" s="3">
        <f>[1]monsters!$K809</f>
        <v>1.6</v>
      </c>
      <c r="CB809" s="12">
        <f>[1]monsters!$D809</f>
        <v>4</v>
      </c>
      <c r="CC809" s="12">
        <f t="shared" ca="1" si="64"/>
        <v>0.1</v>
      </c>
      <c r="CD809" s="12">
        <f t="shared" ca="1" si="65"/>
        <v>122.083555555556</v>
      </c>
      <c r="CE809" s="12">
        <f t="shared" ca="1" si="66"/>
        <v>12.208355555555601</v>
      </c>
      <c r="CS809" s="33"/>
      <c r="CT809" s="33"/>
      <c r="CU809" s="33"/>
      <c r="CV809" s="32"/>
      <c r="CW809" s="32"/>
      <c r="CX809" s="32"/>
      <c r="CY809" s="34"/>
      <c r="CZ809" s="34"/>
      <c r="DA809" s="34"/>
      <c r="DB809" s="33"/>
      <c r="DC809" s="33"/>
      <c r="DD809" s="33"/>
      <c r="DE809" s="33"/>
      <c r="DF809" s="33"/>
      <c r="DG809" s="33"/>
      <c r="DH809" s="34"/>
      <c r="DI809" s="34"/>
      <c r="DJ809" s="34"/>
      <c r="DK809" s="34"/>
      <c r="DL809" s="34"/>
      <c r="DM809" s="34"/>
      <c r="DN809" s="12">
        <v>5205073</v>
      </c>
      <c r="DS809" s="21"/>
      <c r="DT809" s="21"/>
      <c r="DU809" s="21"/>
    </row>
    <row r="810" spans="72:125" ht="13.5" customHeight="1">
      <c r="BT810" s="12">
        <v>5405073</v>
      </c>
      <c r="BU810" s="3">
        <f>[1]monsters!$N810</f>
        <v>102.4</v>
      </c>
      <c r="BV810" s="3">
        <f>[1]monsters!$O810</f>
        <v>10.24</v>
      </c>
      <c r="BW810" s="3">
        <f>[1]monsters!$P810</f>
        <v>160</v>
      </c>
      <c r="BX810" s="3">
        <f>[1]monsters!$Q810</f>
        <v>80</v>
      </c>
      <c r="BY810" s="3">
        <f>[1]monsters!$R810</f>
        <v>17.07</v>
      </c>
      <c r="BZ810" s="3">
        <f>[1]monsters!$S810</f>
        <v>1.71</v>
      </c>
      <c r="CA810" s="3">
        <f>[1]monsters!$K810</f>
        <v>1.6</v>
      </c>
      <c r="CB810" s="12">
        <f>[1]monsters!$D810</f>
        <v>5</v>
      </c>
      <c r="CC810" s="12">
        <f t="shared" ca="1" si="64"/>
        <v>0.1</v>
      </c>
      <c r="CD810" s="12">
        <f t="shared" ca="1" si="65"/>
        <v>109.01104040404</v>
      </c>
      <c r="CE810" s="12">
        <f t="shared" ca="1" si="66"/>
        <v>10.901104040404</v>
      </c>
      <c r="CS810" s="33"/>
      <c r="CT810" s="33"/>
      <c r="CU810" s="33"/>
      <c r="CV810" s="32"/>
      <c r="CW810" s="32"/>
      <c r="CX810" s="32"/>
      <c r="CY810" s="34"/>
      <c r="CZ810" s="34"/>
      <c r="DA810" s="34"/>
      <c r="DB810" s="33"/>
      <c r="DC810" s="33"/>
      <c r="DD810" s="33"/>
      <c r="DE810" s="33"/>
      <c r="DF810" s="33"/>
      <c r="DG810" s="33"/>
      <c r="DH810" s="34"/>
      <c r="DI810" s="34"/>
      <c r="DJ810" s="34"/>
      <c r="DK810" s="34"/>
      <c r="DL810" s="34"/>
      <c r="DM810" s="34"/>
      <c r="DN810" s="12">
        <v>5405073</v>
      </c>
      <c r="DS810" s="21"/>
      <c r="DT810" s="21"/>
      <c r="DU810" s="21"/>
    </row>
    <row r="811" spans="72:125" ht="13.5" customHeight="1">
      <c r="BT811" s="12">
        <v>5203073</v>
      </c>
      <c r="BU811" s="3">
        <f>[1]monsters!$N811</f>
        <v>85.87</v>
      </c>
      <c r="BV811" s="3">
        <f>[1]monsters!$O811</f>
        <v>8.59</v>
      </c>
      <c r="BW811" s="3">
        <f>[1]monsters!$P811</f>
        <v>166.95600000000002</v>
      </c>
      <c r="BX811" s="3">
        <f>[1]monsters!$Q811</f>
        <v>83.48</v>
      </c>
      <c r="BY811" s="3">
        <f>[1]monsters!$R811</f>
        <v>10.73</v>
      </c>
      <c r="BZ811" s="3">
        <f>[1]monsters!$S811</f>
        <v>1.07</v>
      </c>
      <c r="CA811" s="3">
        <f>[1]monsters!$K811</f>
        <v>1.4000000000000001</v>
      </c>
      <c r="CB811" s="12">
        <f>[1]monsters!$D811</f>
        <v>3</v>
      </c>
      <c r="CC811" s="12">
        <f t="shared" ca="1" si="64"/>
        <v>0.1</v>
      </c>
      <c r="CD811" s="12">
        <f t="shared" ca="1" si="65"/>
        <v>98.798755555555601</v>
      </c>
      <c r="CE811" s="12">
        <f t="shared" ca="1" si="66"/>
        <v>9.8798755555555609</v>
      </c>
      <c r="CS811" s="33"/>
      <c r="CT811" s="33"/>
      <c r="CU811" s="33"/>
      <c r="CV811" s="32"/>
      <c r="CW811" s="32"/>
      <c r="CX811" s="32"/>
      <c r="CY811" s="34"/>
      <c r="CZ811" s="34"/>
      <c r="DA811" s="34"/>
      <c r="DB811" s="33"/>
      <c r="DC811" s="33"/>
      <c r="DD811" s="33"/>
      <c r="DE811" s="33"/>
      <c r="DF811" s="33"/>
      <c r="DG811" s="33"/>
      <c r="DH811" s="34"/>
      <c r="DI811" s="34"/>
      <c r="DJ811" s="34"/>
      <c r="DK811" s="34"/>
      <c r="DL811" s="34"/>
      <c r="DM811" s="34"/>
      <c r="DN811" s="12">
        <v>5203073</v>
      </c>
      <c r="DS811" s="21"/>
      <c r="DT811" s="21"/>
      <c r="DU811" s="21"/>
    </row>
    <row r="812" spans="72:125" ht="13.5" customHeight="1">
      <c r="BT812" s="12">
        <v>5403073</v>
      </c>
      <c r="BU812" s="3">
        <f>[1]monsters!$N812</f>
        <v>62.4</v>
      </c>
      <c r="BV812" s="3">
        <f>[1]monsters!$O812</f>
        <v>6.24</v>
      </c>
      <c r="BW812" s="3">
        <f>[1]monsters!$P812</f>
        <v>213.33400000000003</v>
      </c>
      <c r="BX812" s="3">
        <f>[1]monsters!$Q812</f>
        <v>106.67</v>
      </c>
      <c r="BY812" s="3">
        <f>[1]monsters!$R812</f>
        <v>12.48</v>
      </c>
      <c r="BZ812" s="3">
        <f>[1]monsters!$S812</f>
        <v>1.25</v>
      </c>
      <c r="CA812" s="3">
        <f>[1]monsters!$K812</f>
        <v>1.3</v>
      </c>
      <c r="CB812" s="12">
        <f>[1]monsters!$D812</f>
        <v>2</v>
      </c>
      <c r="CC812" s="12">
        <f t="shared" ca="1" si="64"/>
        <v>0.1</v>
      </c>
      <c r="CD812" s="12">
        <f t="shared" ca="1" si="65"/>
        <v>90.715840404040406</v>
      </c>
      <c r="CE812" s="12">
        <f t="shared" ca="1" si="66"/>
        <v>9.0715840404040406</v>
      </c>
      <c r="CS812" s="33"/>
      <c r="CT812" s="33"/>
      <c r="CU812" s="33"/>
      <c r="CV812" s="32"/>
      <c r="CW812" s="32"/>
      <c r="CX812" s="32"/>
      <c r="CY812" s="34"/>
      <c r="CZ812" s="34"/>
      <c r="DA812" s="34"/>
      <c r="DB812" s="33"/>
      <c r="DC812" s="33"/>
      <c r="DD812" s="33"/>
      <c r="DE812" s="33"/>
      <c r="DF812" s="33"/>
      <c r="DG812" s="33"/>
      <c r="DH812" s="34"/>
      <c r="DI812" s="34"/>
      <c r="DJ812" s="34"/>
      <c r="DK812" s="34"/>
      <c r="DL812" s="34"/>
      <c r="DM812" s="34"/>
      <c r="DN812" s="12">
        <v>5403073</v>
      </c>
      <c r="DS812" s="21"/>
      <c r="DT812" s="21"/>
      <c r="DU812" s="21"/>
    </row>
    <row r="813" spans="72:125" ht="13.5" customHeight="1">
      <c r="BT813" s="12">
        <v>5204073</v>
      </c>
      <c r="BU813" s="3">
        <f>[1]monsters!$N813</f>
        <v>83.2</v>
      </c>
      <c r="BV813" s="3">
        <f>[1]monsters!$O813</f>
        <v>8.32</v>
      </c>
      <c r="BW813" s="3">
        <f>[1]monsters!$P813</f>
        <v>160</v>
      </c>
      <c r="BX813" s="3">
        <f>[1]monsters!$Q813</f>
        <v>80</v>
      </c>
      <c r="BY813" s="3">
        <f>[1]monsters!$R813</f>
        <v>8.32</v>
      </c>
      <c r="BZ813" s="3">
        <f>[1]monsters!$S813</f>
        <v>0.83</v>
      </c>
      <c r="CA813" s="3">
        <f>[1]monsters!$K813</f>
        <v>1.3</v>
      </c>
      <c r="CB813" s="12">
        <f>[1]monsters!$D813</f>
        <v>4</v>
      </c>
      <c r="CC813" s="12">
        <f t="shared" ca="1" si="64"/>
        <v>0.1</v>
      </c>
      <c r="CD813" s="12">
        <f t="shared" ca="1" si="65"/>
        <v>102.12515555555601</v>
      </c>
      <c r="CE813" s="12">
        <f t="shared" ca="1" si="66"/>
        <v>10.2125155555556</v>
      </c>
      <c r="CS813" s="33"/>
      <c r="CT813" s="33"/>
      <c r="CU813" s="33"/>
      <c r="CV813" s="32"/>
      <c r="CW813" s="32"/>
      <c r="CX813" s="32"/>
      <c r="CY813" s="34"/>
      <c r="CZ813" s="34"/>
      <c r="DA813" s="34"/>
      <c r="DB813" s="33"/>
      <c r="DC813" s="33"/>
      <c r="DD813" s="33"/>
      <c r="DE813" s="33"/>
      <c r="DF813" s="33"/>
      <c r="DG813" s="33"/>
      <c r="DH813" s="34"/>
      <c r="DI813" s="34"/>
      <c r="DJ813" s="34"/>
      <c r="DK813" s="34"/>
      <c r="DL813" s="34"/>
      <c r="DM813" s="34"/>
      <c r="DN813" s="12">
        <v>5204073</v>
      </c>
      <c r="DS813" s="21"/>
      <c r="DT813" s="21"/>
      <c r="DU813" s="21"/>
    </row>
    <row r="814" spans="72:125" ht="13.5" customHeight="1">
      <c r="BT814" s="12">
        <v>5404073</v>
      </c>
      <c r="BU814" s="3">
        <f>[1]monsters!$N814</f>
        <v>86.4</v>
      </c>
      <c r="BV814" s="3">
        <f>[1]monsters!$O814</f>
        <v>8.64</v>
      </c>
      <c r="BW814" s="3">
        <f>[1]monsters!$P814</f>
        <v>213.33400000000003</v>
      </c>
      <c r="BX814" s="3">
        <f>[1]monsters!$Q814</f>
        <v>106.67</v>
      </c>
      <c r="BY814" s="3">
        <f>[1]monsters!$R814</f>
        <v>17.28</v>
      </c>
      <c r="BZ814" s="3">
        <f>[1]monsters!$S814</f>
        <v>1.73</v>
      </c>
      <c r="CA814" s="3">
        <f>[1]monsters!$K814</f>
        <v>1.8</v>
      </c>
      <c r="CB814" s="12">
        <f>[1]monsters!$D814</f>
        <v>2</v>
      </c>
      <c r="CC814" s="12">
        <f t="shared" ca="1" si="64"/>
        <v>0.1</v>
      </c>
      <c r="CD814" s="12">
        <f t="shared" ca="1" si="65"/>
        <v>109.01104040404</v>
      </c>
      <c r="CE814" s="12">
        <f t="shared" ca="1" si="66"/>
        <v>10.901104040404</v>
      </c>
      <c r="CS814" s="33"/>
      <c r="CT814" s="33"/>
      <c r="CU814" s="33"/>
      <c r="CV814" s="32"/>
      <c r="CW814" s="32"/>
      <c r="CX814" s="32"/>
      <c r="CY814" s="34"/>
      <c r="CZ814" s="34"/>
      <c r="DA814" s="34"/>
      <c r="DB814" s="33"/>
      <c r="DC814" s="33"/>
      <c r="DD814" s="33"/>
      <c r="DE814" s="33"/>
      <c r="DF814" s="33"/>
      <c r="DG814" s="33"/>
      <c r="DH814" s="34"/>
      <c r="DI814" s="34"/>
      <c r="DJ814" s="34"/>
      <c r="DK814" s="34"/>
      <c r="DL814" s="34"/>
      <c r="DM814" s="34"/>
      <c r="DN814" s="12">
        <v>5404073</v>
      </c>
      <c r="DS814" s="21"/>
      <c r="DT814" s="21"/>
      <c r="DU814" s="21"/>
    </row>
    <row r="815" spans="72:125" ht="13.5" customHeight="1">
      <c r="BT815" s="12">
        <v>5303073</v>
      </c>
      <c r="BU815" s="3">
        <f>[1]monsters!$N815</f>
        <v>100</v>
      </c>
      <c r="BV815" s="3">
        <f>[1]monsters!$O815</f>
        <v>10</v>
      </c>
      <c r="BW815" s="3">
        <f>[1]monsters!$P815</f>
        <v>153.60000000000002</v>
      </c>
      <c r="BX815" s="3">
        <f>[1]monsters!$Q815</f>
        <v>76.8</v>
      </c>
      <c r="BY815" s="3">
        <f>[1]monsters!$R815</f>
        <v>10</v>
      </c>
      <c r="BZ815" s="3">
        <f>[1]monsters!$S815</f>
        <v>1</v>
      </c>
      <c r="CA815" s="3">
        <f>[1]monsters!$K815</f>
        <v>1.5</v>
      </c>
      <c r="CB815" s="12">
        <f>[1]monsters!$D815</f>
        <v>4</v>
      </c>
      <c r="CC815" s="12">
        <f t="shared" ca="1" si="64"/>
        <v>0.1</v>
      </c>
      <c r="CD815" s="12">
        <f t="shared" ca="1" si="65"/>
        <v>98.031316049382795</v>
      </c>
      <c r="CE815" s="12">
        <f t="shared" ca="1" si="66"/>
        <v>9.8031316049382795</v>
      </c>
      <c r="CS815" s="33"/>
      <c r="CT815" s="33"/>
      <c r="CU815" s="33"/>
      <c r="CV815" s="32"/>
      <c r="CW815" s="32"/>
      <c r="CX815" s="32"/>
      <c r="CY815" s="34"/>
      <c r="CZ815" s="34"/>
      <c r="DA815" s="34"/>
      <c r="DB815" s="33"/>
      <c r="DC815" s="33"/>
      <c r="DD815" s="33"/>
      <c r="DE815" s="33"/>
      <c r="DF815" s="33"/>
      <c r="DG815" s="33"/>
      <c r="DH815" s="34"/>
      <c r="DI815" s="34"/>
      <c r="DJ815" s="34"/>
      <c r="DK815" s="34"/>
      <c r="DL815" s="34"/>
      <c r="DM815" s="34"/>
      <c r="DN815" s="12">
        <v>5303073</v>
      </c>
      <c r="DS815" s="21"/>
      <c r="DT815" s="21"/>
      <c r="DU815" s="21"/>
    </row>
    <row r="816" spans="72:125" ht="13.5" customHeight="1">
      <c r="BT816" s="12">
        <v>5304073</v>
      </c>
      <c r="BU816" s="3">
        <f>[1]monsters!$N816</f>
        <v>76.27</v>
      </c>
      <c r="BV816" s="3">
        <f>[1]monsters!$O816</f>
        <v>7.63</v>
      </c>
      <c r="BW816" s="3">
        <f>[1]monsters!$P816</f>
        <v>174.54600000000002</v>
      </c>
      <c r="BX816" s="3">
        <f>[1]monsters!$Q816</f>
        <v>87.27</v>
      </c>
      <c r="BY816" s="3">
        <f>[1]monsters!$R816</f>
        <v>9.5299999999999994</v>
      </c>
      <c r="BZ816" s="3">
        <f>[1]monsters!$S816</f>
        <v>0.95</v>
      </c>
      <c r="CA816" s="3">
        <f>[1]monsters!$K816</f>
        <v>1.3</v>
      </c>
      <c r="CB816" s="12">
        <f>[1]monsters!$D816</f>
        <v>3</v>
      </c>
      <c r="CC816" s="12">
        <f t="shared" ca="1" si="64"/>
        <v>0.1</v>
      </c>
      <c r="CD816" s="12">
        <f t="shared" ca="1" si="65"/>
        <v>101.77351604938301</v>
      </c>
      <c r="CE816" s="12">
        <f t="shared" ca="1" si="66"/>
        <v>10.1773516049383</v>
      </c>
      <c r="CS816" s="33"/>
      <c r="CT816" s="33"/>
      <c r="CU816" s="33"/>
      <c r="CV816" s="32"/>
      <c r="CW816" s="32"/>
      <c r="CX816" s="32"/>
      <c r="CY816" s="34"/>
      <c r="CZ816" s="34"/>
      <c r="DA816" s="34"/>
      <c r="DB816" s="33"/>
      <c r="DC816" s="33"/>
      <c r="DD816" s="33"/>
      <c r="DE816" s="33"/>
      <c r="DF816" s="33"/>
      <c r="DG816" s="33"/>
      <c r="DH816" s="34"/>
      <c r="DI816" s="34"/>
      <c r="DJ816" s="34"/>
      <c r="DK816" s="34"/>
      <c r="DL816" s="34"/>
      <c r="DM816" s="34"/>
      <c r="DN816" s="12">
        <v>5304073</v>
      </c>
      <c r="DS816" s="21"/>
      <c r="DT816" s="21"/>
      <c r="DU816" s="21"/>
    </row>
    <row r="817" spans="72:125" ht="13.5" customHeight="1">
      <c r="BT817" s="12">
        <v>5503073</v>
      </c>
      <c r="BU817" s="3">
        <f>[1]monsters!$N817</f>
        <v>105.6</v>
      </c>
      <c r="BV817" s="3">
        <f>[1]monsters!$O817</f>
        <v>10.56</v>
      </c>
      <c r="BW817" s="3">
        <f>[1]monsters!$P817</f>
        <v>174.54600000000002</v>
      </c>
      <c r="BX817" s="3">
        <f>[1]monsters!$Q817</f>
        <v>87.27</v>
      </c>
      <c r="BY817" s="3">
        <f>[1]monsters!$R817</f>
        <v>17.600000000000001</v>
      </c>
      <c r="BZ817" s="3">
        <f>[1]monsters!$S817</f>
        <v>1.76</v>
      </c>
      <c r="CA817" s="3">
        <f>[1]monsters!$K817</f>
        <v>1.8</v>
      </c>
      <c r="CB817" s="12">
        <f>[1]monsters!$D817</f>
        <v>5</v>
      </c>
      <c r="CC817" s="12">
        <f t="shared" ca="1" si="64"/>
        <v>0.1</v>
      </c>
      <c r="CD817" s="12">
        <f t="shared" ca="1" si="65"/>
        <v>116.870637037037</v>
      </c>
      <c r="CE817" s="12">
        <f t="shared" ca="1" si="66"/>
        <v>11.6870637037037</v>
      </c>
      <c r="CS817" s="33"/>
      <c r="CT817" s="33"/>
      <c r="CU817" s="33"/>
      <c r="CV817" s="32"/>
      <c r="CW817" s="32"/>
      <c r="CX817" s="32"/>
      <c r="CY817" s="34"/>
      <c r="CZ817" s="34"/>
      <c r="DA817" s="34"/>
      <c r="DB817" s="33"/>
      <c r="DC817" s="33"/>
      <c r="DD817" s="33"/>
      <c r="DE817" s="33"/>
      <c r="DF817" s="33"/>
      <c r="DG817" s="33"/>
      <c r="DH817" s="34"/>
      <c r="DI817" s="34"/>
      <c r="DJ817" s="34"/>
      <c r="DK817" s="34"/>
      <c r="DL817" s="34"/>
      <c r="DM817" s="34"/>
      <c r="DN817" s="12">
        <v>5503073</v>
      </c>
      <c r="DS817" s="21"/>
      <c r="DT817" s="21"/>
      <c r="DU817" s="21"/>
    </row>
    <row r="818" spans="72:125" ht="13.5" customHeight="1">
      <c r="BT818" s="12">
        <v>5504073</v>
      </c>
      <c r="BU818" s="3">
        <f>[1]monsters!$N818</f>
        <v>76.8</v>
      </c>
      <c r="BV818" s="3">
        <f>[1]monsters!$O818</f>
        <v>7.68</v>
      </c>
      <c r="BW818" s="3">
        <f>[1]monsters!$P818</f>
        <v>213.33400000000003</v>
      </c>
      <c r="BX818" s="3">
        <f>[1]monsters!$Q818</f>
        <v>106.67</v>
      </c>
      <c r="BY818" s="3">
        <f>[1]monsters!$R818</f>
        <v>15.36</v>
      </c>
      <c r="BZ818" s="3">
        <f>[1]monsters!$S818</f>
        <v>1.54</v>
      </c>
      <c r="CA818" s="3">
        <f>[1]monsters!$K818</f>
        <v>1.6</v>
      </c>
      <c r="CB818" s="12">
        <f>[1]monsters!$D818</f>
        <v>2</v>
      </c>
      <c r="CC818" s="12">
        <f t="shared" ca="1" si="64"/>
        <v>0.1</v>
      </c>
      <c r="CD818" s="12">
        <f t="shared" ca="1" si="65"/>
        <v>126.84983703703701</v>
      </c>
      <c r="CE818" s="12">
        <f t="shared" ca="1" si="66"/>
        <v>12.684983703703701</v>
      </c>
      <c r="CS818" s="33"/>
      <c r="CT818" s="33"/>
      <c r="CU818" s="33"/>
      <c r="CV818" s="32"/>
      <c r="CW818" s="32"/>
      <c r="CX818" s="32"/>
      <c r="CY818" s="34"/>
      <c r="CZ818" s="34"/>
      <c r="DA818" s="34"/>
      <c r="DB818" s="33"/>
      <c r="DC818" s="33"/>
      <c r="DD818" s="33"/>
      <c r="DE818" s="33"/>
      <c r="DF818" s="33"/>
      <c r="DG818" s="33"/>
      <c r="DH818" s="34"/>
      <c r="DI818" s="34"/>
      <c r="DJ818" s="34"/>
      <c r="DK818" s="34"/>
      <c r="DL818" s="34"/>
      <c r="DM818" s="34"/>
      <c r="DN818" s="12">
        <v>5504073</v>
      </c>
      <c r="DS818" s="21"/>
      <c r="DT818" s="21"/>
      <c r="DU818" s="21"/>
    </row>
    <row r="819" spans="72:125" ht="13.5" customHeight="1">
      <c r="BT819" s="12">
        <v>5101073</v>
      </c>
      <c r="BU819" s="3">
        <f>[1]monsters!$N819</f>
        <v>97.07</v>
      </c>
      <c r="BV819" s="3">
        <f>[1]monsters!$O819</f>
        <v>9.7100000000000009</v>
      </c>
      <c r="BW819" s="3">
        <f>[1]monsters!$P819</f>
        <v>147.69200000000001</v>
      </c>
      <c r="BX819" s="3">
        <f>[1]monsters!$Q819</f>
        <v>73.849999999999994</v>
      </c>
      <c r="BY819" s="3">
        <f>[1]monsters!$R819</f>
        <v>9.7100000000000009</v>
      </c>
      <c r="BZ819" s="3">
        <f>[1]monsters!$S819</f>
        <v>0.97</v>
      </c>
      <c r="CA819" s="3">
        <f>[1]monsters!$K819</f>
        <v>1.4000000000000001</v>
      </c>
      <c r="CB819" s="12">
        <f>[1]monsters!$D819</f>
        <v>4</v>
      </c>
      <c r="CC819" s="12">
        <f t="shared" ca="1" si="64"/>
        <v>0.1</v>
      </c>
      <c r="CD819" s="12">
        <f t="shared" ca="1" si="65"/>
        <v>110.97244444444399</v>
      </c>
      <c r="CE819" s="12">
        <f t="shared" ca="1" si="66"/>
        <v>11.097244444444399</v>
      </c>
      <c r="CS819" s="33"/>
      <c r="CT819" s="33"/>
      <c r="CU819" s="33"/>
      <c r="CV819" s="32"/>
      <c r="CW819" s="32"/>
      <c r="CX819" s="32"/>
      <c r="CY819" s="34"/>
      <c r="CZ819" s="34"/>
      <c r="DA819" s="34"/>
      <c r="DB819" s="33"/>
      <c r="DC819" s="33"/>
      <c r="DD819" s="33"/>
      <c r="DE819" s="33"/>
      <c r="DF819" s="33"/>
      <c r="DG819" s="33"/>
      <c r="DH819" s="34"/>
      <c r="DI819" s="34"/>
      <c r="DJ819" s="34"/>
      <c r="DK819" s="34"/>
      <c r="DL819" s="34"/>
      <c r="DM819" s="34"/>
      <c r="DN819" s="12">
        <v>5101073</v>
      </c>
      <c r="DS819" s="21"/>
      <c r="DT819" s="21"/>
      <c r="DU819" s="21"/>
    </row>
    <row r="820" spans="72:125" ht="13.5" customHeight="1">
      <c r="BT820" s="12">
        <v>5102073</v>
      </c>
      <c r="BU820" s="3">
        <f>[1]monsters!$N820</f>
        <v>67.2</v>
      </c>
      <c r="BV820" s="3">
        <f>[1]monsters!$O820</f>
        <v>6.72</v>
      </c>
      <c r="BW820" s="3">
        <f>[1]monsters!$P820</f>
        <v>213.33400000000003</v>
      </c>
      <c r="BX820" s="3">
        <f>[1]monsters!$Q820</f>
        <v>106.67</v>
      </c>
      <c r="BY820" s="3">
        <f>[1]monsters!$R820</f>
        <v>13.44</v>
      </c>
      <c r="BZ820" s="3">
        <f>[1]monsters!$S820</f>
        <v>1.34</v>
      </c>
      <c r="CA820" s="3">
        <f>[1]monsters!$K820</f>
        <v>1.4000000000000001</v>
      </c>
      <c r="CB820" s="12">
        <f>[1]monsters!$D820</f>
        <v>2</v>
      </c>
      <c r="CC820" s="12">
        <f t="shared" ca="1" si="64"/>
        <v>0.1</v>
      </c>
      <c r="CD820" s="12">
        <f t="shared" ca="1" si="65"/>
        <v>102.65644444444401</v>
      </c>
      <c r="CE820" s="12">
        <f t="shared" ca="1" si="66"/>
        <v>10.265644444444399</v>
      </c>
      <c r="CS820" s="33"/>
      <c r="CT820" s="33"/>
      <c r="CU820" s="33"/>
      <c r="CV820" s="32"/>
      <c r="CW820" s="32"/>
      <c r="CX820" s="32"/>
      <c r="CY820" s="34"/>
      <c r="CZ820" s="34"/>
      <c r="DA820" s="34"/>
      <c r="DB820" s="33"/>
      <c r="DC820" s="33"/>
      <c r="DD820" s="33"/>
      <c r="DE820" s="33"/>
      <c r="DF820" s="33"/>
      <c r="DG820" s="33"/>
      <c r="DH820" s="34"/>
      <c r="DI820" s="34"/>
      <c r="DJ820" s="34"/>
      <c r="DK820" s="34"/>
      <c r="DL820" s="34"/>
      <c r="DM820" s="34"/>
      <c r="DN820" s="12">
        <v>5102073</v>
      </c>
      <c r="DS820" s="21"/>
      <c r="DT820" s="21"/>
      <c r="DU820" s="21"/>
    </row>
    <row r="821" spans="72:125" ht="13.5" customHeight="1">
      <c r="BT821" s="12">
        <v>5206074</v>
      </c>
      <c r="BU821" s="3">
        <f>[1]monsters!$N821</f>
        <v>110.93</v>
      </c>
      <c r="BV821" s="3">
        <f>[1]monsters!$O821</f>
        <v>11.09</v>
      </c>
      <c r="BW821" s="3">
        <f>[1]monsters!$P821</f>
        <v>147.69200000000001</v>
      </c>
      <c r="BX821" s="3">
        <f>[1]monsters!$Q821</f>
        <v>73.849999999999994</v>
      </c>
      <c r="BY821" s="3">
        <f>[1]monsters!$R821</f>
        <v>11.09</v>
      </c>
      <c r="BZ821" s="3">
        <f>[1]monsters!$S821</f>
        <v>1.1100000000000001</v>
      </c>
      <c r="CA821" s="3">
        <f>[1]monsters!$K821</f>
        <v>1.6</v>
      </c>
      <c r="CB821" s="12">
        <f>[1]monsters!$D821</f>
        <v>4</v>
      </c>
      <c r="CC821" s="12">
        <f t="shared" ca="1" si="64"/>
        <v>0.1</v>
      </c>
      <c r="CD821" s="12">
        <f t="shared" ca="1" si="65"/>
        <v>112.104355555556</v>
      </c>
      <c r="CE821" s="12">
        <f t="shared" ca="1" si="66"/>
        <v>11.2104355555556</v>
      </c>
      <c r="CS821" s="33"/>
      <c r="CT821" s="33"/>
      <c r="CU821" s="33"/>
      <c r="CV821" s="32"/>
      <c r="CW821" s="32"/>
      <c r="CX821" s="32"/>
      <c r="CY821" s="34"/>
      <c r="CZ821" s="34"/>
      <c r="DA821" s="34"/>
      <c r="DB821" s="33"/>
      <c r="DC821" s="33"/>
      <c r="DD821" s="33"/>
      <c r="DE821" s="33"/>
      <c r="DF821" s="33"/>
      <c r="DG821" s="33"/>
      <c r="DH821" s="34"/>
      <c r="DI821" s="34"/>
      <c r="DJ821" s="34"/>
      <c r="DK821" s="34"/>
      <c r="DL821" s="34"/>
      <c r="DM821" s="34"/>
      <c r="DN821" s="12">
        <v>5206074</v>
      </c>
      <c r="DS821" s="21"/>
      <c r="DT821" s="21"/>
      <c r="DU821" s="21"/>
    </row>
    <row r="822" spans="72:125" ht="13.5" customHeight="1">
      <c r="BT822" s="12">
        <v>5406074</v>
      </c>
      <c r="BU822" s="3">
        <f>[1]monsters!$N822</f>
        <v>102.4</v>
      </c>
      <c r="BV822" s="3">
        <f>[1]monsters!$O822</f>
        <v>10.24</v>
      </c>
      <c r="BW822" s="3">
        <f>[1]monsters!$P822</f>
        <v>160</v>
      </c>
      <c r="BX822" s="3">
        <f>[1]monsters!$Q822</f>
        <v>80</v>
      </c>
      <c r="BY822" s="3">
        <f>[1]monsters!$R822</f>
        <v>17.07</v>
      </c>
      <c r="BZ822" s="3">
        <f>[1]monsters!$S822</f>
        <v>1.71</v>
      </c>
      <c r="CA822" s="3">
        <f>[1]monsters!$K822</f>
        <v>1.6</v>
      </c>
      <c r="CB822" s="12">
        <f>[1]monsters!$D822</f>
        <v>5</v>
      </c>
      <c r="CC822" s="12">
        <f t="shared" ca="1" si="64"/>
        <v>0.1</v>
      </c>
      <c r="CD822" s="12">
        <f t="shared" ca="1" si="65"/>
        <v>104.43724040404</v>
      </c>
      <c r="CE822" s="12">
        <f t="shared" ca="1" si="66"/>
        <v>10.443724040404</v>
      </c>
      <c r="CS822" s="33"/>
      <c r="CT822" s="33"/>
      <c r="CU822" s="33"/>
      <c r="CV822" s="32"/>
      <c r="CW822" s="32"/>
      <c r="CX822" s="32"/>
      <c r="CY822" s="34"/>
      <c r="CZ822" s="34"/>
      <c r="DA822" s="34"/>
      <c r="DB822" s="33"/>
      <c r="DC822" s="33"/>
      <c r="DD822" s="33"/>
      <c r="DE822" s="33"/>
      <c r="DF822" s="33"/>
      <c r="DG822" s="33"/>
      <c r="DH822" s="34"/>
      <c r="DI822" s="34"/>
      <c r="DJ822" s="34"/>
      <c r="DK822" s="34"/>
      <c r="DL822" s="34"/>
      <c r="DM822" s="34"/>
      <c r="DN822" s="12">
        <v>5406074</v>
      </c>
      <c r="DS822" s="21"/>
      <c r="DT822" s="21"/>
      <c r="DU822" s="21"/>
    </row>
    <row r="823" spans="72:125" ht="13.5" customHeight="1">
      <c r="BT823" s="12">
        <v>5205074</v>
      </c>
      <c r="BU823" s="3">
        <f>[1]monsters!$N823</f>
        <v>85.87</v>
      </c>
      <c r="BV823" s="3">
        <f>[1]monsters!$O823</f>
        <v>8.59</v>
      </c>
      <c r="BW823" s="3">
        <f>[1]monsters!$P823</f>
        <v>166.95600000000002</v>
      </c>
      <c r="BX823" s="3">
        <f>[1]monsters!$Q823</f>
        <v>83.48</v>
      </c>
      <c r="BY823" s="3">
        <f>[1]monsters!$R823</f>
        <v>10.73</v>
      </c>
      <c r="BZ823" s="3">
        <f>[1]monsters!$S823</f>
        <v>1.07</v>
      </c>
      <c r="CA823" s="3">
        <f>[1]monsters!$K823</f>
        <v>1.4000000000000001</v>
      </c>
      <c r="CB823" s="12">
        <f>[1]monsters!$D823</f>
        <v>3</v>
      </c>
      <c r="CC823" s="12">
        <f t="shared" ca="1" si="64"/>
        <v>0.1</v>
      </c>
      <c r="CD823" s="12">
        <f t="shared" ca="1" si="65"/>
        <v>122.083555555556</v>
      </c>
      <c r="CE823" s="12">
        <f t="shared" ca="1" si="66"/>
        <v>12.208355555555601</v>
      </c>
      <c r="CS823" s="33"/>
      <c r="CT823" s="33"/>
      <c r="CU823" s="33"/>
      <c r="CV823" s="32"/>
      <c r="CW823" s="32"/>
      <c r="CX823" s="32"/>
      <c r="CY823" s="34"/>
      <c r="CZ823" s="34"/>
      <c r="DA823" s="34"/>
      <c r="DB823" s="33"/>
      <c r="DC823" s="33"/>
      <c r="DD823" s="33"/>
      <c r="DE823" s="33"/>
      <c r="DF823" s="33"/>
      <c r="DG823" s="33"/>
      <c r="DH823" s="34"/>
      <c r="DI823" s="34"/>
      <c r="DJ823" s="34"/>
      <c r="DK823" s="34"/>
      <c r="DL823" s="34"/>
      <c r="DM823" s="34"/>
      <c r="DN823" s="12">
        <v>5205074</v>
      </c>
      <c r="DS823" s="21"/>
      <c r="DT823" s="21"/>
      <c r="DU823" s="21"/>
    </row>
    <row r="824" spans="72:125" ht="13.5" customHeight="1">
      <c r="BT824" s="12">
        <v>5405074</v>
      </c>
      <c r="BU824" s="3">
        <f>[1]monsters!$N824</f>
        <v>62.4</v>
      </c>
      <c r="BV824" s="3">
        <f>[1]monsters!$O824</f>
        <v>6.24</v>
      </c>
      <c r="BW824" s="3">
        <f>[1]monsters!$P824</f>
        <v>213.33400000000003</v>
      </c>
      <c r="BX824" s="3">
        <f>[1]monsters!$Q824</f>
        <v>106.67</v>
      </c>
      <c r="BY824" s="3">
        <f>[1]monsters!$R824</f>
        <v>12.48</v>
      </c>
      <c r="BZ824" s="3">
        <f>[1]monsters!$S824</f>
        <v>1.25</v>
      </c>
      <c r="CA824" s="3">
        <f>[1]monsters!$K824</f>
        <v>1.3</v>
      </c>
      <c r="CB824" s="12">
        <f>[1]monsters!$D824</f>
        <v>2</v>
      </c>
      <c r="CC824" s="12">
        <f t="shared" ca="1" si="64"/>
        <v>0.1</v>
      </c>
      <c r="CD824" s="12">
        <f t="shared" ca="1" si="65"/>
        <v>109.01104040404</v>
      </c>
      <c r="CE824" s="12">
        <f t="shared" ca="1" si="66"/>
        <v>10.901104040404</v>
      </c>
      <c r="CS824" s="33"/>
      <c r="CT824" s="33"/>
      <c r="CU824" s="33"/>
      <c r="CV824" s="32"/>
      <c r="CW824" s="32"/>
      <c r="CX824" s="32"/>
      <c r="CY824" s="34"/>
      <c r="CZ824" s="34"/>
      <c r="DA824" s="34"/>
      <c r="DB824" s="33"/>
      <c r="DC824" s="33"/>
      <c r="DD824" s="33"/>
      <c r="DE824" s="33"/>
      <c r="DF824" s="33"/>
      <c r="DG824" s="33"/>
      <c r="DH824" s="34"/>
      <c r="DI824" s="34"/>
      <c r="DJ824" s="34"/>
      <c r="DK824" s="34"/>
      <c r="DL824" s="34"/>
      <c r="DM824" s="34"/>
      <c r="DN824" s="12">
        <v>5405074</v>
      </c>
      <c r="DS824" s="21"/>
      <c r="DT824" s="21"/>
      <c r="DU824" s="21"/>
    </row>
    <row r="825" spans="72:125" ht="13.5" customHeight="1">
      <c r="BT825" s="12">
        <v>5203074</v>
      </c>
      <c r="BU825" s="3">
        <f>[1]monsters!$N825</f>
        <v>83.2</v>
      </c>
      <c r="BV825" s="3">
        <f>[1]monsters!$O825</f>
        <v>8.32</v>
      </c>
      <c r="BW825" s="3">
        <f>[1]monsters!$P825</f>
        <v>160</v>
      </c>
      <c r="BX825" s="3">
        <f>[1]monsters!$Q825</f>
        <v>80</v>
      </c>
      <c r="BY825" s="3">
        <f>[1]monsters!$R825</f>
        <v>8.32</v>
      </c>
      <c r="BZ825" s="3">
        <f>[1]monsters!$S825</f>
        <v>0.83</v>
      </c>
      <c r="CA825" s="3">
        <f>[1]monsters!$K825</f>
        <v>1.3</v>
      </c>
      <c r="CB825" s="12">
        <f>[1]monsters!$D825</f>
        <v>4</v>
      </c>
      <c r="CC825" s="12">
        <f t="shared" ca="1" si="64"/>
        <v>0.1</v>
      </c>
      <c r="CD825" s="12">
        <f t="shared" ca="1" si="65"/>
        <v>98.798755555555601</v>
      </c>
      <c r="CE825" s="12">
        <f t="shared" ca="1" si="66"/>
        <v>9.8798755555555609</v>
      </c>
      <c r="CS825" s="33"/>
      <c r="CT825" s="33"/>
      <c r="CU825" s="33"/>
      <c r="CV825" s="32"/>
      <c r="CW825" s="32"/>
      <c r="CX825" s="32"/>
      <c r="CY825" s="34"/>
      <c r="CZ825" s="34"/>
      <c r="DA825" s="34"/>
      <c r="DB825" s="33"/>
      <c r="DC825" s="33"/>
      <c r="DD825" s="33"/>
      <c r="DE825" s="33"/>
      <c r="DF825" s="33"/>
      <c r="DG825" s="33"/>
      <c r="DH825" s="34"/>
      <c r="DI825" s="34"/>
      <c r="DJ825" s="34"/>
      <c r="DK825" s="34"/>
      <c r="DL825" s="34"/>
      <c r="DM825" s="34"/>
      <c r="DN825" s="12">
        <v>5203074</v>
      </c>
      <c r="DS825" s="21"/>
      <c r="DT825" s="21"/>
      <c r="DU825" s="21"/>
    </row>
    <row r="826" spans="72:125" ht="13.5" customHeight="1">
      <c r="BT826" s="12">
        <v>5403074</v>
      </c>
      <c r="BU826" s="3">
        <f>[1]monsters!$N826</f>
        <v>86.4</v>
      </c>
      <c r="BV826" s="3">
        <f>[1]monsters!$O826</f>
        <v>8.64</v>
      </c>
      <c r="BW826" s="3">
        <f>[1]monsters!$P826</f>
        <v>213.33400000000003</v>
      </c>
      <c r="BX826" s="3">
        <f>[1]monsters!$Q826</f>
        <v>106.67</v>
      </c>
      <c r="BY826" s="3">
        <f>[1]monsters!$R826</f>
        <v>17.28</v>
      </c>
      <c r="BZ826" s="3">
        <f>[1]monsters!$S826</f>
        <v>1.73</v>
      </c>
      <c r="CA826" s="3">
        <f>[1]monsters!$K826</f>
        <v>1.8</v>
      </c>
      <c r="CB826" s="12">
        <f>[1]monsters!$D826</f>
        <v>2</v>
      </c>
      <c r="CC826" s="12">
        <f t="shared" ca="1" si="64"/>
        <v>0.1</v>
      </c>
      <c r="CD826" s="12">
        <f t="shared" ca="1" si="65"/>
        <v>90.715840404040406</v>
      </c>
      <c r="CE826" s="12">
        <f t="shared" ca="1" si="66"/>
        <v>9.0715840404040406</v>
      </c>
      <c r="CS826" s="33"/>
      <c r="CT826" s="33"/>
      <c r="CU826" s="33"/>
      <c r="CV826" s="32"/>
      <c r="CW826" s="32"/>
      <c r="CX826" s="32"/>
      <c r="CY826" s="34"/>
      <c r="CZ826" s="34"/>
      <c r="DA826" s="34"/>
      <c r="DB826" s="33"/>
      <c r="DC826" s="33"/>
      <c r="DD826" s="33"/>
      <c r="DE826" s="33"/>
      <c r="DF826" s="33"/>
      <c r="DG826" s="33"/>
      <c r="DH826" s="34"/>
      <c r="DI826" s="34"/>
      <c r="DJ826" s="34"/>
      <c r="DK826" s="34"/>
      <c r="DL826" s="34"/>
      <c r="DM826" s="34"/>
      <c r="DN826" s="12">
        <v>5403074</v>
      </c>
      <c r="DS826" s="21"/>
      <c r="DT826" s="21"/>
      <c r="DU826" s="21"/>
    </row>
    <row r="827" spans="72:125" ht="13.5" customHeight="1">
      <c r="BT827" s="12">
        <v>5204074</v>
      </c>
      <c r="BU827" s="3">
        <f>[1]monsters!$N827</f>
        <v>100</v>
      </c>
      <c r="BV827" s="3">
        <f>[1]monsters!$O827</f>
        <v>10</v>
      </c>
      <c r="BW827" s="3">
        <f>[1]monsters!$P827</f>
        <v>153.60000000000002</v>
      </c>
      <c r="BX827" s="3">
        <f>[1]monsters!$Q827</f>
        <v>76.8</v>
      </c>
      <c r="BY827" s="3">
        <f>[1]monsters!$R827</f>
        <v>10</v>
      </c>
      <c r="BZ827" s="3">
        <f>[1]monsters!$S827</f>
        <v>1</v>
      </c>
      <c r="CA827" s="3">
        <f>[1]monsters!$K827</f>
        <v>1.5</v>
      </c>
      <c r="CB827" s="12">
        <f>[1]monsters!$D827</f>
        <v>4</v>
      </c>
      <c r="CC827" s="12">
        <f t="shared" ca="1" si="64"/>
        <v>0.1</v>
      </c>
      <c r="CD827" s="12">
        <f t="shared" ca="1" si="65"/>
        <v>102.12515555555601</v>
      </c>
      <c r="CE827" s="12">
        <f t="shared" ca="1" si="66"/>
        <v>10.2125155555556</v>
      </c>
      <c r="CS827" s="33"/>
      <c r="CT827" s="33"/>
      <c r="CU827" s="33"/>
      <c r="CV827" s="32"/>
      <c r="CW827" s="32"/>
      <c r="CX827" s="32"/>
      <c r="CY827" s="34"/>
      <c r="CZ827" s="34"/>
      <c r="DA827" s="34"/>
      <c r="DB827" s="33"/>
      <c r="DC827" s="33"/>
      <c r="DD827" s="33"/>
      <c r="DE827" s="33"/>
      <c r="DF827" s="33"/>
      <c r="DG827" s="33"/>
      <c r="DH827" s="34"/>
      <c r="DI827" s="34"/>
      <c r="DJ827" s="34"/>
      <c r="DK827" s="34"/>
      <c r="DL827" s="34"/>
      <c r="DM827" s="34"/>
      <c r="DN827" s="12">
        <v>5204074</v>
      </c>
      <c r="DS827" s="21"/>
      <c r="DT827" s="21"/>
      <c r="DU827" s="21"/>
    </row>
    <row r="828" spans="72:125" ht="13.5" customHeight="1">
      <c r="BT828" s="12">
        <v>5404074</v>
      </c>
      <c r="BU828" s="3">
        <f>[1]monsters!$N828</f>
        <v>76.27</v>
      </c>
      <c r="BV828" s="3">
        <f>[1]monsters!$O828</f>
        <v>7.63</v>
      </c>
      <c r="BW828" s="3">
        <f>[1]monsters!$P828</f>
        <v>174.54600000000002</v>
      </c>
      <c r="BX828" s="3">
        <f>[1]monsters!$Q828</f>
        <v>87.27</v>
      </c>
      <c r="BY828" s="3">
        <f>[1]monsters!$R828</f>
        <v>9.5299999999999994</v>
      </c>
      <c r="BZ828" s="3">
        <f>[1]monsters!$S828</f>
        <v>0.95</v>
      </c>
      <c r="CA828" s="3">
        <f>[1]monsters!$K828</f>
        <v>1.3</v>
      </c>
      <c r="CB828" s="12">
        <f>[1]monsters!$D828</f>
        <v>3</v>
      </c>
      <c r="CC828" s="12">
        <f t="shared" ca="1" si="64"/>
        <v>0.1</v>
      </c>
      <c r="CD828" s="12">
        <f t="shared" ca="1" si="65"/>
        <v>109.01104040404</v>
      </c>
      <c r="CE828" s="12">
        <f t="shared" ca="1" si="66"/>
        <v>10.901104040404</v>
      </c>
      <c r="CS828" s="33"/>
      <c r="CT828" s="33"/>
      <c r="CU828" s="33"/>
      <c r="CV828" s="32"/>
      <c r="CW828" s="32"/>
      <c r="CX828" s="32"/>
      <c r="CY828" s="34"/>
      <c r="CZ828" s="34"/>
      <c r="DA828" s="34"/>
      <c r="DB828" s="33"/>
      <c r="DC828" s="33"/>
      <c r="DD828" s="33"/>
      <c r="DE828" s="33"/>
      <c r="DF828" s="33"/>
      <c r="DG828" s="33"/>
      <c r="DH828" s="34"/>
      <c r="DI828" s="34"/>
      <c r="DJ828" s="34"/>
      <c r="DK828" s="34"/>
      <c r="DL828" s="34"/>
      <c r="DM828" s="34"/>
      <c r="DN828" s="12">
        <v>5404074</v>
      </c>
      <c r="DS828" s="21"/>
      <c r="DT828" s="21"/>
      <c r="DU828" s="21"/>
    </row>
    <row r="829" spans="72:125" ht="13.5" customHeight="1">
      <c r="BT829" s="12">
        <v>5303074</v>
      </c>
      <c r="BU829" s="3">
        <f>[1]monsters!$N829</f>
        <v>105.6</v>
      </c>
      <c r="BV829" s="3">
        <f>[1]monsters!$O829</f>
        <v>10.56</v>
      </c>
      <c r="BW829" s="3">
        <f>[1]monsters!$P829</f>
        <v>174.54600000000002</v>
      </c>
      <c r="BX829" s="3">
        <f>[1]monsters!$Q829</f>
        <v>87.27</v>
      </c>
      <c r="BY829" s="3">
        <f>[1]monsters!$R829</f>
        <v>17.600000000000001</v>
      </c>
      <c r="BZ829" s="3">
        <f>[1]monsters!$S829</f>
        <v>1.76</v>
      </c>
      <c r="CA829" s="3">
        <f>[1]monsters!$K829</f>
        <v>1.8</v>
      </c>
      <c r="CB829" s="12">
        <f>[1]monsters!$D829</f>
        <v>5</v>
      </c>
      <c r="CC829" s="12">
        <f t="shared" ca="1" si="64"/>
        <v>0.1</v>
      </c>
      <c r="CD829" s="12">
        <f t="shared" ca="1" si="65"/>
        <v>98.031316049382795</v>
      </c>
      <c r="CE829" s="12">
        <f t="shared" ca="1" si="66"/>
        <v>9.8031316049382795</v>
      </c>
      <c r="CS829" s="33"/>
      <c r="CT829" s="33"/>
      <c r="CU829" s="33"/>
      <c r="CV829" s="32"/>
      <c r="CW829" s="32"/>
      <c r="CX829" s="32"/>
      <c r="CY829" s="34"/>
      <c r="CZ829" s="34"/>
      <c r="DA829" s="34"/>
      <c r="DB829" s="33"/>
      <c r="DC829" s="33"/>
      <c r="DD829" s="33"/>
      <c r="DE829" s="33"/>
      <c r="DF829" s="33"/>
      <c r="DG829" s="33"/>
      <c r="DH829" s="34"/>
      <c r="DI829" s="34"/>
      <c r="DJ829" s="34"/>
      <c r="DK829" s="34"/>
      <c r="DL829" s="34"/>
      <c r="DM829" s="34"/>
      <c r="DN829" s="12">
        <v>5303074</v>
      </c>
      <c r="DS829" s="21"/>
      <c r="DT829" s="21"/>
      <c r="DU829" s="21"/>
    </row>
    <row r="830" spans="72:125" ht="13.5" customHeight="1">
      <c r="BT830" s="12">
        <v>5304074</v>
      </c>
      <c r="BU830" s="3">
        <f>[1]monsters!$N830</f>
        <v>76.8</v>
      </c>
      <c r="BV830" s="3">
        <f>[1]monsters!$O830</f>
        <v>7.68</v>
      </c>
      <c r="BW830" s="3">
        <f>[1]monsters!$P830</f>
        <v>213.33400000000003</v>
      </c>
      <c r="BX830" s="3">
        <f>[1]monsters!$Q830</f>
        <v>106.67</v>
      </c>
      <c r="BY830" s="3">
        <f>[1]monsters!$R830</f>
        <v>15.36</v>
      </c>
      <c r="BZ830" s="3">
        <f>[1]monsters!$S830</f>
        <v>1.54</v>
      </c>
      <c r="CA830" s="3">
        <f>[1]monsters!$K830</f>
        <v>1.6</v>
      </c>
      <c r="CB830" s="12">
        <f>[1]monsters!$D830</f>
        <v>2</v>
      </c>
      <c r="CC830" s="12">
        <f t="shared" ca="1" si="64"/>
        <v>0.1</v>
      </c>
      <c r="CD830" s="12">
        <f t="shared" ca="1" si="65"/>
        <v>101.77351604938301</v>
      </c>
      <c r="CE830" s="12">
        <f t="shared" ca="1" si="66"/>
        <v>10.1773516049383</v>
      </c>
      <c r="CS830" s="33"/>
      <c r="CT830" s="33"/>
      <c r="CU830" s="33"/>
      <c r="CV830" s="32"/>
      <c r="CW830" s="32"/>
      <c r="CX830" s="32"/>
      <c r="CY830" s="34"/>
      <c r="CZ830" s="34"/>
      <c r="DA830" s="34"/>
      <c r="DB830" s="33"/>
      <c r="DC830" s="33"/>
      <c r="DD830" s="33"/>
      <c r="DE830" s="33"/>
      <c r="DF830" s="33"/>
      <c r="DG830" s="33"/>
      <c r="DH830" s="34"/>
      <c r="DI830" s="34"/>
      <c r="DJ830" s="34"/>
      <c r="DK830" s="34"/>
      <c r="DL830" s="34"/>
      <c r="DM830" s="34"/>
      <c r="DN830" s="12">
        <v>5304074</v>
      </c>
      <c r="DS830" s="21"/>
      <c r="DT830" s="21"/>
      <c r="DU830" s="21"/>
    </row>
    <row r="831" spans="72:125" ht="13.5" customHeight="1">
      <c r="BT831" s="12">
        <v>5503074</v>
      </c>
      <c r="BU831" s="3">
        <f>[1]monsters!$N831</f>
        <v>97.07</v>
      </c>
      <c r="BV831" s="3">
        <f>[1]monsters!$O831</f>
        <v>9.7100000000000009</v>
      </c>
      <c r="BW831" s="3">
        <f>[1]monsters!$P831</f>
        <v>147.69200000000001</v>
      </c>
      <c r="BX831" s="3">
        <f>[1]monsters!$Q831</f>
        <v>73.849999999999994</v>
      </c>
      <c r="BY831" s="3">
        <f>[1]monsters!$R831</f>
        <v>9.7100000000000009</v>
      </c>
      <c r="BZ831" s="3">
        <f>[1]monsters!$S831</f>
        <v>0.97</v>
      </c>
      <c r="CA831" s="3">
        <f>[1]monsters!$K831</f>
        <v>1.4000000000000001</v>
      </c>
      <c r="CB831" s="12">
        <f>[1]monsters!$D831</f>
        <v>4</v>
      </c>
      <c r="CC831" s="12">
        <f t="shared" ca="1" si="64"/>
        <v>0.1</v>
      </c>
      <c r="CD831" s="12">
        <f t="shared" ca="1" si="65"/>
        <v>116.870637037037</v>
      </c>
      <c r="CE831" s="12">
        <f t="shared" ca="1" si="66"/>
        <v>11.6870637037037</v>
      </c>
      <c r="CS831" s="33"/>
      <c r="CT831" s="33"/>
      <c r="CU831" s="33"/>
      <c r="CV831" s="32"/>
      <c r="CW831" s="32"/>
      <c r="CX831" s="32"/>
      <c r="CY831" s="34"/>
      <c r="CZ831" s="34"/>
      <c r="DA831" s="34"/>
      <c r="DB831" s="33"/>
      <c r="DC831" s="33"/>
      <c r="DD831" s="33"/>
      <c r="DE831" s="33"/>
      <c r="DF831" s="33"/>
      <c r="DG831" s="33"/>
      <c r="DH831" s="34"/>
      <c r="DI831" s="34"/>
      <c r="DJ831" s="34"/>
      <c r="DK831" s="34"/>
      <c r="DL831" s="34"/>
      <c r="DM831" s="34"/>
      <c r="DN831" s="12">
        <v>5503074</v>
      </c>
      <c r="DS831" s="21"/>
      <c r="DT831" s="21"/>
      <c r="DU831" s="21"/>
    </row>
    <row r="832" spans="72:125" ht="13.5" customHeight="1">
      <c r="BT832" s="12">
        <v>5504074</v>
      </c>
      <c r="BU832" s="3">
        <f>[1]monsters!$N832</f>
        <v>67.2</v>
      </c>
      <c r="BV832" s="3">
        <f>[1]monsters!$O832</f>
        <v>6.72</v>
      </c>
      <c r="BW832" s="3">
        <f>[1]monsters!$P832</f>
        <v>213.33400000000003</v>
      </c>
      <c r="BX832" s="3">
        <f>[1]monsters!$Q832</f>
        <v>106.67</v>
      </c>
      <c r="BY832" s="3">
        <f>[1]monsters!$R832</f>
        <v>13.44</v>
      </c>
      <c r="BZ832" s="3">
        <f>[1]monsters!$S832</f>
        <v>1.34</v>
      </c>
      <c r="CA832" s="3">
        <f>[1]monsters!$K832</f>
        <v>1.4000000000000001</v>
      </c>
      <c r="CB832" s="12">
        <f>[1]monsters!$D832</f>
        <v>2</v>
      </c>
      <c r="CC832" s="12">
        <f t="shared" ca="1" si="64"/>
        <v>0.1</v>
      </c>
      <c r="CD832" s="12">
        <f t="shared" ca="1" si="65"/>
        <v>126.84983703703701</v>
      </c>
      <c r="CE832" s="12">
        <f t="shared" ca="1" si="66"/>
        <v>12.684983703703701</v>
      </c>
      <c r="CS832" s="33"/>
      <c r="CT832" s="33"/>
      <c r="CU832" s="33"/>
      <c r="CV832" s="32"/>
      <c r="CW832" s="32"/>
      <c r="CX832" s="32"/>
      <c r="CY832" s="34"/>
      <c r="CZ832" s="34"/>
      <c r="DA832" s="34"/>
      <c r="DB832" s="33"/>
      <c r="DC832" s="33"/>
      <c r="DD832" s="33"/>
      <c r="DE832" s="33"/>
      <c r="DF832" s="33"/>
      <c r="DG832" s="33"/>
      <c r="DH832" s="34"/>
      <c r="DI832" s="34"/>
      <c r="DJ832" s="34"/>
      <c r="DK832" s="34"/>
      <c r="DL832" s="34"/>
      <c r="DM832" s="34"/>
      <c r="DN832" s="12">
        <v>5504074</v>
      </c>
      <c r="DS832" s="21"/>
      <c r="DT832" s="21"/>
      <c r="DU832" s="21"/>
    </row>
    <row r="833" spans="72:125" ht="13.5" customHeight="1">
      <c r="BT833" s="12">
        <v>5101074</v>
      </c>
      <c r="BU833" s="3">
        <f>[1]monsters!$N833</f>
        <v>110.93</v>
      </c>
      <c r="BV833" s="3">
        <f>[1]monsters!$O833</f>
        <v>11.09</v>
      </c>
      <c r="BW833" s="3">
        <f>[1]monsters!$P833</f>
        <v>147.69200000000001</v>
      </c>
      <c r="BX833" s="3">
        <f>[1]monsters!$Q833</f>
        <v>73.849999999999994</v>
      </c>
      <c r="BY833" s="3">
        <f>[1]monsters!$R833</f>
        <v>11.09</v>
      </c>
      <c r="BZ833" s="3">
        <f>[1]monsters!$S833</f>
        <v>1.1100000000000001</v>
      </c>
      <c r="CA833" s="3">
        <f>[1]monsters!$K833</f>
        <v>1.6</v>
      </c>
      <c r="CB833" s="12">
        <f>[1]monsters!$D833</f>
        <v>4</v>
      </c>
      <c r="CC833" s="12">
        <f t="shared" ca="1" si="64"/>
        <v>0.1</v>
      </c>
      <c r="CD833" s="12">
        <f t="shared" ca="1" si="65"/>
        <v>110.97244444444399</v>
      </c>
      <c r="CE833" s="12">
        <f t="shared" ca="1" si="66"/>
        <v>11.097244444444399</v>
      </c>
      <c r="CS833" s="33"/>
      <c r="CT833" s="33"/>
      <c r="CU833" s="33"/>
      <c r="CV833" s="32"/>
      <c r="CW833" s="32"/>
      <c r="CX833" s="32"/>
      <c r="CY833" s="34"/>
      <c r="CZ833" s="34"/>
      <c r="DA833" s="34"/>
      <c r="DB833" s="33"/>
      <c r="DC833" s="33"/>
      <c r="DD833" s="33"/>
      <c r="DE833" s="33"/>
      <c r="DF833" s="33"/>
      <c r="DG833" s="33"/>
      <c r="DH833" s="34"/>
      <c r="DI833" s="34"/>
      <c r="DJ833" s="34"/>
      <c r="DK833" s="34"/>
      <c r="DL833" s="34"/>
      <c r="DM833" s="34"/>
      <c r="DN833" s="12">
        <v>5101074</v>
      </c>
      <c r="DS833" s="21"/>
      <c r="DT833" s="21"/>
      <c r="DU833" s="21"/>
    </row>
    <row r="834" spans="72:125" ht="13.5" customHeight="1">
      <c r="BT834" s="12">
        <v>5102074</v>
      </c>
      <c r="BU834" s="3">
        <f>[1]monsters!$N834</f>
        <v>102.4</v>
      </c>
      <c r="BV834" s="3">
        <f>[1]monsters!$O834</f>
        <v>10.24</v>
      </c>
      <c r="BW834" s="3">
        <f>[1]monsters!$P834</f>
        <v>160</v>
      </c>
      <c r="BX834" s="3">
        <f>[1]monsters!$Q834</f>
        <v>80</v>
      </c>
      <c r="BY834" s="3">
        <f>[1]monsters!$R834</f>
        <v>17.07</v>
      </c>
      <c r="BZ834" s="3">
        <f>[1]monsters!$S834</f>
        <v>1.71</v>
      </c>
      <c r="CA834" s="3">
        <f>[1]monsters!$K834</f>
        <v>1.6</v>
      </c>
      <c r="CB834" s="12">
        <f>[1]monsters!$D834</f>
        <v>5</v>
      </c>
      <c r="CC834" s="12">
        <f t="shared" ca="1" si="64"/>
        <v>0.1</v>
      </c>
      <c r="CD834" s="12">
        <f t="shared" ca="1" si="65"/>
        <v>102.65644444444401</v>
      </c>
      <c r="CE834" s="12">
        <f t="shared" ca="1" si="66"/>
        <v>10.265644444444399</v>
      </c>
      <c r="CS834" s="33"/>
      <c r="CT834" s="33"/>
      <c r="CU834" s="33"/>
      <c r="CV834" s="32"/>
      <c r="CW834" s="32"/>
      <c r="CX834" s="32"/>
      <c r="CY834" s="34"/>
      <c r="CZ834" s="34"/>
      <c r="DA834" s="34"/>
      <c r="DB834" s="33"/>
      <c r="DC834" s="33"/>
      <c r="DD834" s="33"/>
      <c r="DE834" s="33"/>
      <c r="DF834" s="33"/>
      <c r="DG834" s="33"/>
      <c r="DH834" s="34"/>
      <c r="DI834" s="34"/>
      <c r="DJ834" s="34"/>
      <c r="DK834" s="33"/>
      <c r="DL834" s="33"/>
      <c r="DM834" s="33"/>
      <c r="DN834" s="12">
        <v>5102074</v>
      </c>
      <c r="DS834" s="21"/>
      <c r="DT834" s="21"/>
      <c r="DU834" s="21"/>
    </row>
    <row r="835" spans="72:125" ht="13.5" customHeight="1">
      <c r="BT835" s="12">
        <v>5206075</v>
      </c>
      <c r="BU835" s="3">
        <f>[1]monsters!$N835</f>
        <v>85.87</v>
      </c>
      <c r="BV835" s="3">
        <f>[1]monsters!$O835</f>
        <v>8.59</v>
      </c>
      <c r="BW835" s="3">
        <f>[1]monsters!$P835</f>
        <v>166.95600000000002</v>
      </c>
      <c r="BX835" s="3">
        <f>[1]monsters!$Q835</f>
        <v>83.48</v>
      </c>
      <c r="BY835" s="3">
        <f>[1]monsters!$R835</f>
        <v>10.73</v>
      </c>
      <c r="BZ835" s="3">
        <f>[1]monsters!$S835</f>
        <v>1.07</v>
      </c>
      <c r="CA835" s="3">
        <f>[1]monsters!$K835</f>
        <v>1.4000000000000001</v>
      </c>
      <c r="CB835" s="12">
        <f>[1]monsters!$D835</f>
        <v>3</v>
      </c>
      <c r="CC835" s="12">
        <f t="shared" ca="1" si="64"/>
        <v>0.1</v>
      </c>
      <c r="CD835" s="12">
        <f t="shared" ca="1" si="65"/>
        <v>112.104355555556</v>
      </c>
      <c r="CE835" s="12">
        <f t="shared" ca="1" si="66"/>
        <v>11.2104355555556</v>
      </c>
      <c r="CS835" s="33"/>
      <c r="CT835" s="33"/>
      <c r="CU835" s="33"/>
      <c r="CV835" s="32"/>
      <c r="CW835" s="32"/>
      <c r="CX835" s="32"/>
      <c r="CY835" s="34"/>
      <c r="CZ835" s="34"/>
      <c r="DA835" s="34"/>
      <c r="DB835" s="33"/>
      <c r="DC835" s="33"/>
      <c r="DD835" s="33"/>
      <c r="DE835" s="33"/>
      <c r="DF835" s="33"/>
      <c r="DG835" s="33"/>
      <c r="DH835" s="34"/>
      <c r="DI835" s="34"/>
      <c r="DJ835" s="34"/>
      <c r="DK835" s="33"/>
      <c r="DL835" s="33"/>
      <c r="DM835" s="33"/>
      <c r="DN835" s="12">
        <v>5206075</v>
      </c>
      <c r="DS835" s="21"/>
      <c r="DT835" s="21"/>
      <c r="DU835" s="21"/>
    </row>
    <row r="836" spans="72:125" ht="13.5" customHeight="1">
      <c r="BT836" s="12">
        <v>5406075</v>
      </c>
      <c r="BU836" s="3">
        <f>[1]monsters!$N836</f>
        <v>62.4</v>
      </c>
      <c r="BV836" s="3">
        <f>[1]monsters!$O836</f>
        <v>6.24</v>
      </c>
      <c r="BW836" s="3">
        <f>[1]monsters!$P836</f>
        <v>213.33400000000003</v>
      </c>
      <c r="BX836" s="3">
        <f>[1]monsters!$Q836</f>
        <v>106.67</v>
      </c>
      <c r="BY836" s="3">
        <f>[1]monsters!$R836</f>
        <v>12.48</v>
      </c>
      <c r="BZ836" s="3">
        <f>[1]monsters!$S836</f>
        <v>1.25</v>
      </c>
      <c r="CA836" s="3">
        <f>[1]monsters!$K836</f>
        <v>1.3</v>
      </c>
      <c r="CB836" s="12">
        <f>[1]monsters!$D836</f>
        <v>2</v>
      </c>
      <c r="CC836" s="12">
        <f t="shared" ref="CC836:CC899" ca="1" si="67">INDEX($CK$5:$CK$10,MATCH($CC836,$CJ$5:$CJ$10))</f>
        <v>0.1</v>
      </c>
      <c r="CD836" s="12">
        <f t="shared" ca="1" si="65"/>
        <v>104.43724040404</v>
      </c>
      <c r="CE836" s="12">
        <f t="shared" ca="1" si="66"/>
        <v>10.443724040404</v>
      </c>
      <c r="CS836" s="33"/>
      <c r="CT836" s="33"/>
      <c r="CU836" s="33"/>
      <c r="CV836" s="32"/>
      <c r="CW836" s="32"/>
      <c r="CX836" s="32"/>
      <c r="CY836" s="34"/>
      <c r="CZ836" s="34"/>
      <c r="DA836" s="34"/>
      <c r="DB836" s="33"/>
      <c r="DC836" s="33"/>
      <c r="DD836" s="33"/>
      <c r="DE836" s="33"/>
      <c r="DF836" s="33"/>
      <c r="DG836" s="33"/>
      <c r="DH836" s="34"/>
      <c r="DI836" s="34"/>
      <c r="DJ836" s="34"/>
      <c r="DK836" s="33"/>
      <c r="DL836" s="33"/>
      <c r="DM836" s="33"/>
      <c r="DN836" s="12">
        <v>5406075</v>
      </c>
      <c r="DS836" s="21"/>
      <c r="DT836" s="21"/>
      <c r="DU836" s="21"/>
    </row>
    <row r="837" spans="72:125" ht="13.5" customHeight="1">
      <c r="BT837" s="12">
        <v>5205075</v>
      </c>
      <c r="BU837" s="3">
        <f>[1]monsters!$N837</f>
        <v>83.2</v>
      </c>
      <c r="BV837" s="3">
        <f>[1]monsters!$O837</f>
        <v>8.32</v>
      </c>
      <c r="BW837" s="3">
        <f>[1]monsters!$P837</f>
        <v>160</v>
      </c>
      <c r="BX837" s="3">
        <f>[1]monsters!$Q837</f>
        <v>80</v>
      </c>
      <c r="BY837" s="3">
        <f>[1]monsters!$R837</f>
        <v>8.32</v>
      </c>
      <c r="BZ837" s="3">
        <f>[1]monsters!$S837</f>
        <v>0.83</v>
      </c>
      <c r="CA837" s="3">
        <f>[1]monsters!$K837</f>
        <v>1.3</v>
      </c>
      <c r="CB837" s="12">
        <f>[1]monsters!$D837</f>
        <v>4</v>
      </c>
      <c r="CC837" s="12">
        <f t="shared" ca="1" si="67"/>
        <v>0.1</v>
      </c>
      <c r="CD837" s="12">
        <f t="shared" ref="CD837:CD900" ca="1" si="68">(BW837/33/(1-CC837)/(1-0)+BU837*(1+0.5*0.1)*0.9)</f>
        <v>122.083555555556</v>
      </c>
      <c r="CE837" s="12">
        <f t="shared" ref="CE837:CE900" ca="1" si="69">(BW837/33/(1-CC837)/(1-0)+BU837*(1+0.5*0.1)*0.9)*0.1</f>
        <v>12.208355555555601</v>
      </c>
      <c r="CS837" s="33"/>
      <c r="CT837" s="33"/>
      <c r="CU837" s="33"/>
      <c r="CV837" s="32"/>
      <c r="CW837" s="32"/>
      <c r="CX837" s="32"/>
      <c r="CY837" s="34"/>
      <c r="CZ837" s="34"/>
      <c r="DA837" s="34"/>
      <c r="DB837" s="33"/>
      <c r="DC837" s="33"/>
      <c r="DD837" s="33"/>
      <c r="DE837" s="33"/>
      <c r="DF837" s="33"/>
      <c r="DG837" s="33"/>
      <c r="DH837" s="34"/>
      <c r="DI837" s="34"/>
      <c r="DJ837" s="34"/>
      <c r="DK837" s="33"/>
      <c r="DL837" s="33"/>
      <c r="DM837" s="33"/>
      <c r="DN837" s="12">
        <v>5205075</v>
      </c>
      <c r="DS837" s="21"/>
      <c r="DT837" s="21"/>
      <c r="DU837" s="21"/>
    </row>
    <row r="838" spans="72:125" ht="13.5" customHeight="1">
      <c r="BT838" s="12">
        <v>5405075</v>
      </c>
      <c r="BU838" s="3">
        <f>[1]monsters!$N838</f>
        <v>86.4</v>
      </c>
      <c r="BV838" s="3">
        <f>[1]monsters!$O838</f>
        <v>8.64</v>
      </c>
      <c r="BW838" s="3">
        <f>[1]monsters!$P838</f>
        <v>213.33400000000003</v>
      </c>
      <c r="BX838" s="3">
        <f>[1]monsters!$Q838</f>
        <v>106.67</v>
      </c>
      <c r="BY838" s="3">
        <f>[1]monsters!$R838</f>
        <v>17.28</v>
      </c>
      <c r="BZ838" s="3">
        <f>[1]monsters!$S838</f>
        <v>1.73</v>
      </c>
      <c r="CA838" s="3">
        <f>[1]monsters!$K838</f>
        <v>1.8</v>
      </c>
      <c r="CB838" s="12">
        <f>[1]monsters!$D838</f>
        <v>2</v>
      </c>
      <c r="CC838" s="12">
        <f t="shared" ca="1" si="67"/>
        <v>0.1</v>
      </c>
      <c r="CD838" s="12">
        <f t="shared" ca="1" si="68"/>
        <v>109.01104040404</v>
      </c>
      <c r="CE838" s="12">
        <f t="shared" ca="1" si="69"/>
        <v>10.901104040404</v>
      </c>
      <c r="CS838" s="33"/>
      <c r="CT838" s="33"/>
      <c r="CU838" s="33"/>
      <c r="CV838" s="32"/>
      <c r="CW838" s="32"/>
      <c r="CX838" s="32"/>
      <c r="CY838" s="34"/>
      <c r="CZ838" s="34"/>
      <c r="DA838" s="34"/>
      <c r="DB838" s="33"/>
      <c r="DC838" s="33"/>
      <c r="DD838" s="33"/>
      <c r="DE838" s="33"/>
      <c r="DF838" s="33"/>
      <c r="DG838" s="33"/>
      <c r="DH838" s="34"/>
      <c r="DI838" s="34"/>
      <c r="DJ838" s="34"/>
      <c r="DK838" s="33"/>
      <c r="DL838" s="33"/>
      <c r="DM838" s="33"/>
      <c r="DN838" s="12">
        <v>5405075</v>
      </c>
      <c r="DS838" s="21"/>
      <c r="DT838" s="21"/>
      <c r="DU838" s="21"/>
    </row>
    <row r="839" spans="72:125" ht="13.5" customHeight="1">
      <c r="BT839" s="12">
        <v>5203075</v>
      </c>
      <c r="BU839" s="3">
        <f>[1]monsters!$N839</f>
        <v>100</v>
      </c>
      <c r="BV839" s="3">
        <f>[1]monsters!$O839</f>
        <v>10</v>
      </c>
      <c r="BW839" s="3">
        <f>[1]monsters!$P839</f>
        <v>153.60000000000002</v>
      </c>
      <c r="BX839" s="3">
        <f>[1]monsters!$Q839</f>
        <v>76.8</v>
      </c>
      <c r="BY839" s="3">
        <f>[1]monsters!$R839</f>
        <v>10</v>
      </c>
      <c r="BZ839" s="3">
        <f>[1]monsters!$S839</f>
        <v>1</v>
      </c>
      <c r="CA839" s="3">
        <f>[1]monsters!$K839</f>
        <v>1.5</v>
      </c>
      <c r="CB839" s="12">
        <f>[1]monsters!$D839</f>
        <v>4</v>
      </c>
      <c r="CC839" s="12">
        <f t="shared" ca="1" si="67"/>
        <v>0.1</v>
      </c>
      <c r="CD839" s="12">
        <f t="shared" ca="1" si="68"/>
        <v>98.798755555555601</v>
      </c>
      <c r="CE839" s="12">
        <f t="shared" ca="1" si="69"/>
        <v>9.8798755555555609</v>
      </c>
      <c r="CS839" s="33"/>
      <c r="CT839" s="33"/>
      <c r="CU839" s="33"/>
      <c r="CV839" s="32"/>
      <c r="CW839" s="32"/>
      <c r="CX839" s="32"/>
      <c r="CY839" s="34"/>
      <c r="CZ839" s="34"/>
      <c r="DA839" s="34"/>
      <c r="DB839" s="33"/>
      <c r="DC839" s="33"/>
      <c r="DD839" s="33"/>
      <c r="DE839" s="33"/>
      <c r="DF839" s="33"/>
      <c r="DG839" s="33"/>
      <c r="DH839" s="34"/>
      <c r="DI839" s="34"/>
      <c r="DJ839" s="34"/>
      <c r="DK839" s="33"/>
      <c r="DL839" s="33"/>
      <c r="DM839" s="33"/>
      <c r="DN839" s="12">
        <v>5203075</v>
      </c>
      <c r="DS839" s="21"/>
      <c r="DT839" s="21"/>
      <c r="DU839" s="21"/>
    </row>
    <row r="840" spans="72:125" ht="13.5" customHeight="1">
      <c r="BT840" s="12">
        <v>5403075</v>
      </c>
      <c r="BU840" s="3">
        <f>[1]monsters!$N840</f>
        <v>76.27</v>
      </c>
      <c r="BV840" s="3">
        <f>[1]monsters!$O840</f>
        <v>7.63</v>
      </c>
      <c r="BW840" s="3">
        <f>[1]monsters!$P840</f>
        <v>174.54600000000002</v>
      </c>
      <c r="BX840" s="3">
        <f>[1]monsters!$Q840</f>
        <v>87.27</v>
      </c>
      <c r="BY840" s="3">
        <f>[1]monsters!$R840</f>
        <v>9.5299999999999994</v>
      </c>
      <c r="BZ840" s="3">
        <f>[1]monsters!$S840</f>
        <v>0.95</v>
      </c>
      <c r="CA840" s="3">
        <f>[1]monsters!$K840</f>
        <v>1.3</v>
      </c>
      <c r="CB840" s="12">
        <f>[1]monsters!$D840</f>
        <v>3</v>
      </c>
      <c r="CC840" s="12">
        <f t="shared" ca="1" si="67"/>
        <v>0.1</v>
      </c>
      <c r="CD840" s="12">
        <f t="shared" ca="1" si="68"/>
        <v>90.715840404040406</v>
      </c>
      <c r="CE840" s="12">
        <f t="shared" ca="1" si="69"/>
        <v>9.0715840404040406</v>
      </c>
      <c r="CS840" s="33"/>
      <c r="CT840" s="33"/>
      <c r="CU840" s="33"/>
      <c r="CV840" s="32"/>
      <c r="CW840" s="32"/>
      <c r="CX840" s="32"/>
      <c r="CY840" s="34"/>
      <c r="CZ840" s="34"/>
      <c r="DA840" s="34"/>
      <c r="DB840" s="33"/>
      <c r="DC840" s="33"/>
      <c r="DD840" s="33"/>
      <c r="DE840" s="33"/>
      <c r="DF840" s="33"/>
      <c r="DG840" s="33"/>
      <c r="DH840" s="34"/>
      <c r="DI840" s="34"/>
      <c r="DJ840" s="34"/>
      <c r="DK840" s="33"/>
      <c r="DL840" s="33"/>
      <c r="DM840" s="33"/>
      <c r="DN840" s="12">
        <v>5403075</v>
      </c>
      <c r="DS840" s="21"/>
      <c r="DT840" s="21"/>
      <c r="DU840" s="21"/>
    </row>
    <row r="841" spans="72:125" ht="13.5" customHeight="1">
      <c r="BT841" s="12">
        <v>5204075</v>
      </c>
      <c r="BU841" s="3">
        <f>[1]monsters!$N841</f>
        <v>105.6</v>
      </c>
      <c r="BV841" s="3">
        <f>[1]monsters!$O841</f>
        <v>10.56</v>
      </c>
      <c r="BW841" s="3">
        <f>[1]monsters!$P841</f>
        <v>174.54600000000002</v>
      </c>
      <c r="BX841" s="3">
        <f>[1]monsters!$Q841</f>
        <v>87.27</v>
      </c>
      <c r="BY841" s="3">
        <f>[1]monsters!$R841</f>
        <v>17.600000000000001</v>
      </c>
      <c r="BZ841" s="3">
        <f>[1]monsters!$S841</f>
        <v>1.76</v>
      </c>
      <c r="CA841" s="3">
        <f>[1]monsters!$K841</f>
        <v>1.8</v>
      </c>
      <c r="CB841" s="12">
        <f>[1]monsters!$D841</f>
        <v>5</v>
      </c>
      <c r="CC841" s="12">
        <f t="shared" ca="1" si="67"/>
        <v>0.1</v>
      </c>
      <c r="CD841" s="12">
        <f t="shared" ca="1" si="68"/>
        <v>102.12515555555601</v>
      </c>
      <c r="CE841" s="12">
        <f t="shared" ca="1" si="69"/>
        <v>10.2125155555556</v>
      </c>
      <c r="CS841" s="33"/>
      <c r="CT841" s="33"/>
      <c r="CU841" s="33"/>
      <c r="CV841" s="32"/>
      <c r="CW841" s="32"/>
      <c r="CX841" s="32"/>
      <c r="CY841" s="34"/>
      <c r="CZ841" s="34"/>
      <c r="DA841" s="34"/>
      <c r="DB841" s="33"/>
      <c r="DC841" s="33"/>
      <c r="DD841" s="33"/>
      <c r="DE841" s="33"/>
      <c r="DF841" s="33"/>
      <c r="DG841" s="33"/>
      <c r="DH841" s="34"/>
      <c r="DI841" s="34"/>
      <c r="DJ841" s="34"/>
      <c r="DK841" s="33"/>
      <c r="DL841" s="33"/>
      <c r="DM841" s="33"/>
      <c r="DN841" s="12">
        <v>5204075</v>
      </c>
      <c r="DS841" s="21"/>
      <c r="DT841" s="21"/>
      <c r="DU841" s="21"/>
    </row>
    <row r="842" spans="72:125" ht="13.5" customHeight="1">
      <c r="BT842" s="12">
        <v>5404075</v>
      </c>
      <c r="BU842" s="3">
        <f>[1]monsters!$N842</f>
        <v>76.8</v>
      </c>
      <c r="BV842" s="3">
        <f>[1]monsters!$O842</f>
        <v>7.68</v>
      </c>
      <c r="BW842" s="3">
        <f>[1]monsters!$P842</f>
        <v>213.33400000000003</v>
      </c>
      <c r="BX842" s="3">
        <f>[1]monsters!$Q842</f>
        <v>106.67</v>
      </c>
      <c r="BY842" s="3">
        <f>[1]monsters!$R842</f>
        <v>15.36</v>
      </c>
      <c r="BZ842" s="3">
        <f>[1]monsters!$S842</f>
        <v>1.54</v>
      </c>
      <c r="CA842" s="3">
        <f>[1]monsters!$K842</f>
        <v>1.6</v>
      </c>
      <c r="CB842" s="12">
        <f>[1]monsters!$D842</f>
        <v>2</v>
      </c>
      <c r="CC842" s="12">
        <f t="shared" ca="1" si="67"/>
        <v>0.1</v>
      </c>
      <c r="CD842" s="12">
        <f t="shared" ca="1" si="68"/>
        <v>109.01104040404</v>
      </c>
      <c r="CE842" s="12">
        <f t="shared" ca="1" si="69"/>
        <v>10.901104040404</v>
      </c>
      <c r="CS842" s="33"/>
      <c r="CT842" s="33"/>
      <c r="CU842" s="33"/>
      <c r="CV842" s="32"/>
      <c r="CW842" s="32"/>
      <c r="CX842" s="32"/>
      <c r="CY842" s="34"/>
      <c r="CZ842" s="34"/>
      <c r="DA842" s="34"/>
      <c r="DB842" s="33"/>
      <c r="DC842" s="33"/>
      <c r="DD842" s="33"/>
      <c r="DE842" s="33"/>
      <c r="DF842" s="33"/>
      <c r="DG842" s="33"/>
      <c r="DH842" s="34"/>
      <c r="DI842" s="34"/>
      <c r="DJ842" s="34"/>
      <c r="DK842" s="33"/>
      <c r="DL842" s="33"/>
      <c r="DM842" s="33"/>
      <c r="DN842" s="12">
        <v>5404075</v>
      </c>
      <c r="DS842" s="21"/>
      <c r="DT842" s="21"/>
      <c r="DU842" s="21"/>
    </row>
    <row r="843" spans="72:125" ht="13.5" customHeight="1">
      <c r="BT843" s="12">
        <v>5303075</v>
      </c>
      <c r="BU843" s="3">
        <f>[1]monsters!$N843</f>
        <v>97.07</v>
      </c>
      <c r="BV843" s="3">
        <f>[1]monsters!$O843</f>
        <v>9.7100000000000009</v>
      </c>
      <c r="BW843" s="3">
        <f>[1]monsters!$P843</f>
        <v>147.69200000000001</v>
      </c>
      <c r="BX843" s="3">
        <f>[1]monsters!$Q843</f>
        <v>73.849999999999994</v>
      </c>
      <c r="BY843" s="3">
        <f>[1]monsters!$R843</f>
        <v>9.7100000000000009</v>
      </c>
      <c r="BZ843" s="3">
        <f>[1]monsters!$S843</f>
        <v>0.97</v>
      </c>
      <c r="CA843" s="3">
        <f>[1]monsters!$K843</f>
        <v>1.4000000000000001</v>
      </c>
      <c r="CB843" s="12">
        <f>[1]monsters!$D843</f>
        <v>4</v>
      </c>
      <c r="CC843" s="12">
        <f t="shared" ca="1" si="67"/>
        <v>0.1</v>
      </c>
      <c r="CD843" s="12">
        <f t="shared" ca="1" si="68"/>
        <v>98.031316049382795</v>
      </c>
      <c r="CE843" s="12">
        <f t="shared" ca="1" si="69"/>
        <v>9.8031316049382795</v>
      </c>
      <c r="CS843" s="33"/>
      <c r="CT843" s="33"/>
      <c r="CU843" s="33"/>
      <c r="CV843" s="32"/>
      <c r="CW843" s="32"/>
      <c r="CX843" s="32"/>
      <c r="CY843" s="34"/>
      <c r="CZ843" s="34"/>
      <c r="DA843" s="34"/>
      <c r="DB843" s="33"/>
      <c r="DC843" s="33"/>
      <c r="DD843" s="33"/>
      <c r="DE843" s="33"/>
      <c r="DF843" s="33"/>
      <c r="DG843" s="33"/>
      <c r="DH843" s="34"/>
      <c r="DI843" s="34"/>
      <c r="DJ843" s="34"/>
      <c r="DK843" s="33"/>
      <c r="DL843" s="33"/>
      <c r="DM843" s="33"/>
      <c r="DN843" s="12">
        <v>5303075</v>
      </c>
      <c r="DS843" s="21"/>
      <c r="DT843" s="21"/>
      <c r="DU843" s="21"/>
    </row>
    <row r="844" spans="72:125" ht="13.5" customHeight="1">
      <c r="BT844" s="12">
        <v>5304075</v>
      </c>
      <c r="BU844" s="3">
        <f>[1]monsters!$N844</f>
        <v>67.2</v>
      </c>
      <c r="BV844" s="3">
        <f>[1]monsters!$O844</f>
        <v>6.72</v>
      </c>
      <c r="BW844" s="3">
        <f>[1]monsters!$P844</f>
        <v>213.33400000000003</v>
      </c>
      <c r="BX844" s="3">
        <f>[1]monsters!$Q844</f>
        <v>106.67</v>
      </c>
      <c r="BY844" s="3">
        <f>[1]monsters!$R844</f>
        <v>13.44</v>
      </c>
      <c r="BZ844" s="3">
        <f>[1]monsters!$S844</f>
        <v>1.34</v>
      </c>
      <c r="CA844" s="3">
        <f>[1]monsters!$K844</f>
        <v>1.4000000000000001</v>
      </c>
      <c r="CB844" s="12">
        <f>[1]monsters!$D844</f>
        <v>2</v>
      </c>
      <c r="CC844" s="12">
        <f t="shared" ca="1" si="67"/>
        <v>0.1</v>
      </c>
      <c r="CD844" s="12">
        <f t="shared" ca="1" si="68"/>
        <v>101.77351604938301</v>
      </c>
      <c r="CE844" s="12">
        <f t="shared" ca="1" si="69"/>
        <v>10.1773516049383</v>
      </c>
      <c r="CS844" s="33"/>
      <c r="CT844" s="33"/>
      <c r="CU844" s="33"/>
      <c r="CV844" s="32"/>
      <c r="CW844" s="32"/>
      <c r="CX844" s="32"/>
      <c r="CY844" s="34"/>
      <c r="CZ844" s="34"/>
      <c r="DA844" s="34"/>
      <c r="DB844" s="33"/>
      <c r="DC844" s="33"/>
      <c r="DD844" s="33"/>
      <c r="DE844" s="33"/>
      <c r="DF844" s="33"/>
      <c r="DG844" s="33"/>
      <c r="DH844" s="34"/>
      <c r="DI844" s="34"/>
      <c r="DJ844" s="34"/>
      <c r="DK844" s="33"/>
      <c r="DL844" s="33"/>
      <c r="DM844" s="33"/>
      <c r="DN844" s="12">
        <v>5304075</v>
      </c>
      <c r="DS844" s="21"/>
      <c r="DT844" s="21"/>
      <c r="DU844" s="21"/>
    </row>
    <row r="845" spans="72:125" ht="13.5" customHeight="1">
      <c r="BT845" s="12">
        <v>5503075</v>
      </c>
      <c r="BU845" s="3">
        <f>[1]monsters!$N845</f>
        <v>110.93</v>
      </c>
      <c r="BV845" s="3">
        <f>[1]monsters!$O845</f>
        <v>11.09</v>
      </c>
      <c r="BW845" s="3">
        <f>[1]monsters!$P845</f>
        <v>147.69200000000001</v>
      </c>
      <c r="BX845" s="3">
        <f>[1]monsters!$Q845</f>
        <v>73.849999999999994</v>
      </c>
      <c r="BY845" s="3">
        <f>[1]monsters!$R845</f>
        <v>11.09</v>
      </c>
      <c r="BZ845" s="3">
        <f>[1]monsters!$S845</f>
        <v>1.1100000000000001</v>
      </c>
      <c r="CA845" s="3">
        <f>[1]monsters!$K845</f>
        <v>1.6</v>
      </c>
      <c r="CB845" s="12">
        <f>[1]monsters!$D845</f>
        <v>4</v>
      </c>
      <c r="CC845" s="12">
        <f t="shared" ca="1" si="67"/>
        <v>0.1</v>
      </c>
      <c r="CD845" s="12">
        <f t="shared" ca="1" si="68"/>
        <v>116.870637037037</v>
      </c>
      <c r="CE845" s="12">
        <f t="shared" ca="1" si="69"/>
        <v>11.6870637037037</v>
      </c>
      <c r="CS845" s="33"/>
      <c r="CT845" s="33"/>
      <c r="CU845" s="33"/>
      <c r="CV845" s="32"/>
      <c r="CW845" s="32"/>
      <c r="CX845" s="32"/>
      <c r="CY845" s="34"/>
      <c r="CZ845" s="34"/>
      <c r="DA845" s="34"/>
      <c r="DB845" s="33"/>
      <c r="DC845" s="33"/>
      <c r="DD845" s="33"/>
      <c r="DE845" s="33"/>
      <c r="DF845" s="33"/>
      <c r="DG845" s="33"/>
      <c r="DH845" s="34"/>
      <c r="DI845" s="34"/>
      <c r="DJ845" s="34"/>
      <c r="DK845" s="33"/>
      <c r="DL845" s="33"/>
      <c r="DM845" s="33"/>
      <c r="DN845" s="12">
        <v>5503075</v>
      </c>
      <c r="DS845" s="21"/>
      <c r="DT845" s="21"/>
      <c r="DU845" s="21"/>
    </row>
    <row r="846" spans="72:125" ht="13.5" customHeight="1">
      <c r="BT846" s="12">
        <v>5504075</v>
      </c>
      <c r="BU846" s="3">
        <f>[1]monsters!$N846</f>
        <v>102.4</v>
      </c>
      <c r="BV846" s="3">
        <f>[1]monsters!$O846</f>
        <v>10.24</v>
      </c>
      <c r="BW846" s="3">
        <f>[1]monsters!$P846</f>
        <v>160</v>
      </c>
      <c r="BX846" s="3">
        <f>[1]monsters!$Q846</f>
        <v>80</v>
      </c>
      <c r="BY846" s="3">
        <f>[1]monsters!$R846</f>
        <v>17.07</v>
      </c>
      <c r="BZ846" s="3">
        <f>[1]monsters!$S846</f>
        <v>1.71</v>
      </c>
      <c r="CA846" s="3">
        <f>[1]monsters!$K846</f>
        <v>1.6</v>
      </c>
      <c r="CB846" s="12">
        <f>[1]monsters!$D846</f>
        <v>5</v>
      </c>
      <c r="CC846" s="12">
        <f t="shared" ca="1" si="67"/>
        <v>0.1</v>
      </c>
      <c r="CD846" s="12">
        <f t="shared" ca="1" si="68"/>
        <v>126.84983703703701</v>
      </c>
      <c r="CE846" s="12">
        <f t="shared" ca="1" si="69"/>
        <v>12.684983703703701</v>
      </c>
      <c r="CS846" s="33"/>
      <c r="CT846" s="33"/>
      <c r="CU846" s="33"/>
      <c r="CV846" s="32"/>
      <c r="CW846" s="32"/>
      <c r="CX846" s="32"/>
      <c r="CY846" s="34"/>
      <c r="CZ846" s="34"/>
      <c r="DA846" s="34"/>
      <c r="DB846" s="33"/>
      <c r="DC846" s="33"/>
      <c r="DD846" s="33"/>
      <c r="DE846" s="33"/>
      <c r="DF846" s="33"/>
      <c r="DG846" s="33"/>
      <c r="DH846" s="34"/>
      <c r="DI846" s="34"/>
      <c r="DJ846" s="34"/>
      <c r="DK846" s="33"/>
      <c r="DL846" s="33"/>
      <c r="DM846" s="33"/>
      <c r="DN846" s="12">
        <v>5504075</v>
      </c>
      <c r="DS846" s="21"/>
      <c r="DT846" s="21"/>
      <c r="DU846" s="21"/>
    </row>
    <row r="847" spans="72:125" ht="13.5" customHeight="1">
      <c r="BT847" s="12">
        <v>5101075</v>
      </c>
      <c r="BU847" s="3">
        <f>[1]monsters!$N847</f>
        <v>85.87</v>
      </c>
      <c r="BV847" s="3">
        <f>[1]monsters!$O847</f>
        <v>8.59</v>
      </c>
      <c r="BW847" s="3">
        <f>[1]monsters!$P847</f>
        <v>166.95600000000002</v>
      </c>
      <c r="BX847" s="3">
        <f>[1]monsters!$Q847</f>
        <v>83.48</v>
      </c>
      <c r="BY847" s="3">
        <f>[1]monsters!$R847</f>
        <v>10.73</v>
      </c>
      <c r="BZ847" s="3">
        <f>[1]monsters!$S847</f>
        <v>1.07</v>
      </c>
      <c r="CA847" s="3">
        <f>[1]monsters!$K847</f>
        <v>1.4000000000000001</v>
      </c>
      <c r="CB847" s="12">
        <f>[1]monsters!$D847</f>
        <v>3</v>
      </c>
      <c r="CC847" s="12">
        <f t="shared" ca="1" si="67"/>
        <v>0.1</v>
      </c>
      <c r="CD847" s="12">
        <f t="shared" ca="1" si="68"/>
        <v>110.97244444444399</v>
      </c>
      <c r="CE847" s="12">
        <f t="shared" ca="1" si="69"/>
        <v>11.097244444444399</v>
      </c>
      <c r="CS847" s="33"/>
      <c r="CT847" s="33"/>
      <c r="CU847" s="33"/>
      <c r="CV847" s="32"/>
      <c r="CW847" s="32"/>
      <c r="CX847" s="32"/>
      <c r="CY847" s="34"/>
      <c r="CZ847" s="34"/>
      <c r="DA847" s="34"/>
      <c r="DB847" s="33"/>
      <c r="DC847" s="33"/>
      <c r="DD847" s="33"/>
      <c r="DE847" s="33"/>
      <c r="DF847" s="33"/>
      <c r="DG847" s="33"/>
      <c r="DH847" s="34"/>
      <c r="DI847" s="34"/>
      <c r="DJ847" s="34"/>
      <c r="DK847" s="33"/>
      <c r="DL847" s="33"/>
      <c r="DM847" s="33"/>
      <c r="DN847" s="12">
        <v>5101075</v>
      </c>
      <c r="DS847" s="21"/>
      <c r="DT847" s="21"/>
      <c r="DU847" s="21"/>
    </row>
    <row r="848" spans="72:125" ht="13.5" customHeight="1">
      <c r="BT848" s="12">
        <v>5102075</v>
      </c>
      <c r="BU848" s="3">
        <f>[1]monsters!$N848</f>
        <v>62.4</v>
      </c>
      <c r="BV848" s="3">
        <f>[1]monsters!$O848</f>
        <v>6.24</v>
      </c>
      <c r="BW848" s="3">
        <f>[1]monsters!$P848</f>
        <v>213.33400000000003</v>
      </c>
      <c r="BX848" s="3">
        <f>[1]monsters!$Q848</f>
        <v>106.67</v>
      </c>
      <c r="BY848" s="3">
        <f>[1]monsters!$R848</f>
        <v>12.48</v>
      </c>
      <c r="BZ848" s="3">
        <f>[1]monsters!$S848</f>
        <v>1.25</v>
      </c>
      <c r="CA848" s="3">
        <f>[1]monsters!$K848</f>
        <v>1.3</v>
      </c>
      <c r="CB848" s="12">
        <f>[1]monsters!$D848</f>
        <v>2</v>
      </c>
      <c r="CC848" s="12">
        <f t="shared" ca="1" si="67"/>
        <v>0.1</v>
      </c>
      <c r="CD848" s="12">
        <f t="shared" ca="1" si="68"/>
        <v>102.65644444444401</v>
      </c>
      <c r="CE848" s="12">
        <f t="shared" ca="1" si="69"/>
        <v>10.265644444444399</v>
      </c>
      <c r="CS848" s="33"/>
      <c r="CT848" s="33"/>
      <c r="CU848" s="33"/>
      <c r="CV848" s="32"/>
      <c r="CW848" s="32"/>
      <c r="CX848" s="32"/>
      <c r="CY848" s="34"/>
      <c r="CZ848" s="34"/>
      <c r="DA848" s="34"/>
      <c r="DB848" s="33"/>
      <c r="DC848" s="33"/>
      <c r="DD848" s="33"/>
      <c r="DE848" s="33"/>
      <c r="DF848" s="33"/>
      <c r="DG848" s="33"/>
      <c r="DH848" s="34"/>
      <c r="DI848" s="34"/>
      <c r="DJ848" s="34"/>
      <c r="DK848" s="33"/>
      <c r="DL848" s="33"/>
      <c r="DM848" s="33"/>
      <c r="DN848" s="12">
        <v>5102075</v>
      </c>
      <c r="DS848" s="21"/>
      <c r="DT848" s="21"/>
      <c r="DU848" s="21"/>
    </row>
    <row r="849" spans="72:125" ht="13.5" customHeight="1">
      <c r="BT849" s="12">
        <v>5206081</v>
      </c>
      <c r="BU849" s="3">
        <f>[1]monsters!$N849</f>
        <v>83.2</v>
      </c>
      <c r="BV849" s="3">
        <f>[1]monsters!$O849</f>
        <v>8.32</v>
      </c>
      <c r="BW849" s="3">
        <f>[1]monsters!$P849</f>
        <v>160</v>
      </c>
      <c r="BX849" s="3">
        <f>[1]monsters!$Q849</f>
        <v>80</v>
      </c>
      <c r="BY849" s="3">
        <f>[1]monsters!$R849</f>
        <v>8.32</v>
      </c>
      <c r="BZ849" s="3">
        <f>[1]monsters!$S849</f>
        <v>0.83</v>
      </c>
      <c r="CA849" s="3">
        <f>[1]monsters!$K849</f>
        <v>1.3</v>
      </c>
      <c r="CB849" s="12">
        <f>[1]monsters!$D849</f>
        <v>4</v>
      </c>
      <c r="CC849" s="12">
        <f t="shared" ca="1" si="67"/>
        <v>0.1</v>
      </c>
      <c r="CD849" s="12">
        <f t="shared" ca="1" si="68"/>
        <v>122.29566060606101</v>
      </c>
      <c r="CE849" s="12">
        <f t="shared" ca="1" si="69"/>
        <v>12.2295660606061</v>
      </c>
      <c r="CS849" s="33"/>
      <c r="CT849" s="33"/>
      <c r="CU849" s="33"/>
      <c r="CV849" s="32"/>
      <c r="CW849" s="32"/>
      <c r="CX849" s="32"/>
      <c r="CY849" s="34"/>
      <c r="CZ849" s="34"/>
      <c r="DA849" s="34"/>
      <c r="DB849" s="33"/>
      <c r="DC849" s="33"/>
      <c r="DD849" s="33"/>
      <c r="DE849" s="33"/>
      <c r="DF849" s="33"/>
      <c r="DG849" s="33"/>
      <c r="DH849" s="34"/>
      <c r="DI849" s="34"/>
      <c r="DJ849" s="34"/>
      <c r="DK849" s="33"/>
      <c r="DL849" s="33"/>
      <c r="DM849" s="33"/>
      <c r="DN849" s="12">
        <v>5206081</v>
      </c>
      <c r="DS849" s="21"/>
      <c r="DT849" s="21"/>
      <c r="DU849" s="21"/>
    </row>
    <row r="850" spans="72:125" ht="13.5" customHeight="1">
      <c r="BT850" s="12">
        <v>5406081</v>
      </c>
      <c r="BU850" s="3">
        <f>[1]monsters!$N850</f>
        <v>86.4</v>
      </c>
      <c r="BV850" s="3">
        <f>[1]monsters!$O850</f>
        <v>8.64</v>
      </c>
      <c r="BW850" s="3">
        <f>[1]monsters!$P850</f>
        <v>213.33400000000003</v>
      </c>
      <c r="BX850" s="3">
        <f>[1]monsters!$Q850</f>
        <v>106.67</v>
      </c>
      <c r="BY850" s="3">
        <f>[1]monsters!$R850</f>
        <v>17.28</v>
      </c>
      <c r="BZ850" s="3">
        <f>[1]monsters!$S850</f>
        <v>1.73</v>
      </c>
      <c r="CA850" s="3">
        <f>[1]monsters!$K850</f>
        <v>1.8</v>
      </c>
      <c r="CB850" s="12">
        <f>[1]monsters!$D850</f>
        <v>2</v>
      </c>
      <c r="CC850" s="12">
        <f t="shared" ca="1" si="67"/>
        <v>0.1</v>
      </c>
      <c r="CD850" s="12">
        <f t="shared" ca="1" si="68"/>
        <v>113.931534986226</v>
      </c>
      <c r="CE850" s="12">
        <f t="shared" ca="1" si="69"/>
        <v>11.393153498622601</v>
      </c>
      <c r="CS850" s="33"/>
      <c r="CT850" s="33"/>
      <c r="CU850" s="33"/>
      <c r="CV850" s="32"/>
      <c r="CW850" s="32"/>
      <c r="CX850" s="32"/>
      <c r="CY850" s="34"/>
      <c r="CZ850" s="34"/>
      <c r="DA850" s="34"/>
      <c r="DB850" s="33"/>
      <c r="DC850" s="33"/>
      <c r="DD850" s="33"/>
      <c r="DE850" s="33"/>
      <c r="DF850" s="33"/>
      <c r="DG850" s="33"/>
      <c r="DH850" s="34"/>
      <c r="DI850" s="34"/>
      <c r="DJ850" s="34"/>
      <c r="DK850" s="33"/>
      <c r="DL850" s="33"/>
      <c r="DM850" s="33"/>
      <c r="DN850" s="12">
        <v>5406081</v>
      </c>
      <c r="DS850" s="21"/>
      <c r="DT850" s="21"/>
      <c r="DU850" s="21"/>
    </row>
    <row r="851" spans="72:125" ht="13.5" customHeight="1">
      <c r="BT851" s="12">
        <v>5205081</v>
      </c>
      <c r="BU851" s="3">
        <f>[1]monsters!$N851</f>
        <v>100</v>
      </c>
      <c r="BV851" s="3">
        <f>[1]monsters!$O851</f>
        <v>10</v>
      </c>
      <c r="BW851" s="3">
        <f>[1]monsters!$P851</f>
        <v>153.60000000000002</v>
      </c>
      <c r="BX851" s="3">
        <f>[1]monsters!$Q851</f>
        <v>76.8</v>
      </c>
      <c r="BY851" s="3">
        <f>[1]monsters!$R851</f>
        <v>10</v>
      </c>
      <c r="BZ851" s="3">
        <f>[1]monsters!$S851</f>
        <v>1</v>
      </c>
      <c r="CA851" s="3">
        <f>[1]monsters!$K851</f>
        <v>1.5</v>
      </c>
      <c r="CB851" s="12">
        <f>[1]monsters!$D851</f>
        <v>4</v>
      </c>
      <c r="CC851" s="12">
        <f t="shared" ca="1" si="67"/>
        <v>0.1</v>
      </c>
      <c r="CD851" s="12">
        <f t="shared" ca="1" si="68"/>
        <v>133.18206060606099</v>
      </c>
      <c r="CE851" s="12">
        <f t="shared" ca="1" si="69"/>
        <v>13.3182060606061</v>
      </c>
      <c r="CS851" s="33"/>
      <c r="CT851" s="33"/>
      <c r="CU851" s="33"/>
      <c r="CV851" s="32"/>
      <c r="CW851" s="32"/>
      <c r="CX851" s="32"/>
      <c r="CY851" s="34"/>
      <c r="CZ851" s="34"/>
      <c r="DA851" s="34"/>
      <c r="DB851" s="33"/>
      <c r="DC851" s="33"/>
      <c r="DD851" s="33"/>
      <c r="DE851" s="33"/>
      <c r="DF851" s="33"/>
      <c r="DG851" s="33"/>
      <c r="DH851" s="34"/>
      <c r="DI851" s="34"/>
      <c r="DJ851" s="34"/>
      <c r="DK851" s="33"/>
      <c r="DL851" s="33"/>
      <c r="DM851" s="33"/>
      <c r="DN851" s="12">
        <v>5205081</v>
      </c>
      <c r="DS851" s="21"/>
      <c r="DT851" s="21"/>
      <c r="DU851" s="21"/>
    </row>
    <row r="852" spans="72:125" ht="13.5" customHeight="1">
      <c r="BT852" s="12">
        <v>5405081</v>
      </c>
      <c r="BU852" s="3">
        <f>[1]monsters!$N852</f>
        <v>76.27</v>
      </c>
      <c r="BV852" s="3">
        <f>[1]monsters!$O852</f>
        <v>7.63</v>
      </c>
      <c r="BW852" s="3">
        <f>[1]monsters!$P852</f>
        <v>174.54600000000002</v>
      </c>
      <c r="BX852" s="3">
        <f>[1]monsters!$Q852</f>
        <v>87.27</v>
      </c>
      <c r="BY852" s="3">
        <f>[1]monsters!$R852</f>
        <v>9.5299999999999994</v>
      </c>
      <c r="BZ852" s="3">
        <f>[1]monsters!$S852</f>
        <v>0.95</v>
      </c>
      <c r="CA852" s="3">
        <f>[1]monsters!$K852</f>
        <v>1.3</v>
      </c>
      <c r="CB852" s="12">
        <f>[1]monsters!$D852</f>
        <v>3</v>
      </c>
      <c r="CC852" s="12">
        <f t="shared" ca="1" si="67"/>
        <v>0.1</v>
      </c>
      <c r="CD852" s="12">
        <f t="shared" ca="1" si="68"/>
        <v>118.92113498622599</v>
      </c>
      <c r="CE852" s="12">
        <f t="shared" ca="1" si="69"/>
        <v>11.892113498622599</v>
      </c>
      <c r="CS852" s="33"/>
      <c r="CT852" s="33"/>
      <c r="CU852" s="33"/>
      <c r="CV852" s="32"/>
      <c r="CW852" s="32"/>
      <c r="CX852" s="32"/>
      <c r="CY852" s="34"/>
      <c r="CZ852" s="34"/>
      <c r="DA852" s="34"/>
      <c r="DB852" s="33"/>
      <c r="DC852" s="33"/>
      <c r="DD852" s="33"/>
      <c r="DE852" s="33"/>
      <c r="DF852" s="33"/>
      <c r="DG852" s="33"/>
      <c r="DH852" s="34"/>
      <c r="DI852" s="34"/>
      <c r="DJ852" s="34"/>
      <c r="DK852" s="33"/>
      <c r="DL852" s="33"/>
      <c r="DM852" s="33"/>
      <c r="DN852" s="12">
        <v>5405081</v>
      </c>
      <c r="DS852" s="21"/>
      <c r="DT852" s="21"/>
      <c r="DU852" s="21"/>
    </row>
    <row r="853" spans="72:125" ht="13.5" customHeight="1">
      <c r="BT853" s="12">
        <v>5203081</v>
      </c>
      <c r="BU853" s="3">
        <f>[1]monsters!$N853</f>
        <v>105.6</v>
      </c>
      <c r="BV853" s="3">
        <f>[1]monsters!$O853</f>
        <v>10.56</v>
      </c>
      <c r="BW853" s="3">
        <f>[1]monsters!$P853</f>
        <v>174.54600000000002</v>
      </c>
      <c r="BX853" s="3">
        <f>[1]monsters!$Q853</f>
        <v>87.27</v>
      </c>
      <c r="BY853" s="3">
        <f>[1]monsters!$R853</f>
        <v>17.600000000000001</v>
      </c>
      <c r="BZ853" s="3">
        <f>[1]monsters!$S853</f>
        <v>1.76</v>
      </c>
      <c r="CA853" s="3">
        <f>[1]monsters!$K853</f>
        <v>1.8</v>
      </c>
      <c r="CB853" s="12">
        <f>[1]monsters!$D853</f>
        <v>5</v>
      </c>
      <c r="CC853" s="12">
        <f t="shared" ca="1" si="67"/>
        <v>0.1</v>
      </c>
      <c r="CD853" s="12">
        <f t="shared" ca="1" si="68"/>
        <v>107.780460606061</v>
      </c>
      <c r="CE853" s="12">
        <f t="shared" ca="1" si="69"/>
        <v>10.778046060606099</v>
      </c>
      <c r="CS853" s="33"/>
      <c r="CT853" s="33"/>
      <c r="CU853" s="33"/>
      <c r="CV853" s="32"/>
      <c r="CW853" s="32"/>
      <c r="CX853" s="32"/>
      <c r="CY853" s="34"/>
      <c r="CZ853" s="34"/>
      <c r="DA853" s="34"/>
      <c r="DB853" s="33"/>
      <c r="DC853" s="33"/>
      <c r="DD853" s="33"/>
      <c r="DE853" s="33"/>
      <c r="DF853" s="33"/>
      <c r="DG853" s="33"/>
      <c r="DH853" s="34"/>
      <c r="DI853" s="34"/>
      <c r="DJ853" s="34"/>
      <c r="DK853" s="33"/>
      <c r="DL853" s="33"/>
      <c r="DM853" s="33"/>
      <c r="DN853" s="12">
        <v>5203081</v>
      </c>
      <c r="DS853" s="21"/>
      <c r="DT853" s="21"/>
      <c r="DU853" s="21"/>
    </row>
    <row r="854" spans="72:125" ht="13.5" customHeight="1">
      <c r="BT854" s="12">
        <v>5403081</v>
      </c>
      <c r="BU854" s="3">
        <f>[1]monsters!$N854</f>
        <v>76.8</v>
      </c>
      <c r="BV854" s="3">
        <f>[1]monsters!$O854</f>
        <v>7.68</v>
      </c>
      <c r="BW854" s="3">
        <f>[1]monsters!$P854</f>
        <v>213.33400000000003</v>
      </c>
      <c r="BX854" s="3">
        <f>[1]monsters!$Q854</f>
        <v>106.67</v>
      </c>
      <c r="BY854" s="3">
        <f>[1]monsters!$R854</f>
        <v>15.36</v>
      </c>
      <c r="BZ854" s="3">
        <f>[1]monsters!$S854</f>
        <v>1.54</v>
      </c>
      <c r="CA854" s="3">
        <f>[1]monsters!$K854</f>
        <v>1.6</v>
      </c>
      <c r="CB854" s="12">
        <f>[1]monsters!$D854</f>
        <v>2</v>
      </c>
      <c r="CC854" s="12">
        <f t="shared" ca="1" si="67"/>
        <v>0.1</v>
      </c>
      <c r="CD854" s="12">
        <f t="shared" ca="1" si="68"/>
        <v>98.962734986225897</v>
      </c>
      <c r="CE854" s="12">
        <f t="shared" ca="1" si="69"/>
        <v>9.8962734986225893</v>
      </c>
      <c r="CS854" s="33"/>
      <c r="CT854" s="33"/>
      <c r="CU854" s="33"/>
      <c r="CV854" s="32"/>
      <c r="CW854" s="32"/>
      <c r="CX854" s="32"/>
      <c r="CY854" s="34"/>
      <c r="CZ854" s="34"/>
      <c r="DA854" s="34"/>
      <c r="DB854" s="33"/>
      <c r="DC854" s="33"/>
      <c r="DD854" s="33"/>
      <c r="DE854" s="33"/>
      <c r="DF854" s="33"/>
      <c r="DG854" s="33"/>
      <c r="DH854" s="34"/>
      <c r="DI854" s="34"/>
      <c r="DJ854" s="34"/>
      <c r="DK854" s="33"/>
      <c r="DL854" s="33"/>
      <c r="DM854" s="33"/>
      <c r="DN854" s="12">
        <v>5403081</v>
      </c>
      <c r="DS854" s="21"/>
      <c r="DT854" s="21"/>
      <c r="DU854" s="21"/>
    </row>
    <row r="855" spans="72:125" ht="13.5" customHeight="1">
      <c r="BT855" s="12">
        <v>5204081</v>
      </c>
      <c r="BU855" s="3">
        <f>[1]monsters!$N855</f>
        <v>97.07</v>
      </c>
      <c r="BV855" s="3">
        <f>[1]monsters!$O855</f>
        <v>9.7100000000000009</v>
      </c>
      <c r="BW855" s="3">
        <f>[1]monsters!$P855</f>
        <v>147.69200000000001</v>
      </c>
      <c r="BX855" s="3">
        <f>[1]monsters!$Q855</f>
        <v>73.849999999999994</v>
      </c>
      <c r="BY855" s="3">
        <f>[1]monsters!$R855</f>
        <v>9.7100000000000009</v>
      </c>
      <c r="BZ855" s="3">
        <f>[1]monsters!$S855</f>
        <v>0.97</v>
      </c>
      <c r="CA855" s="3">
        <f>[1]monsters!$K855</f>
        <v>1.4000000000000001</v>
      </c>
      <c r="CB855" s="12">
        <f>[1]monsters!$D855</f>
        <v>4</v>
      </c>
      <c r="CC855" s="12">
        <f t="shared" ca="1" si="67"/>
        <v>0.1</v>
      </c>
      <c r="CD855" s="12">
        <f t="shared" ca="1" si="68"/>
        <v>111.409260606061</v>
      </c>
      <c r="CE855" s="12">
        <f t="shared" ca="1" si="69"/>
        <v>11.1409260606061</v>
      </c>
      <c r="CS855" s="33"/>
      <c r="CT855" s="33"/>
      <c r="CU855" s="33"/>
      <c r="CV855" s="32"/>
      <c r="CW855" s="32"/>
      <c r="CX855" s="32"/>
      <c r="CY855" s="34"/>
      <c r="CZ855" s="34"/>
      <c r="DA855" s="34"/>
      <c r="DB855" s="33"/>
      <c r="DC855" s="33"/>
      <c r="DD855" s="33"/>
      <c r="DE855" s="33"/>
      <c r="DF855" s="33"/>
      <c r="DG855" s="33"/>
      <c r="DH855" s="34"/>
      <c r="DI855" s="34"/>
      <c r="DJ855" s="34"/>
      <c r="DK855" s="33"/>
      <c r="DL855" s="33"/>
      <c r="DM855" s="33"/>
      <c r="DN855" s="12">
        <v>5204081</v>
      </c>
      <c r="DS855" s="21"/>
      <c r="DT855" s="21"/>
      <c r="DU855" s="21"/>
    </row>
    <row r="856" spans="72:125" ht="13.5" customHeight="1">
      <c r="BT856" s="12">
        <v>5404081</v>
      </c>
      <c r="BU856" s="3">
        <f>[1]monsters!$N856</f>
        <v>67.2</v>
      </c>
      <c r="BV856" s="3">
        <f>[1]monsters!$O856</f>
        <v>6.72</v>
      </c>
      <c r="BW856" s="3">
        <f>[1]monsters!$P856</f>
        <v>213.33400000000003</v>
      </c>
      <c r="BX856" s="3">
        <f>[1]monsters!$Q856</f>
        <v>106.67</v>
      </c>
      <c r="BY856" s="3">
        <f>[1]monsters!$R856</f>
        <v>13.44</v>
      </c>
      <c r="BZ856" s="3">
        <f>[1]monsters!$S856</f>
        <v>1.34</v>
      </c>
      <c r="CA856" s="3">
        <f>[1]monsters!$K856</f>
        <v>1.4000000000000001</v>
      </c>
      <c r="CB856" s="12">
        <f>[1]monsters!$D856</f>
        <v>2</v>
      </c>
      <c r="CC856" s="12">
        <f t="shared" ca="1" si="67"/>
        <v>0.1</v>
      </c>
      <c r="CD856" s="12">
        <f t="shared" ca="1" si="68"/>
        <v>118.92113498622599</v>
      </c>
      <c r="CE856" s="12">
        <f t="shared" ca="1" si="69"/>
        <v>11.892113498622599</v>
      </c>
      <c r="CS856" s="33"/>
      <c r="CT856" s="33"/>
      <c r="CU856" s="33"/>
      <c r="CV856" s="32"/>
      <c r="CW856" s="32"/>
      <c r="CX856" s="32"/>
      <c r="CY856" s="34"/>
      <c r="CZ856" s="34"/>
      <c r="DA856" s="34"/>
      <c r="DB856" s="33"/>
      <c r="DC856" s="33"/>
      <c r="DD856" s="33"/>
      <c r="DE856" s="33"/>
      <c r="DF856" s="33"/>
      <c r="DG856" s="33"/>
      <c r="DH856" s="34"/>
      <c r="DI856" s="34"/>
      <c r="DJ856" s="34"/>
      <c r="DK856" s="33"/>
      <c r="DL856" s="33"/>
      <c r="DM856" s="33"/>
      <c r="DN856" s="12">
        <v>5404081</v>
      </c>
      <c r="DS856" s="21"/>
      <c r="DT856" s="21"/>
      <c r="DU856" s="21"/>
    </row>
    <row r="857" spans="72:125" ht="13.5" customHeight="1">
      <c r="BT857" s="12">
        <v>5303081</v>
      </c>
      <c r="BU857" s="3">
        <f>[1]monsters!$N857</f>
        <v>110.93</v>
      </c>
      <c r="BV857" s="3">
        <f>[1]monsters!$O857</f>
        <v>11.09</v>
      </c>
      <c r="BW857" s="3">
        <f>[1]monsters!$P857</f>
        <v>147.69200000000001</v>
      </c>
      <c r="BX857" s="3">
        <f>[1]monsters!$Q857</f>
        <v>73.849999999999994</v>
      </c>
      <c r="BY857" s="3">
        <f>[1]monsters!$R857</f>
        <v>11.09</v>
      </c>
      <c r="BZ857" s="3">
        <f>[1]monsters!$S857</f>
        <v>1.1100000000000001</v>
      </c>
      <c r="CA857" s="3">
        <f>[1]monsters!$K857</f>
        <v>1.6</v>
      </c>
      <c r="CB857" s="12">
        <f>[1]monsters!$D857</f>
        <v>4</v>
      </c>
      <c r="CC857" s="12">
        <f t="shared" ca="1" si="67"/>
        <v>0.1</v>
      </c>
      <c r="CD857" s="12">
        <f t="shared" ca="1" si="68"/>
        <v>106.943253872054</v>
      </c>
      <c r="CE857" s="12">
        <f t="shared" ca="1" si="69"/>
        <v>10.694325387205399</v>
      </c>
      <c r="CS857" s="33"/>
      <c r="CT857" s="33"/>
      <c r="CU857" s="33"/>
      <c r="CV857" s="32"/>
      <c r="CW857" s="32"/>
      <c r="CX857" s="32"/>
      <c r="CY857" s="34"/>
      <c r="CZ857" s="34"/>
      <c r="DA857" s="34"/>
      <c r="DB857" s="33"/>
      <c r="DC857" s="33"/>
      <c r="DD857" s="33"/>
      <c r="DE857" s="33"/>
      <c r="DF857" s="33"/>
      <c r="DG857" s="33"/>
      <c r="DH857" s="34"/>
      <c r="DI857" s="34"/>
      <c r="DJ857" s="34"/>
      <c r="DK857" s="33"/>
      <c r="DL857" s="33"/>
      <c r="DM857" s="33"/>
      <c r="DN857" s="12">
        <v>5303081</v>
      </c>
      <c r="DS857" s="21"/>
      <c r="DT857" s="21"/>
      <c r="DU857" s="21"/>
    </row>
    <row r="858" spans="72:125" ht="13.5" customHeight="1">
      <c r="BT858" s="12">
        <v>5304081</v>
      </c>
      <c r="BU858" s="3">
        <f>[1]monsters!$N858</f>
        <v>102.4</v>
      </c>
      <c r="BV858" s="3">
        <f>[1]monsters!$O858</f>
        <v>10.24</v>
      </c>
      <c r="BW858" s="3">
        <f>[1]monsters!$P858</f>
        <v>160</v>
      </c>
      <c r="BX858" s="3">
        <f>[1]monsters!$Q858</f>
        <v>80</v>
      </c>
      <c r="BY858" s="3">
        <f>[1]monsters!$R858</f>
        <v>17.07</v>
      </c>
      <c r="BZ858" s="3">
        <f>[1]monsters!$S858</f>
        <v>1.71</v>
      </c>
      <c r="CA858" s="3">
        <f>[1]monsters!$K858</f>
        <v>1.6</v>
      </c>
      <c r="CB858" s="12">
        <f>[1]monsters!$D858</f>
        <v>5</v>
      </c>
      <c r="CC858" s="12">
        <f t="shared" ca="1" si="67"/>
        <v>0.1</v>
      </c>
      <c r="CD858" s="12">
        <f t="shared" ca="1" si="68"/>
        <v>111.02565387205399</v>
      </c>
      <c r="CE858" s="12">
        <f t="shared" ca="1" si="69"/>
        <v>11.1025653872054</v>
      </c>
      <c r="CS858" s="33"/>
      <c r="CT858" s="33"/>
      <c r="CU858" s="33"/>
      <c r="CV858" s="32"/>
      <c r="CW858" s="32"/>
      <c r="CX858" s="32"/>
      <c r="CY858" s="34"/>
      <c r="CZ858" s="34"/>
      <c r="DA858" s="34"/>
      <c r="DB858" s="33"/>
      <c r="DC858" s="33"/>
      <c r="DD858" s="33"/>
      <c r="DE858" s="33"/>
      <c r="DF858" s="33"/>
      <c r="DG858" s="33"/>
      <c r="DH858" s="34"/>
      <c r="DI858" s="34"/>
      <c r="DJ858" s="34"/>
      <c r="DK858" s="33"/>
      <c r="DL858" s="33"/>
      <c r="DM858" s="33"/>
      <c r="DN858" s="12">
        <v>5304081</v>
      </c>
      <c r="DS858" s="21"/>
      <c r="DT858" s="21"/>
      <c r="DU858" s="21"/>
    </row>
    <row r="859" spans="72:125" ht="13.5" customHeight="1">
      <c r="BT859" s="12">
        <v>5503081</v>
      </c>
      <c r="BU859" s="3">
        <f>[1]monsters!$N859</f>
        <v>85.87</v>
      </c>
      <c r="BV859" s="3">
        <f>[1]monsters!$O859</f>
        <v>8.59</v>
      </c>
      <c r="BW859" s="3">
        <f>[1]monsters!$P859</f>
        <v>166.95600000000002</v>
      </c>
      <c r="BX859" s="3">
        <f>[1]monsters!$Q859</f>
        <v>83.48</v>
      </c>
      <c r="BY859" s="3">
        <f>[1]monsters!$R859</f>
        <v>10.73</v>
      </c>
      <c r="BZ859" s="3">
        <f>[1]monsters!$S859</f>
        <v>1.07</v>
      </c>
      <c r="CA859" s="3">
        <f>[1]monsters!$K859</f>
        <v>1.4000000000000001</v>
      </c>
      <c r="CB859" s="12">
        <f>[1]monsters!$D859</f>
        <v>3</v>
      </c>
      <c r="CC859" s="12">
        <f t="shared" ca="1" si="67"/>
        <v>0.1</v>
      </c>
      <c r="CD859" s="12">
        <f t="shared" ca="1" si="68"/>
        <v>127.49524040404</v>
      </c>
      <c r="CE859" s="12">
        <f t="shared" ca="1" si="69"/>
        <v>12.749524040403999</v>
      </c>
      <c r="CS859" s="33"/>
      <c r="CT859" s="33"/>
      <c r="CU859" s="33"/>
      <c r="CV859" s="32"/>
      <c r="CW859" s="32"/>
      <c r="CX859" s="32"/>
      <c r="CY859" s="34"/>
      <c r="CZ859" s="34"/>
      <c r="DA859" s="34"/>
      <c r="DB859" s="33"/>
      <c r="DC859" s="33"/>
      <c r="DD859" s="33"/>
      <c r="DE859" s="33"/>
      <c r="DF859" s="33"/>
      <c r="DG859" s="33"/>
      <c r="DH859" s="34"/>
      <c r="DI859" s="34"/>
      <c r="DJ859" s="34"/>
      <c r="DK859" s="33"/>
      <c r="DL859" s="33"/>
      <c r="DM859" s="33"/>
      <c r="DN859" s="12">
        <v>5503081</v>
      </c>
      <c r="DS859" s="21"/>
      <c r="DT859" s="21"/>
      <c r="DU859" s="21"/>
    </row>
    <row r="860" spans="72:125" ht="13.5" customHeight="1">
      <c r="BT860" s="12">
        <v>5504081</v>
      </c>
      <c r="BU860" s="3">
        <f>[1]monsters!$N860</f>
        <v>299</v>
      </c>
      <c r="BV860" s="3">
        <f>[1]monsters!$O860</f>
        <v>1</v>
      </c>
      <c r="BW860" s="3">
        <f>[1]monsters!$P860</f>
        <v>799</v>
      </c>
      <c r="BX860" s="3">
        <f>[1]monsters!$Q860</f>
        <v>1</v>
      </c>
      <c r="BY860" s="3">
        <f>[1]monsters!$R860</f>
        <v>1</v>
      </c>
      <c r="BZ860" s="3">
        <f>[1]monsters!$S860</f>
        <v>1</v>
      </c>
      <c r="CA860" s="3">
        <f>[1]monsters!$K860</f>
        <v>1.6</v>
      </c>
      <c r="CB860" s="12">
        <f>[1]monsters!$D860</f>
        <v>2</v>
      </c>
      <c r="CC860" s="12">
        <f t="shared" ca="1" si="67"/>
        <v>0.1</v>
      </c>
      <c r="CD860" s="12">
        <f t="shared" ca="1" si="68"/>
        <v>138.38164040404001</v>
      </c>
      <c r="CE860" s="12">
        <f t="shared" ca="1" si="69"/>
        <v>13.838164040403999</v>
      </c>
      <c r="CS860" s="33"/>
      <c r="CT860" s="33"/>
      <c r="CU860" s="33"/>
      <c r="CV860" s="32"/>
      <c r="CW860" s="32"/>
      <c r="CX860" s="32"/>
      <c r="CY860" s="34"/>
      <c r="CZ860" s="34"/>
      <c r="DA860" s="34"/>
      <c r="DB860" s="33"/>
      <c r="DC860" s="33"/>
      <c r="DD860" s="33"/>
      <c r="DE860" s="33"/>
      <c r="DF860" s="33"/>
      <c r="DG860" s="33"/>
      <c r="DH860" s="34"/>
      <c r="DI860" s="34"/>
      <c r="DJ860" s="34"/>
      <c r="DK860" s="33"/>
      <c r="DL860" s="33"/>
      <c r="DM860" s="33"/>
      <c r="DN860" s="12">
        <v>5504081</v>
      </c>
      <c r="DS860" s="21"/>
      <c r="DT860" s="21"/>
      <c r="DU860" s="21"/>
    </row>
    <row r="861" spans="72:125" ht="13.5" customHeight="1">
      <c r="BT861" s="12">
        <v>5101081</v>
      </c>
      <c r="BU861" s="3">
        <f>[1]monsters!$N861</f>
        <v>200</v>
      </c>
      <c r="BV861" s="3">
        <f>[1]monsters!$O861</f>
        <v>1</v>
      </c>
      <c r="BW861" s="3">
        <f>[1]monsters!$P861</f>
        <v>1000</v>
      </c>
      <c r="BX861" s="3">
        <f>[1]monsters!$Q861</f>
        <v>1</v>
      </c>
      <c r="BY861" s="3">
        <f>[1]monsters!$R861</f>
        <v>1</v>
      </c>
      <c r="BZ861" s="3">
        <f>[1]monsters!$S861</f>
        <v>1</v>
      </c>
      <c r="CA861" s="3">
        <f>[1]monsters!$K861</f>
        <v>1.4000000000000001</v>
      </c>
      <c r="CB861" s="12">
        <f>[1]monsters!$D861</f>
        <v>3</v>
      </c>
      <c r="CC861" s="12">
        <f t="shared" ca="1" si="67"/>
        <v>0.1</v>
      </c>
      <c r="CD861" s="12">
        <f t="shared" ca="1" si="68"/>
        <v>121.06084848484799</v>
      </c>
      <c r="CE861" s="12">
        <f t="shared" ca="1" si="69"/>
        <v>12.1060848484848</v>
      </c>
      <c r="CS861" s="33"/>
      <c r="CT861" s="33"/>
      <c r="CU861" s="33"/>
      <c r="CV861" s="32"/>
      <c r="CW861" s="32"/>
      <c r="CX861" s="32"/>
      <c r="CY861" s="34"/>
      <c r="CZ861" s="34"/>
      <c r="DA861" s="34"/>
      <c r="DB861" s="33"/>
      <c r="DC861" s="33"/>
      <c r="DD861" s="33"/>
      <c r="DE861" s="33"/>
      <c r="DF861" s="33"/>
      <c r="DG861" s="33"/>
      <c r="DH861" s="34"/>
      <c r="DI861" s="34"/>
      <c r="DJ861" s="34"/>
      <c r="DK861" s="33"/>
      <c r="DL861" s="33"/>
      <c r="DM861" s="33"/>
      <c r="DN861" s="12">
        <v>5101081</v>
      </c>
      <c r="DS861" s="21"/>
      <c r="DT861" s="21"/>
      <c r="DU861" s="21"/>
    </row>
    <row r="862" spans="72:125" ht="13.5" customHeight="1">
      <c r="BT862" s="12">
        <v>5102081</v>
      </c>
      <c r="BU862" s="3">
        <f>[1]monsters!$N862</f>
        <v>200</v>
      </c>
      <c r="BV862" s="3">
        <f>[1]monsters!$O862</f>
        <v>1</v>
      </c>
      <c r="BW862" s="3">
        <f>[1]monsters!$P862</f>
        <v>1000</v>
      </c>
      <c r="BX862" s="3">
        <f>[1]monsters!$Q862</f>
        <v>1</v>
      </c>
      <c r="BY862" s="3">
        <f>[1]monsters!$R862</f>
        <v>1</v>
      </c>
      <c r="BZ862" s="3">
        <f>[1]monsters!$S862</f>
        <v>1</v>
      </c>
      <c r="CA862" s="3">
        <f>[1]monsters!$K862</f>
        <v>1.8</v>
      </c>
      <c r="CB862" s="12">
        <f>[1]monsters!$D862</f>
        <v>2</v>
      </c>
      <c r="CC862" s="12">
        <f t="shared" ca="1" si="67"/>
        <v>0.1</v>
      </c>
      <c r="CD862" s="12">
        <f t="shared" ca="1" si="68"/>
        <v>111.98884848484801</v>
      </c>
      <c r="CE862" s="12">
        <f t="shared" ca="1" si="69"/>
        <v>11.1988848484848</v>
      </c>
      <c r="CS862" s="33"/>
      <c r="CT862" s="33"/>
      <c r="CU862" s="33"/>
      <c r="CV862" s="32"/>
      <c r="CW862" s="32"/>
      <c r="CX862" s="32"/>
      <c r="CY862" s="34"/>
      <c r="CZ862" s="34"/>
      <c r="DA862" s="34"/>
      <c r="DB862" s="33"/>
      <c r="DC862" s="33"/>
      <c r="DD862" s="33"/>
      <c r="DE862" s="33"/>
      <c r="DF862" s="33"/>
      <c r="DG862" s="33"/>
      <c r="DH862" s="34"/>
      <c r="DI862" s="34"/>
      <c r="DJ862" s="34"/>
      <c r="DK862" s="33"/>
      <c r="DL862" s="33"/>
      <c r="DM862" s="33"/>
      <c r="DN862" s="12">
        <v>5102081</v>
      </c>
      <c r="DS862" s="21"/>
      <c r="DT862" s="21"/>
      <c r="DU862" s="21"/>
    </row>
    <row r="863" spans="72:125" ht="13.5" customHeight="1">
      <c r="BT863" s="12">
        <v>5206082</v>
      </c>
      <c r="BU863" s="3">
        <f>[1]monsters!$N863</f>
        <v>0</v>
      </c>
      <c r="BV863" s="3">
        <f>[1]monsters!$O863</f>
        <v>0</v>
      </c>
      <c r="BW863" s="3">
        <f>[1]monsters!$P863</f>
        <v>0</v>
      </c>
      <c r="BX863" s="3">
        <f>[1]monsters!$Q863</f>
        <v>0</v>
      </c>
      <c r="BY863" s="3">
        <f>[1]monsters!$R863</f>
        <v>0</v>
      </c>
      <c r="BZ863" s="3">
        <f>[1]monsters!$S863</f>
        <v>0</v>
      </c>
      <c r="CA863" s="3">
        <f>[1]monsters!$K863</f>
        <v>0</v>
      </c>
      <c r="CB863" s="12">
        <f>[1]monsters!$D863</f>
        <v>0</v>
      </c>
      <c r="CC863" s="12">
        <f t="shared" ca="1" si="67"/>
        <v>0.1</v>
      </c>
      <c r="CD863" s="12">
        <f t="shared" ca="1" si="68"/>
        <v>122.29566060606101</v>
      </c>
      <c r="CE863" s="12">
        <f t="shared" ca="1" si="69"/>
        <v>12.2295660606061</v>
      </c>
      <c r="CS863" s="33"/>
      <c r="CT863" s="33"/>
      <c r="CU863" s="33"/>
      <c r="CV863" s="32"/>
      <c r="CW863" s="32"/>
      <c r="CX863" s="32"/>
      <c r="CY863" s="34"/>
      <c r="CZ863" s="34"/>
      <c r="DA863" s="34"/>
      <c r="DB863" s="33"/>
      <c r="DC863" s="33"/>
      <c r="DD863" s="33"/>
      <c r="DE863" s="33"/>
      <c r="DF863" s="33"/>
      <c r="DG863" s="33"/>
      <c r="DH863" s="34"/>
      <c r="DI863" s="34"/>
      <c r="DJ863" s="34"/>
      <c r="DK863" s="33"/>
      <c r="DL863" s="33"/>
      <c r="DM863" s="33"/>
      <c r="DN863" s="12">
        <v>5206082</v>
      </c>
      <c r="DS863" s="21"/>
      <c r="DT863" s="21"/>
      <c r="DU863" s="21"/>
    </row>
    <row r="864" spans="72:125" ht="13.5" customHeight="1">
      <c r="BT864" s="12">
        <v>5406082</v>
      </c>
      <c r="BU864" s="3">
        <f>[1]monsters!$N864</f>
        <v>0</v>
      </c>
      <c r="BV864" s="3">
        <f>[1]monsters!$O864</f>
        <v>0</v>
      </c>
      <c r="BW864" s="3">
        <f>[1]monsters!$P864</f>
        <v>0</v>
      </c>
      <c r="BX864" s="3">
        <f>[1]monsters!$Q864</f>
        <v>0</v>
      </c>
      <c r="BY864" s="3">
        <f>[1]monsters!$R864</f>
        <v>0</v>
      </c>
      <c r="BZ864" s="3">
        <f>[1]monsters!$S864</f>
        <v>0</v>
      </c>
      <c r="CA864" s="3">
        <f>[1]monsters!$K864</f>
        <v>0</v>
      </c>
      <c r="CB864" s="12">
        <f>[1]monsters!$D864</f>
        <v>0</v>
      </c>
      <c r="CC864" s="12">
        <f t="shared" ca="1" si="67"/>
        <v>0.1</v>
      </c>
      <c r="CD864" s="12">
        <f t="shared" ca="1" si="68"/>
        <v>113.931534986226</v>
      </c>
      <c r="CE864" s="12">
        <f t="shared" ca="1" si="69"/>
        <v>11.393153498622601</v>
      </c>
      <c r="CS864" s="33"/>
      <c r="CT864" s="33"/>
      <c r="CU864" s="33"/>
      <c r="CV864" s="32"/>
      <c r="CW864" s="32"/>
      <c r="CX864" s="32"/>
      <c r="CY864" s="34"/>
      <c r="CZ864" s="34"/>
      <c r="DA864" s="34"/>
      <c r="DB864" s="33"/>
      <c r="DC864" s="33"/>
      <c r="DD864" s="33"/>
      <c r="DE864" s="33"/>
      <c r="DF864" s="33"/>
      <c r="DG864" s="33"/>
      <c r="DH864" s="34"/>
      <c r="DI864" s="34"/>
      <c r="DJ864" s="34"/>
      <c r="DK864" s="33"/>
      <c r="DL864" s="33"/>
      <c r="DM864" s="33"/>
      <c r="DN864" s="12">
        <v>5406082</v>
      </c>
      <c r="DS864" s="21"/>
      <c r="DT864" s="21"/>
      <c r="DU864" s="21"/>
    </row>
    <row r="865" spans="72:125" ht="13.5" customHeight="1">
      <c r="BT865" s="12">
        <v>5205082</v>
      </c>
      <c r="BU865" s="3">
        <f>[1]monsters!$N865</f>
        <v>0</v>
      </c>
      <c r="BV865" s="3">
        <f>[1]monsters!$O865</f>
        <v>0</v>
      </c>
      <c r="BW865" s="3">
        <f>[1]monsters!$P865</f>
        <v>0</v>
      </c>
      <c r="BX865" s="3">
        <f>[1]monsters!$Q865</f>
        <v>0</v>
      </c>
      <c r="BY865" s="3">
        <f>[1]monsters!$R865</f>
        <v>0</v>
      </c>
      <c r="BZ865" s="3">
        <f>[1]monsters!$S865</f>
        <v>0</v>
      </c>
      <c r="CA865" s="3">
        <f>[1]monsters!$K865</f>
        <v>0</v>
      </c>
      <c r="CB865" s="12">
        <f>[1]monsters!$D865</f>
        <v>0</v>
      </c>
      <c r="CC865" s="12">
        <f t="shared" ca="1" si="67"/>
        <v>0.1</v>
      </c>
      <c r="CD865" s="12">
        <f t="shared" ca="1" si="68"/>
        <v>133.18206060606099</v>
      </c>
      <c r="CE865" s="12">
        <f t="shared" ca="1" si="69"/>
        <v>13.3182060606061</v>
      </c>
      <c r="CS865" s="33"/>
      <c r="CT865" s="33"/>
      <c r="CU865" s="33"/>
      <c r="CV865" s="32"/>
      <c r="CW865" s="32"/>
      <c r="CX865" s="32"/>
      <c r="CY865" s="34"/>
      <c r="CZ865" s="34"/>
      <c r="DA865" s="34"/>
      <c r="DB865" s="33"/>
      <c r="DC865" s="33"/>
      <c r="DD865" s="33"/>
      <c r="DE865" s="33"/>
      <c r="DF865" s="33"/>
      <c r="DG865" s="33"/>
      <c r="DH865" s="34"/>
      <c r="DI865" s="34"/>
      <c r="DJ865" s="34"/>
      <c r="DK865" s="33"/>
      <c r="DL865" s="33"/>
      <c r="DM865" s="33"/>
      <c r="DN865" s="12">
        <v>5205082</v>
      </c>
      <c r="DS865" s="21"/>
      <c r="DT865" s="21"/>
      <c r="DU865" s="21"/>
    </row>
    <row r="866" spans="72:125" ht="13.5" customHeight="1">
      <c r="BT866" s="12">
        <v>5405082</v>
      </c>
      <c r="BU866" s="3">
        <f>[1]monsters!$N866</f>
        <v>0</v>
      </c>
      <c r="BV866" s="3">
        <f>[1]monsters!$O866</f>
        <v>0</v>
      </c>
      <c r="BW866" s="3">
        <f>[1]monsters!$P866</f>
        <v>0</v>
      </c>
      <c r="BX866" s="3">
        <f>[1]monsters!$Q866</f>
        <v>0</v>
      </c>
      <c r="BY866" s="3">
        <f>[1]monsters!$R866</f>
        <v>0</v>
      </c>
      <c r="BZ866" s="3">
        <f>[1]monsters!$S866</f>
        <v>0</v>
      </c>
      <c r="CA866" s="3">
        <f>[1]monsters!$K866</f>
        <v>0</v>
      </c>
      <c r="CB866" s="12">
        <f>[1]monsters!$D866</f>
        <v>0</v>
      </c>
      <c r="CC866" s="12">
        <f t="shared" ca="1" si="67"/>
        <v>0.1</v>
      </c>
      <c r="CD866" s="12">
        <f t="shared" ca="1" si="68"/>
        <v>118.92113498622599</v>
      </c>
      <c r="CE866" s="12">
        <f t="shared" ca="1" si="69"/>
        <v>11.892113498622599</v>
      </c>
      <c r="CS866" s="33"/>
      <c r="CT866" s="33"/>
      <c r="CU866" s="33"/>
      <c r="CV866" s="32"/>
      <c r="CW866" s="32"/>
      <c r="CX866" s="32"/>
      <c r="CY866" s="34"/>
      <c r="CZ866" s="34"/>
      <c r="DA866" s="34"/>
      <c r="DB866" s="33"/>
      <c r="DC866" s="33"/>
      <c r="DD866" s="33"/>
      <c r="DE866" s="33"/>
      <c r="DF866" s="33"/>
      <c r="DG866" s="33"/>
      <c r="DH866" s="34"/>
      <c r="DI866" s="34"/>
      <c r="DJ866" s="34"/>
      <c r="DK866" s="33"/>
      <c r="DL866" s="33"/>
      <c r="DM866" s="33"/>
      <c r="DN866" s="12">
        <v>5405082</v>
      </c>
      <c r="DS866" s="21"/>
      <c r="DT866" s="21"/>
      <c r="DU866" s="21"/>
    </row>
    <row r="867" spans="72:125" ht="13.5" customHeight="1">
      <c r="BT867" s="12">
        <v>5203082</v>
      </c>
      <c r="BU867" s="3">
        <f>[1]monsters!$N867</f>
        <v>0</v>
      </c>
      <c r="BV867" s="3">
        <f>[1]monsters!$O867</f>
        <v>0</v>
      </c>
      <c r="BW867" s="3">
        <f>[1]monsters!$P867</f>
        <v>0</v>
      </c>
      <c r="BX867" s="3">
        <f>[1]monsters!$Q867</f>
        <v>0</v>
      </c>
      <c r="BY867" s="3">
        <f>[1]monsters!$R867</f>
        <v>0</v>
      </c>
      <c r="BZ867" s="3">
        <f>[1]monsters!$S867</f>
        <v>0</v>
      </c>
      <c r="CA867" s="3">
        <f>[1]monsters!$K867</f>
        <v>0</v>
      </c>
      <c r="CB867" s="12">
        <f>[1]monsters!$D867</f>
        <v>0</v>
      </c>
      <c r="CC867" s="12">
        <f t="shared" ca="1" si="67"/>
        <v>0.1</v>
      </c>
      <c r="CD867" s="12">
        <f t="shared" ca="1" si="68"/>
        <v>107.780460606061</v>
      </c>
      <c r="CE867" s="12">
        <f t="shared" ca="1" si="69"/>
        <v>10.778046060606099</v>
      </c>
      <c r="CS867" s="33"/>
      <c r="CT867" s="33"/>
      <c r="CU867" s="33"/>
      <c r="CV867" s="32"/>
      <c r="CW867" s="32"/>
      <c r="CX867" s="32"/>
      <c r="CY867" s="34"/>
      <c r="CZ867" s="34"/>
      <c r="DA867" s="34"/>
      <c r="DB867" s="33"/>
      <c r="DC867" s="33"/>
      <c r="DD867" s="33"/>
      <c r="DE867" s="33"/>
      <c r="DF867" s="33"/>
      <c r="DG867" s="33"/>
      <c r="DH867" s="34"/>
      <c r="DI867" s="34"/>
      <c r="DJ867" s="34"/>
      <c r="DK867" s="33"/>
      <c r="DL867" s="33"/>
      <c r="DM867" s="33"/>
      <c r="DN867" s="12">
        <v>5203082</v>
      </c>
      <c r="DS867" s="21"/>
      <c r="DT867" s="21"/>
      <c r="DU867" s="21"/>
    </row>
    <row r="868" spans="72:125" ht="13.5" customHeight="1">
      <c r="BT868" s="12">
        <v>5403082</v>
      </c>
      <c r="BU868" s="3">
        <f>[1]monsters!$N868</f>
        <v>0</v>
      </c>
      <c r="BV868" s="3">
        <f>[1]monsters!$O868</f>
        <v>0</v>
      </c>
      <c r="BW868" s="3">
        <f>[1]monsters!$P868</f>
        <v>0</v>
      </c>
      <c r="BX868" s="3">
        <f>[1]monsters!$Q868</f>
        <v>0</v>
      </c>
      <c r="BY868" s="3">
        <f>[1]monsters!$R868</f>
        <v>0</v>
      </c>
      <c r="BZ868" s="3">
        <f>[1]monsters!$S868</f>
        <v>0</v>
      </c>
      <c r="CA868" s="3">
        <f>[1]monsters!$K868</f>
        <v>0</v>
      </c>
      <c r="CB868" s="12">
        <f>[1]monsters!$D868</f>
        <v>0</v>
      </c>
      <c r="CC868" s="12">
        <f t="shared" ca="1" si="67"/>
        <v>0.1</v>
      </c>
      <c r="CD868" s="12">
        <f t="shared" ca="1" si="68"/>
        <v>98.962734986225897</v>
      </c>
      <c r="CE868" s="12">
        <f t="shared" ca="1" si="69"/>
        <v>9.8962734986225893</v>
      </c>
      <c r="CS868" s="33"/>
      <c r="CT868" s="33"/>
      <c r="CU868" s="33"/>
      <c r="CV868" s="32"/>
      <c r="CW868" s="32"/>
      <c r="CX868" s="32"/>
      <c r="CY868" s="34"/>
      <c r="CZ868" s="34"/>
      <c r="DA868" s="34"/>
      <c r="DB868" s="33"/>
      <c r="DC868" s="33"/>
      <c r="DD868" s="33"/>
      <c r="DE868" s="33"/>
      <c r="DF868" s="33"/>
      <c r="DG868" s="33"/>
      <c r="DH868" s="34"/>
      <c r="DI868" s="34"/>
      <c r="DJ868" s="34"/>
      <c r="DK868" s="33"/>
      <c r="DL868" s="33"/>
      <c r="DM868" s="33"/>
      <c r="DN868" s="12">
        <v>5403082</v>
      </c>
      <c r="DS868" s="21"/>
      <c r="DT868" s="21"/>
      <c r="DU868" s="21"/>
    </row>
    <row r="869" spans="72:125" ht="13.5" customHeight="1">
      <c r="BT869" s="12">
        <v>5204082</v>
      </c>
      <c r="BU869" s="3">
        <f>[1]monsters!$N869</f>
        <v>0</v>
      </c>
      <c r="BV869" s="3">
        <f>[1]monsters!$O869</f>
        <v>0</v>
      </c>
      <c r="BW869" s="3">
        <f>[1]monsters!$P869</f>
        <v>0</v>
      </c>
      <c r="BX869" s="3">
        <f>[1]monsters!$Q869</f>
        <v>0</v>
      </c>
      <c r="BY869" s="3">
        <f>[1]monsters!$R869</f>
        <v>0</v>
      </c>
      <c r="BZ869" s="3">
        <f>[1]monsters!$S869</f>
        <v>0</v>
      </c>
      <c r="CA869" s="3">
        <f>[1]monsters!$K869</f>
        <v>0</v>
      </c>
      <c r="CB869" s="12">
        <f>[1]monsters!$D869</f>
        <v>0</v>
      </c>
      <c r="CC869" s="12">
        <f t="shared" ca="1" si="67"/>
        <v>0.1</v>
      </c>
      <c r="CD869" s="12">
        <f t="shared" ca="1" si="68"/>
        <v>111.409260606061</v>
      </c>
      <c r="CE869" s="12">
        <f t="shared" ca="1" si="69"/>
        <v>11.1409260606061</v>
      </c>
      <c r="CS869" s="33"/>
      <c r="CT869" s="33"/>
      <c r="CU869" s="33"/>
      <c r="CV869" s="32"/>
      <c r="CW869" s="32"/>
      <c r="CX869" s="32"/>
      <c r="CY869" s="34"/>
      <c r="CZ869" s="34"/>
      <c r="DA869" s="34"/>
      <c r="DB869" s="33"/>
      <c r="DC869" s="33"/>
      <c r="DD869" s="33"/>
      <c r="DE869" s="33"/>
      <c r="DF869" s="33"/>
      <c r="DG869" s="33"/>
      <c r="DH869" s="34"/>
      <c r="DI869" s="34"/>
      <c r="DJ869" s="34"/>
      <c r="DK869" s="33"/>
      <c r="DL869" s="33"/>
      <c r="DM869" s="33"/>
      <c r="DN869" s="12">
        <v>5204082</v>
      </c>
      <c r="DS869" s="21"/>
      <c r="DT869" s="21"/>
      <c r="DU869" s="21"/>
    </row>
    <row r="870" spans="72:125" ht="13.5" customHeight="1">
      <c r="BT870" s="12">
        <v>5404082</v>
      </c>
      <c r="BU870" s="3">
        <f>[1]monsters!$N870</f>
        <v>0</v>
      </c>
      <c r="BV870" s="3">
        <f>[1]monsters!$O870</f>
        <v>0</v>
      </c>
      <c r="BW870" s="3">
        <f>[1]monsters!$P870</f>
        <v>0</v>
      </c>
      <c r="BX870" s="3">
        <f>[1]monsters!$Q870</f>
        <v>0</v>
      </c>
      <c r="BY870" s="3">
        <f>[1]monsters!$R870</f>
        <v>0</v>
      </c>
      <c r="BZ870" s="3">
        <f>[1]monsters!$S870</f>
        <v>0</v>
      </c>
      <c r="CA870" s="3">
        <f>[1]monsters!$K870</f>
        <v>0</v>
      </c>
      <c r="CB870" s="12">
        <f>[1]monsters!$D870</f>
        <v>0</v>
      </c>
      <c r="CC870" s="12">
        <f t="shared" ca="1" si="67"/>
        <v>0.1</v>
      </c>
      <c r="CD870" s="12">
        <f t="shared" ca="1" si="68"/>
        <v>118.92113498622599</v>
      </c>
      <c r="CE870" s="12">
        <f t="shared" ca="1" si="69"/>
        <v>11.892113498622599</v>
      </c>
      <c r="CS870" s="33"/>
      <c r="CT870" s="33"/>
      <c r="CU870" s="33"/>
      <c r="CV870" s="32"/>
      <c r="CW870" s="32"/>
      <c r="CX870" s="32"/>
      <c r="CY870" s="34"/>
      <c r="CZ870" s="34"/>
      <c r="DA870" s="34"/>
      <c r="DB870" s="33"/>
      <c r="DC870" s="33"/>
      <c r="DD870" s="33"/>
      <c r="DE870" s="33"/>
      <c r="DF870" s="33"/>
      <c r="DG870" s="33"/>
      <c r="DH870" s="34"/>
      <c r="DI870" s="34"/>
      <c r="DJ870" s="34"/>
      <c r="DK870" s="33"/>
      <c r="DL870" s="33"/>
      <c r="DM870" s="33"/>
      <c r="DN870" s="12">
        <v>5404082</v>
      </c>
      <c r="DS870" s="21"/>
      <c r="DT870" s="21"/>
      <c r="DU870" s="21"/>
    </row>
    <row r="871" spans="72:125" ht="13.5" customHeight="1">
      <c r="BT871" s="12">
        <v>5303082</v>
      </c>
      <c r="BU871" s="3">
        <f>[1]monsters!$N871</f>
        <v>0</v>
      </c>
      <c r="BV871" s="3">
        <f>[1]monsters!$O871</f>
        <v>0</v>
      </c>
      <c r="BW871" s="3">
        <f>[1]monsters!$P871</f>
        <v>0</v>
      </c>
      <c r="BX871" s="3">
        <f>[1]monsters!$Q871</f>
        <v>0</v>
      </c>
      <c r="BY871" s="3">
        <f>[1]monsters!$R871</f>
        <v>0</v>
      </c>
      <c r="BZ871" s="3">
        <f>[1]monsters!$S871</f>
        <v>0</v>
      </c>
      <c r="CA871" s="3">
        <f>[1]monsters!$K871</f>
        <v>0</v>
      </c>
      <c r="CB871" s="12">
        <f>[1]monsters!$D871</f>
        <v>0</v>
      </c>
      <c r="CC871" s="12">
        <f t="shared" ca="1" si="67"/>
        <v>0.1</v>
      </c>
      <c r="CD871" s="12">
        <f t="shared" ca="1" si="68"/>
        <v>106.943253872054</v>
      </c>
      <c r="CE871" s="12">
        <f t="shared" ca="1" si="69"/>
        <v>10.694325387205399</v>
      </c>
      <c r="CS871" s="33"/>
      <c r="CT871" s="33"/>
      <c r="CU871" s="33"/>
      <c r="CV871" s="32"/>
      <c r="CW871" s="32"/>
      <c r="CX871" s="32"/>
      <c r="CY871" s="34"/>
      <c r="CZ871" s="34"/>
      <c r="DA871" s="34"/>
      <c r="DB871" s="33"/>
      <c r="DC871" s="33"/>
      <c r="DD871" s="33"/>
      <c r="DE871" s="33"/>
      <c r="DF871" s="33"/>
      <c r="DG871" s="33"/>
      <c r="DH871" s="34"/>
      <c r="DI871" s="34"/>
      <c r="DJ871" s="34"/>
      <c r="DK871" s="33"/>
      <c r="DL871" s="33"/>
      <c r="DM871" s="33"/>
      <c r="DN871" s="12">
        <v>5303082</v>
      </c>
      <c r="DS871" s="21"/>
      <c r="DT871" s="21"/>
      <c r="DU871" s="21"/>
    </row>
    <row r="872" spans="72:125" ht="13.5" customHeight="1">
      <c r="BT872" s="12">
        <v>5304082</v>
      </c>
      <c r="BU872" s="3">
        <f>[1]monsters!$N872</f>
        <v>0</v>
      </c>
      <c r="BV872" s="3">
        <f>[1]monsters!$O872</f>
        <v>0</v>
      </c>
      <c r="BW872" s="3">
        <f>[1]monsters!$P872</f>
        <v>0</v>
      </c>
      <c r="BX872" s="3">
        <f>[1]monsters!$Q872</f>
        <v>0</v>
      </c>
      <c r="BY872" s="3">
        <f>[1]monsters!$R872</f>
        <v>0</v>
      </c>
      <c r="BZ872" s="3">
        <f>[1]monsters!$S872</f>
        <v>0</v>
      </c>
      <c r="CA872" s="3">
        <f>[1]monsters!$K872</f>
        <v>0</v>
      </c>
      <c r="CB872" s="12">
        <f>[1]monsters!$D872</f>
        <v>0</v>
      </c>
      <c r="CC872" s="12">
        <f t="shared" ca="1" si="67"/>
        <v>0.1</v>
      </c>
      <c r="CD872" s="12">
        <f t="shared" ca="1" si="68"/>
        <v>111.02565387205399</v>
      </c>
      <c r="CE872" s="12">
        <f t="shared" ca="1" si="69"/>
        <v>11.1025653872054</v>
      </c>
      <c r="CS872" s="33"/>
      <c r="CT872" s="33"/>
      <c r="CU872" s="33"/>
      <c r="CV872" s="32"/>
      <c r="CW872" s="32"/>
      <c r="CX872" s="32"/>
      <c r="CY872" s="34"/>
      <c r="CZ872" s="34"/>
      <c r="DA872" s="34"/>
      <c r="DB872" s="33"/>
      <c r="DC872" s="33"/>
      <c r="DD872" s="33"/>
      <c r="DE872" s="33"/>
      <c r="DF872" s="33"/>
      <c r="DG872" s="33"/>
      <c r="DH872" s="34"/>
      <c r="DI872" s="34"/>
      <c r="DJ872" s="34"/>
      <c r="DK872" s="33"/>
      <c r="DL872" s="33"/>
      <c r="DM872" s="33"/>
      <c r="DN872" s="12">
        <v>5304082</v>
      </c>
      <c r="DS872" s="21"/>
      <c r="DT872" s="21"/>
      <c r="DU872" s="21"/>
    </row>
    <row r="873" spans="72:125" ht="13.5" customHeight="1">
      <c r="BT873" s="12">
        <v>5503082</v>
      </c>
      <c r="BU873" s="3">
        <f>[1]monsters!$N873</f>
        <v>0</v>
      </c>
      <c r="BV873" s="3">
        <f>[1]monsters!$O873</f>
        <v>0</v>
      </c>
      <c r="BW873" s="3">
        <f>[1]monsters!$P873</f>
        <v>0</v>
      </c>
      <c r="BX873" s="3">
        <f>[1]monsters!$Q873</f>
        <v>0</v>
      </c>
      <c r="BY873" s="3">
        <f>[1]monsters!$R873</f>
        <v>0</v>
      </c>
      <c r="BZ873" s="3">
        <f>[1]monsters!$S873</f>
        <v>0</v>
      </c>
      <c r="CA873" s="3">
        <f>[1]monsters!$K873</f>
        <v>0</v>
      </c>
      <c r="CB873" s="12">
        <f>[1]monsters!$D873</f>
        <v>0</v>
      </c>
      <c r="CC873" s="12">
        <f t="shared" ca="1" si="67"/>
        <v>0.1</v>
      </c>
      <c r="CD873" s="12">
        <f t="shared" ca="1" si="68"/>
        <v>127.49524040404</v>
      </c>
      <c r="CE873" s="12">
        <f t="shared" ca="1" si="69"/>
        <v>12.749524040403999</v>
      </c>
      <c r="CS873" s="33"/>
      <c r="CT873" s="33"/>
      <c r="CU873" s="33"/>
      <c r="CV873" s="32"/>
      <c r="CW873" s="32"/>
      <c r="CX873" s="32"/>
      <c r="CY873" s="34"/>
      <c r="CZ873" s="34"/>
      <c r="DA873" s="34"/>
      <c r="DB873" s="33"/>
      <c r="DC873" s="33"/>
      <c r="DD873" s="33"/>
      <c r="DE873" s="33"/>
      <c r="DF873" s="33"/>
      <c r="DG873" s="33"/>
      <c r="DH873" s="34"/>
      <c r="DI873" s="34"/>
      <c r="DJ873" s="34"/>
      <c r="DK873" s="33"/>
      <c r="DL873" s="33"/>
      <c r="DM873" s="33"/>
      <c r="DN873" s="12">
        <v>5503082</v>
      </c>
      <c r="DS873" s="21"/>
      <c r="DT873" s="21"/>
      <c r="DU873" s="21"/>
    </row>
    <row r="874" spans="72:125" ht="13.5" customHeight="1">
      <c r="BT874" s="12">
        <v>5504082</v>
      </c>
      <c r="BU874" s="3">
        <f>[1]monsters!$N874</f>
        <v>0</v>
      </c>
      <c r="BV874" s="3">
        <f>[1]monsters!$O874</f>
        <v>0</v>
      </c>
      <c r="BW874" s="3">
        <f>[1]monsters!$P874</f>
        <v>0</v>
      </c>
      <c r="BX874" s="3">
        <f>[1]monsters!$Q874</f>
        <v>0</v>
      </c>
      <c r="BY874" s="3">
        <f>[1]monsters!$R874</f>
        <v>0</v>
      </c>
      <c r="BZ874" s="3">
        <f>[1]monsters!$S874</f>
        <v>0</v>
      </c>
      <c r="CA874" s="3">
        <f>[1]monsters!$K874</f>
        <v>0</v>
      </c>
      <c r="CB874" s="12">
        <f>[1]monsters!$D874</f>
        <v>0</v>
      </c>
      <c r="CC874" s="12">
        <f t="shared" ca="1" si="67"/>
        <v>0.1</v>
      </c>
      <c r="CD874" s="12">
        <f t="shared" ca="1" si="68"/>
        <v>138.38164040404001</v>
      </c>
      <c r="CE874" s="12">
        <f t="shared" ca="1" si="69"/>
        <v>13.838164040403999</v>
      </c>
      <c r="CS874" s="33"/>
      <c r="CT874" s="33"/>
      <c r="CU874" s="33"/>
      <c r="CV874" s="32"/>
      <c r="CW874" s="32"/>
      <c r="CX874" s="32"/>
      <c r="CY874" s="34"/>
      <c r="CZ874" s="34"/>
      <c r="DA874" s="34"/>
      <c r="DB874" s="33"/>
      <c r="DC874" s="33"/>
      <c r="DD874" s="33"/>
      <c r="DE874" s="33"/>
      <c r="DF874" s="33"/>
      <c r="DG874" s="33"/>
      <c r="DH874" s="34"/>
      <c r="DI874" s="34"/>
      <c r="DJ874" s="34"/>
      <c r="DK874" s="33"/>
      <c r="DL874" s="33"/>
      <c r="DM874" s="33"/>
      <c r="DN874" s="12">
        <v>5504082</v>
      </c>
      <c r="DS874" s="21"/>
      <c r="DT874" s="21"/>
      <c r="DU874" s="21"/>
    </row>
    <row r="875" spans="72:125" ht="13.5" customHeight="1">
      <c r="BT875" s="12">
        <v>5101082</v>
      </c>
      <c r="BU875" s="3">
        <f>[1]monsters!$N875</f>
        <v>0</v>
      </c>
      <c r="BV875" s="3">
        <f>[1]monsters!$O875</f>
        <v>0</v>
      </c>
      <c r="BW875" s="3">
        <f>[1]monsters!$P875</f>
        <v>0</v>
      </c>
      <c r="BX875" s="3">
        <f>[1]monsters!$Q875</f>
        <v>0</v>
      </c>
      <c r="BY875" s="3">
        <f>[1]monsters!$R875</f>
        <v>0</v>
      </c>
      <c r="BZ875" s="3">
        <f>[1]monsters!$S875</f>
        <v>0</v>
      </c>
      <c r="CA875" s="3">
        <f>[1]monsters!$K875</f>
        <v>0</v>
      </c>
      <c r="CB875" s="12">
        <f>[1]monsters!$D875</f>
        <v>0</v>
      </c>
      <c r="CC875" s="12">
        <f t="shared" ca="1" si="67"/>
        <v>0.1</v>
      </c>
      <c r="CD875" s="12">
        <f t="shared" ca="1" si="68"/>
        <v>121.06084848484799</v>
      </c>
      <c r="CE875" s="12">
        <f t="shared" ca="1" si="69"/>
        <v>12.1060848484848</v>
      </c>
      <c r="CS875" s="33"/>
      <c r="CT875" s="33"/>
      <c r="CU875" s="33"/>
      <c r="CV875" s="32"/>
      <c r="CW875" s="32"/>
      <c r="CX875" s="32"/>
      <c r="CY875" s="34"/>
      <c r="CZ875" s="34"/>
      <c r="DA875" s="34"/>
      <c r="DB875" s="33"/>
      <c r="DC875" s="33"/>
      <c r="DD875" s="33"/>
      <c r="DE875" s="33"/>
      <c r="DF875" s="33"/>
      <c r="DG875" s="33"/>
      <c r="DH875" s="34"/>
      <c r="DI875" s="34"/>
      <c r="DJ875" s="34"/>
      <c r="DK875" s="33"/>
      <c r="DL875" s="33"/>
      <c r="DM875" s="33"/>
      <c r="DN875" s="12">
        <v>5101082</v>
      </c>
      <c r="DS875" s="21"/>
      <c r="DT875" s="21"/>
      <c r="DU875" s="21"/>
    </row>
    <row r="876" spans="72:125" ht="13.5" customHeight="1">
      <c r="BT876" s="12">
        <v>5102082</v>
      </c>
      <c r="BU876" s="3">
        <f>[1]monsters!$N876</f>
        <v>0</v>
      </c>
      <c r="BV876" s="3">
        <f>[1]monsters!$O876</f>
        <v>0</v>
      </c>
      <c r="BW876" s="3">
        <f>[1]monsters!$P876</f>
        <v>0</v>
      </c>
      <c r="BX876" s="3">
        <f>[1]monsters!$Q876</f>
        <v>0</v>
      </c>
      <c r="BY876" s="3">
        <f>[1]monsters!$R876</f>
        <v>0</v>
      </c>
      <c r="BZ876" s="3">
        <f>[1]monsters!$S876</f>
        <v>0</v>
      </c>
      <c r="CA876" s="3">
        <f>[1]monsters!$K876</f>
        <v>0</v>
      </c>
      <c r="CB876" s="12">
        <f>[1]monsters!$D876</f>
        <v>0</v>
      </c>
      <c r="CC876" s="12">
        <f t="shared" ca="1" si="67"/>
        <v>0.1</v>
      </c>
      <c r="CD876" s="12">
        <f t="shared" ca="1" si="68"/>
        <v>111.98884848484801</v>
      </c>
      <c r="CE876" s="12">
        <f t="shared" ca="1" si="69"/>
        <v>11.1988848484848</v>
      </c>
      <c r="CS876" s="33"/>
      <c r="CT876" s="33"/>
      <c r="CU876" s="33"/>
      <c r="CV876" s="32"/>
      <c r="CW876" s="32"/>
      <c r="CX876" s="32"/>
      <c r="CY876" s="34"/>
      <c r="CZ876" s="34"/>
      <c r="DA876" s="34"/>
      <c r="DB876" s="33"/>
      <c r="DC876" s="33"/>
      <c r="DD876" s="33"/>
      <c r="DE876" s="33"/>
      <c r="DF876" s="33"/>
      <c r="DG876" s="33"/>
      <c r="DH876" s="34"/>
      <c r="DI876" s="34"/>
      <c r="DJ876" s="34"/>
      <c r="DK876" s="33"/>
      <c r="DL876" s="33"/>
      <c r="DM876" s="33"/>
      <c r="DN876" s="12">
        <v>5102082</v>
      </c>
      <c r="DS876" s="21"/>
      <c r="DT876" s="21"/>
      <c r="DU876" s="21"/>
    </row>
    <row r="877" spans="72:125" ht="13.5" customHeight="1">
      <c r="BT877" s="12">
        <v>5206083</v>
      </c>
      <c r="BU877" s="3">
        <f>[1]monsters!$N877</f>
        <v>0</v>
      </c>
      <c r="BV877" s="3">
        <f>[1]monsters!$O877</f>
        <v>0</v>
      </c>
      <c r="BW877" s="3">
        <f>[1]monsters!$P877</f>
        <v>0</v>
      </c>
      <c r="BX877" s="3">
        <f>[1]monsters!$Q877</f>
        <v>0</v>
      </c>
      <c r="BY877" s="3">
        <f>[1]monsters!$R877</f>
        <v>0</v>
      </c>
      <c r="BZ877" s="3">
        <f>[1]monsters!$S877</f>
        <v>0</v>
      </c>
      <c r="CA877" s="3">
        <f>[1]monsters!$K877</f>
        <v>0</v>
      </c>
      <c r="CB877" s="12">
        <f>[1]monsters!$D877</f>
        <v>0</v>
      </c>
      <c r="CC877" s="12">
        <f t="shared" ca="1" si="67"/>
        <v>0.1</v>
      </c>
      <c r="CD877" s="12">
        <f t="shared" ca="1" si="68"/>
        <v>122.29566060606101</v>
      </c>
      <c r="CE877" s="12">
        <f t="shared" ca="1" si="69"/>
        <v>12.2295660606061</v>
      </c>
      <c r="CS877" s="33"/>
      <c r="CT877" s="33"/>
      <c r="CU877" s="33"/>
      <c r="CV877" s="32"/>
      <c r="CW877" s="32"/>
      <c r="CX877" s="32"/>
      <c r="CY877" s="34"/>
      <c r="CZ877" s="34"/>
      <c r="DA877" s="34"/>
      <c r="DB877" s="33"/>
      <c r="DC877" s="33"/>
      <c r="DD877" s="33"/>
      <c r="DE877" s="33"/>
      <c r="DF877" s="33"/>
      <c r="DG877" s="33"/>
      <c r="DH877" s="34"/>
      <c r="DI877" s="34"/>
      <c r="DJ877" s="34"/>
      <c r="DK877" s="33"/>
      <c r="DL877" s="33"/>
      <c r="DM877" s="33"/>
      <c r="DN877" s="12">
        <v>5206083</v>
      </c>
      <c r="DS877" s="21"/>
      <c r="DT877" s="21"/>
      <c r="DU877" s="21"/>
    </row>
    <row r="878" spans="72:125" ht="13.5" customHeight="1">
      <c r="BT878" s="12">
        <v>5406083</v>
      </c>
      <c r="BU878" s="3">
        <f>[1]monsters!$N878</f>
        <v>0</v>
      </c>
      <c r="BV878" s="3">
        <f>[1]monsters!$O878</f>
        <v>0</v>
      </c>
      <c r="BW878" s="3">
        <f>[1]monsters!$P878</f>
        <v>0</v>
      </c>
      <c r="BX878" s="3">
        <f>[1]monsters!$Q878</f>
        <v>0</v>
      </c>
      <c r="BY878" s="3">
        <f>[1]monsters!$R878</f>
        <v>0</v>
      </c>
      <c r="BZ878" s="3">
        <f>[1]monsters!$S878</f>
        <v>0</v>
      </c>
      <c r="CA878" s="3">
        <f>[1]monsters!$K878</f>
        <v>0</v>
      </c>
      <c r="CB878" s="12">
        <f>[1]monsters!$D878</f>
        <v>0</v>
      </c>
      <c r="CC878" s="12">
        <f t="shared" ca="1" si="67"/>
        <v>0.1</v>
      </c>
      <c r="CD878" s="12">
        <f t="shared" ca="1" si="68"/>
        <v>113.931534986226</v>
      </c>
      <c r="CE878" s="12">
        <f t="shared" ca="1" si="69"/>
        <v>11.393153498622601</v>
      </c>
      <c r="CS878" s="33"/>
      <c r="CT878" s="33"/>
      <c r="CU878" s="33"/>
      <c r="CV878" s="32"/>
      <c r="CW878" s="32"/>
      <c r="CX878" s="32"/>
      <c r="CY878" s="34"/>
      <c r="CZ878" s="34"/>
      <c r="DA878" s="34"/>
      <c r="DB878" s="33"/>
      <c r="DC878" s="33"/>
      <c r="DD878" s="33"/>
      <c r="DE878" s="33"/>
      <c r="DF878" s="33"/>
      <c r="DG878" s="33"/>
      <c r="DH878" s="34"/>
      <c r="DI878" s="34"/>
      <c r="DJ878" s="34"/>
      <c r="DK878" s="33"/>
      <c r="DL878" s="33"/>
      <c r="DM878" s="33"/>
      <c r="DN878" s="12">
        <v>5406083</v>
      </c>
      <c r="DS878" s="21"/>
      <c r="DT878" s="21"/>
      <c r="DU878" s="21"/>
    </row>
    <row r="879" spans="72:125" ht="13.5" customHeight="1">
      <c r="BT879" s="12">
        <v>5205083</v>
      </c>
      <c r="BU879" s="3">
        <f>[1]monsters!$N879</f>
        <v>0</v>
      </c>
      <c r="BV879" s="3">
        <f>[1]monsters!$O879</f>
        <v>0</v>
      </c>
      <c r="BW879" s="3">
        <f>[1]monsters!$P879</f>
        <v>0</v>
      </c>
      <c r="BX879" s="3">
        <f>[1]monsters!$Q879</f>
        <v>0</v>
      </c>
      <c r="BY879" s="3">
        <f>[1]monsters!$R879</f>
        <v>0</v>
      </c>
      <c r="BZ879" s="3">
        <f>[1]monsters!$S879</f>
        <v>0</v>
      </c>
      <c r="CA879" s="3">
        <f>[1]monsters!$K879</f>
        <v>0</v>
      </c>
      <c r="CB879" s="12">
        <f>[1]monsters!$D879</f>
        <v>0</v>
      </c>
      <c r="CC879" s="12">
        <f t="shared" ca="1" si="67"/>
        <v>0.1</v>
      </c>
      <c r="CD879" s="12">
        <f t="shared" ca="1" si="68"/>
        <v>133.18206060606099</v>
      </c>
      <c r="CE879" s="12">
        <f t="shared" ca="1" si="69"/>
        <v>13.3182060606061</v>
      </c>
      <c r="CS879" s="33"/>
      <c r="CT879" s="33"/>
      <c r="CU879" s="33"/>
      <c r="CV879" s="32"/>
      <c r="CW879" s="32"/>
      <c r="CX879" s="32"/>
      <c r="CY879" s="34"/>
      <c r="CZ879" s="34"/>
      <c r="DA879" s="34"/>
      <c r="DB879" s="33"/>
      <c r="DC879" s="33"/>
      <c r="DD879" s="33"/>
      <c r="DE879" s="33"/>
      <c r="DF879" s="33"/>
      <c r="DG879" s="33"/>
      <c r="DH879" s="34"/>
      <c r="DI879" s="34"/>
      <c r="DJ879" s="34"/>
      <c r="DK879" s="33"/>
      <c r="DL879" s="33"/>
      <c r="DM879" s="33"/>
      <c r="DN879" s="12">
        <v>5205083</v>
      </c>
      <c r="DS879" s="21"/>
      <c r="DT879" s="21"/>
      <c r="DU879" s="21"/>
    </row>
    <row r="880" spans="72:125" ht="13.5" customHeight="1">
      <c r="BT880" s="12">
        <v>5405083</v>
      </c>
      <c r="BU880" s="3">
        <f>[1]monsters!$N880</f>
        <v>0</v>
      </c>
      <c r="BV880" s="3">
        <f>[1]monsters!$O880</f>
        <v>0</v>
      </c>
      <c r="BW880" s="3">
        <f>[1]monsters!$P880</f>
        <v>0</v>
      </c>
      <c r="BX880" s="3">
        <f>[1]monsters!$Q880</f>
        <v>0</v>
      </c>
      <c r="BY880" s="3">
        <f>[1]monsters!$R880</f>
        <v>0</v>
      </c>
      <c r="BZ880" s="3">
        <f>[1]monsters!$S880</f>
        <v>0</v>
      </c>
      <c r="CA880" s="3">
        <f>[1]monsters!$K880</f>
        <v>0</v>
      </c>
      <c r="CB880" s="12">
        <f>[1]monsters!$D880</f>
        <v>0</v>
      </c>
      <c r="CC880" s="12">
        <f t="shared" ca="1" si="67"/>
        <v>0.1</v>
      </c>
      <c r="CD880" s="12">
        <f t="shared" ca="1" si="68"/>
        <v>118.92113498622599</v>
      </c>
      <c r="CE880" s="12">
        <f t="shared" ca="1" si="69"/>
        <v>11.892113498622599</v>
      </c>
      <c r="CS880" s="33"/>
      <c r="CT880" s="33"/>
      <c r="CU880" s="33"/>
      <c r="CV880" s="32"/>
      <c r="CW880" s="32"/>
      <c r="CX880" s="32"/>
      <c r="CY880" s="34"/>
      <c r="CZ880" s="34"/>
      <c r="DA880" s="34"/>
      <c r="DB880" s="33"/>
      <c r="DC880" s="33"/>
      <c r="DD880" s="33"/>
      <c r="DE880" s="33"/>
      <c r="DF880" s="33"/>
      <c r="DG880" s="33"/>
      <c r="DH880" s="34"/>
      <c r="DI880" s="34"/>
      <c r="DJ880" s="34"/>
      <c r="DK880" s="33"/>
      <c r="DL880" s="33"/>
      <c r="DM880" s="33"/>
      <c r="DN880" s="12">
        <v>5405083</v>
      </c>
      <c r="DS880" s="21"/>
      <c r="DT880" s="21"/>
      <c r="DU880" s="21"/>
    </row>
    <row r="881" spans="72:125" ht="13.5" customHeight="1">
      <c r="BT881" s="12">
        <v>5203083</v>
      </c>
      <c r="BU881" s="3">
        <f>[1]monsters!$N881</f>
        <v>0</v>
      </c>
      <c r="BV881" s="3">
        <f>[1]monsters!$O881</f>
        <v>0</v>
      </c>
      <c r="BW881" s="3">
        <f>[1]monsters!$P881</f>
        <v>0</v>
      </c>
      <c r="BX881" s="3">
        <f>[1]monsters!$Q881</f>
        <v>0</v>
      </c>
      <c r="BY881" s="3">
        <f>[1]monsters!$R881</f>
        <v>0</v>
      </c>
      <c r="BZ881" s="3">
        <f>[1]monsters!$S881</f>
        <v>0</v>
      </c>
      <c r="CA881" s="3">
        <f>[1]monsters!$K881</f>
        <v>0</v>
      </c>
      <c r="CB881" s="12">
        <f>[1]monsters!$D881</f>
        <v>0</v>
      </c>
      <c r="CC881" s="12">
        <f t="shared" ca="1" si="67"/>
        <v>0.1</v>
      </c>
      <c r="CD881" s="12">
        <f t="shared" ca="1" si="68"/>
        <v>107.780460606061</v>
      </c>
      <c r="CE881" s="12">
        <f t="shared" ca="1" si="69"/>
        <v>10.778046060606099</v>
      </c>
      <c r="CS881" s="33"/>
      <c r="CT881" s="33"/>
      <c r="CU881" s="33"/>
      <c r="CV881" s="32"/>
      <c r="CW881" s="32"/>
      <c r="CX881" s="32"/>
      <c r="CY881" s="34"/>
      <c r="CZ881" s="34"/>
      <c r="DA881" s="34"/>
      <c r="DB881" s="33"/>
      <c r="DC881" s="33"/>
      <c r="DD881" s="33"/>
      <c r="DE881" s="33"/>
      <c r="DF881" s="33"/>
      <c r="DG881" s="33"/>
      <c r="DH881" s="34"/>
      <c r="DI881" s="34"/>
      <c r="DJ881" s="34"/>
      <c r="DK881" s="33"/>
      <c r="DL881" s="33"/>
      <c r="DM881" s="33"/>
      <c r="DN881" s="12">
        <v>5203083</v>
      </c>
      <c r="DS881" s="21"/>
      <c r="DT881" s="21"/>
      <c r="DU881" s="21"/>
    </row>
    <row r="882" spans="72:125" ht="13.5" customHeight="1">
      <c r="BT882" s="12">
        <v>5403083</v>
      </c>
      <c r="BU882" s="3">
        <f>[1]monsters!$N882</f>
        <v>0</v>
      </c>
      <c r="BV882" s="3">
        <f>[1]monsters!$O882</f>
        <v>0</v>
      </c>
      <c r="BW882" s="3">
        <f>[1]monsters!$P882</f>
        <v>0</v>
      </c>
      <c r="BX882" s="3">
        <f>[1]monsters!$Q882</f>
        <v>0</v>
      </c>
      <c r="BY882" s="3">
        <f>[1]monsters!$R882</f>
        <v>0</v>
      </c>
      <c r="BZ882" s="3">
        <f>[1]monsters!$S882</f>
        <v>0</v>
      </c>
      <c r="CA882" s="3">
        <f>[1]monsters!$K882</f>
        <v>0</v>
      </c>
      <c r="CB882" s="12">
        <f>[1]monsters!$D882</f>
        <v>0</v>
      </c>
      <c r="CC882" s="12">
        <f t="shared" ca="1" si="67"/>
        <v>0.1</v>
      </c>
      <c r="CD882" s="12">
        <f t="shared" ca="1" si="68"/>
        <v>98.962734986225897</v>
      </c>
      <c r="CE882" s="12">
        <f t="shared" ca="1" si="69"/>
        <v>9.8962734986225893</v>
      </c>
      <c r="CS882" s="33"/>
      <c r="CT882" s="33"/>
      <c r="CU882" s="33"/>
      <c r="CV882" s="32"/>
      <c r="CW882" s="32"/>
      <c r="CX882" s="32"/>
      <c r="CY882" s="34"/>
      <c r="CZ882" s="34"/>
      <c r="DA882" s="34"/>
      <c r="DB882" s="33"/>
      <c r="DC882" s="33"/>
      <c r="DD882" s="33"/>
      <c r="DE882" s="33"/>
      <c r="DF882" s="33"/>
      <c r="DG882" s="33"/>
      <c r="DH882" s="34"/>
      <c r="DI882" s="34"/>
      <c r="DJ882" s="34"/>
      <c r="DK882" s="33"/>
      <c r="DL882" s="33"/>
      <c r="DM882" s="33"/>
      <c r="DN882" s="12">
        <v>5403083</v>
      </c>
      <c r="DS882" s="21"/>
      <c r="DT882" s="21"/>
      <c r="DU882" s="21"/>
    </row>
    <row r="883" spans="72:125" ht="13.5" customHeight="1">
      <c r="BT883" s="12">
        <v>5204083</v>
      </c>
      <c r="BU883" s="3">
        <f>[1]monsters!$N883</f>
        <v>0</v>
      </c>
      <c r="BV883" s="3">
        <f>[1]monsters!$O883</f>
        <v>0</v>
      </c>
      <c r="BW883" s="3">
        <f>[1]monsters!$P883</f>
        <v>0</v>
      </c>
      <c r="BX883" s="3">
        <f>[1]monsters!$Q883</f>
        <v>0</v>
      </c>
      <c r="BY883" s="3">
        <f>[1]monsters!$R883</f>
        <v>0</v>
      </c>
      <c r="BZ883" s="3">
        <f>[1]monsters!$S883</f>
        <v>0</v>
      </c>
      <c r="CA883" s="3">
        <f>[1]monsters!$K883</f>
        <v>0</v>
      </c>
      <c r="CB883" s="12">
        <f>[1]monsters!$D883</f>
        <v>0</v>
      </c>
      <c r="CC883" s="12">
        <f t="shared" ca="1" si="67"/>
        <v>0.1</v>
      </c>
      <c r="CD883" s="12">
        <f t="shared" ca="1" si="68"/>
        <v>111.409260606061</v>
      </c>
      <c r="CE883" s="12">
        <f t="shared" ca="1" si="69"/>
        <v>11.1409260606061</v>
      </c>
      <c r="CS883" s="33"/>
      <c r="CT883" s="33"/>
      <c r="CU883" s="33"/>
      <c r="CV883" s="32"/>
      <c r="CW883" s="32"/>
      <c r="CX883" s="32"/>
      <c r="CY883" s="34"/>
      <c r="CZ883" s="34"/>
      <c r="DA883" s="34"/>
      <c r="DB883" s="33"/>
      <c r="DC883" s="33"/>
      <c r="DD883" s="33"/>
      <c r="DE883" s="33"/>
      <c r="DF883" s="33"/>
      <c r="DG883" s="33"/>
      <c r="DH883" s="34"/>
      <c r="DI883" s="34"/>
      <c r="DJ883" s="34"/>
      <c r="DK883" s="33"/>
      <c r="DL883" s="33"/>
      <c r="DM883" s="33"/>
      <c r="DN883" s="12">
        <v>5204083</v>
      </c>
      <c r="DS883" s="21"/>
      <c r="DT883" s="21"/>
      <c r="DU883" s="21"/>
    </row>
    <row r="884" spans="72:125" ht="13.5" customHeight="1">
      <c r="BT884" s="12">
        <v>5404083</v>
      </c>
      <c r="BU884" s="3">
        <f>[1]monsters!$N884</f>
        <v>0</v>
      </c>
      <c r="BV884" s="3">
        <f>[1]monsters!$O884</f>
        <v>0</v>
      </c>
      <c r="BW884" s="3">
        <f>[1]monsters!$P884</f>
        <v>0</v>
      </c>
      <c r="BX884" s="3">
        <f>[1]monsters!$Q884</f>
        <v>0</v>
      </c>
      <c r="BY884" s="3">
        <f>[1]monsters!$R884</f>
        <v>0</v>
      </c>
      <c r="BZ884" s="3">
        <f>[1]monsters!$S884</f>
        <v>0</v>
      </c>
      <c r="CA884" s="3">
        <f>[1]monsters!$K884</f>
        <v>0</v>
      </c>
      <c r="CB884" s="12">
        <f>[1]monsters!$D884</f>
        <v>0</v>
      </c>
      <c r="CC884" s="12">
        <f t="shared" ca="1" si="67"/>
        <v>0.1</v>
      </c>
      <c r="CD884" s="12">
        <f t="shared" ca="1" si="68"/>
        <v>118.92113498622599</v>
      </c>
      <c r="CE884" s="12">
        <f t="shared" ca="1" si="69"/>
        <v>11.892113498622599</v>
      </c>
      <c r="CS884" s="33"/>
      <c r="CT884" s="33"/>
      <c r="CU884" s="33"/>
      <c r="CV884" s="32"/>
      <c r="CW884" s="32"/>
      <c r="CX884" s="32"/>
      <c r="CY884" s="34"/>
      <c r="CZ884" s="34"/>
      <c r="DA884" s="34"/>
      <c r="DB884" s="33"/>
      <c r="DC884" s="33"/>
      <c r="DD884" s="33"/>
      <c r="DE884" s="33"/>
      <c r="DF884" s="33"/>
      <c r="DG884" s="33"/>
      <c r="DH884" s="34"/>
      <c r="DI884" s="34"/>
      <c r="DJ884" s="34"/>
      <c r="DK884" s="33"/>
      <c r="DL884" s="33"/>
      <c r="DM884" s="33"/>
      <c r="DN884" s="12">
        <v>5404083</v>
      </c>
      <c r="DS884" s="21"/>
      <c r="DT884" s="21"/>
      <c r="DU884" s="21"/>
    </row>
    <row r="885" spans="72:125" ht="13.5" customHeight="1">
      <c r="BT885" s="12">
        <v>5303083</v>
      </c>
      <c r="BU885" s="3">
        <f>[1]monsters!$N885</f>
        <v>0</v>
      </c>
      <c r="BV885" s="3">
        <f>[1]monsters!$O885</f>
        <v>0</v>
      </c>
      <c r="BW885" s="3">
        <f>[1]monsters!$P885</f>
        <v>0</v>
      </c>
      <c r="BX885" s="3">
        <f>[1]monsters!$Q885</f>
        <v>0</v>
      </c>
      <c r="BY885" s="3">
        <f>[1]monsters!$R885</f>
        <v>0</v>
      </c>
      <c r="BZ885" s="3">
        <f>[1]monsters!$S885</f>
        <v>0</v>
      </c>
      <c r="CA885" s="3">
        <f>[1]monsters!$K885</f>
        <v>0</v>
      </c>
      <c r="CB885" s="12">
        <f>[1]monsters!$D885</f>
        <v>0</v>
      </c>
      <c r="CC885" s="12">
        <f t="shared" ca="1" si="67"/>
        <v>0.1</v>
      </c>
      <c r="CD885" s="12">
        <f t="shared" ca="1" si="68"/>
        <v>106.943253872054</v>
      </c>
      <c r="CE885" s="12">
        <f t="shared" ca="1" si="69"/>
        <v>10.694325387205399</v>
      </c>
      <c r="CS885" s="33"/>
      <c r="CT885" s="33"/>
      <c r="CU885" s="33"/>
      <c r="CV885" s="32"/>
      <c r="CW885" s="32"/>
      <c r="CX885" s="32"/>
      <c r="CY885" s="34"/>
      <c r="CZ885" s="34"/>
      <c r="DA885" s="34"/>
      <c r="DB885" s="33"/>
      <c r="DC885" s="33"/>
      <c r="DD885" s="33"/>
      <c r="DE885" s="33"/>
      <c r="DF885" s="33"/>
      <c r="DG885" s="33"/>
      <c r="DH885" s="34"/>
      <c r="DI885" s="34"/>
      <c r="DJ885" s="34"/>
      <c r="DK885" s="33"/>
      <c r="DL885" s="33"/>
      <c r="DM885" s="33"/>
      <c r="DN885" s="12">
        <v>5303083</v>
      </c>
      <c r="DS885" s="21"/>
      <c r="DT885" s="21"/>
      <c r="DU885" s="21"/>
    </row>
    <row r="886" spans="72:125" ht="13.5" customHeight="1">
      <c r="BT886" s="12">
        <v>5304083</v>
      </c>
      <c r="BU886" s="3">
        <f>[1]monsters!$N886</f>
        <v>0</v>
      </c>
      <c r="BV886" s="3">
        <f>[1]monsters!$O886</f>
        <v>0</v>
      </c>
      <c r="BW886" s="3">
        <f>[1]monsters!$P886</f>
        <v>0</v>
      </c>
      <c r="BX886" s="3">
        <f>[1]monsters!$Q886</f>
        <v>0</v>
      </c>
      <c r="BY886" s="3">
        <f>[1]monsters!$R886</f>
        <v>0</v>
      </c>
      <c r="BZ886" s="3">
        <f>[1]monsters!$S886</f>
        <v>0</v>
      </c>
      <c r="CA886" s="3">
        <f>[1]monsters!$K886</f>
        <v>0</v>
      </c>
      <c r="CB886" s="12">
        <f>[1]monsters!$D886</f>
        <v>0</v>
      </c>
      <c r="CC886" s="12">
        <f t="shared" ca="1" si="67"/>
        <v>0.1</v>
      </c>
      <c r="CD886" s="12">
        <f t="shared" ca="1" si="68"/>
        <v>111.02565387205399</v>
      </c>
      <c r="CE886" s="12">
        <f t="shared" ca="1" si="69"/>
        <v>11.1025653872054</v>
      </c>
      <c r="CS886" s="33"/>
      <c r="CT886" s="33"/>
      <c r="CU886" s="33"/>
      <c r="CV886" s="32"/>
      <c r="CW886" s="32"/>
      <c r="CX886" s="32"/>
      <c r="CY886" s="34"/>
      <c r="CZ886" s="34"/>
      <c r="DA886" s="34"/>
      <c r="DB886" s="33"/>
      <c r="DC886" s="33"/>
      <c r="DD886" s="33"/>
      <c r="DE886" s="33"/>
      <c r="DF886" s="33"/>
      <c r="DG886" s="33"/>
      <c r="DH886" s="34"/>
      <c r="DI886" s="34"/>
      <c r="DJ886" s="34"/>
      <c r="DK886" s="33"/>
      <c r="DL886" s="33"/>
      <c r="DM886" s="33"/>
      <c r="DN886" s="12">
        <v>5304083</v>
      </c>
      <c r="DS886" s="21"/>
      <c r="DT886" s="21"/>
      <c r="DU886" s="21"/>
    </row>
    <row r="887" spans="72:125" ht="13.5" customHeight="1">
      <c r="BT887" s="12">
        <v>5503083</v>
      </c>
      <c r="BU887" s="3">
        <f>[1]monsters!$N887</f>
        <v>0</v>
      </c>
      <c r="BV887" s="3">
        <f>[1]monsters!$O887</f>
        <v>0</v>
      </c>
      <c r="BW887" s="3">
        <f>[1]monsters!$P887</f>
        <v>0</v>
      </c>
      <c r="BX887" s="3">
        <f>[1]monsters!$Q887</f>
        <v>0</v>
      </c>
      <c r="BY887" s="3">
        <f>[1]monsters!$R887</f>
        <v>0</v>
      </c>
      <c r="BZ887" s="3">
        <f>[1]monsters!$S887</f>
        <v>0</v>
      </c>
      <c r="CA887" s="3">
        <f>[1]monsters!$K887</f>
        <v>0</v>
      </c>
      <c r="CB887" s="12">
        <f>[1]monsters!$D887</f>
        <v>0</v>
      </c>
      <c r="CC887" s="12">
        <f t="shared" ca="1" si="67"/>
        <v>0.1</v>
      </c>
      <c r="CD887" s="12">
        <f t="shared" ca="1" si="68"/>
        <v>127.49524040404</v>
      </c>
      <c r="CE887" s="12">
        <f t="shared" ca="1" si="69"/>
        <v>12.749524040403999</v>
      </c>
      <c r="CS887" s="33"/>
      <c r="CT887" s="33"/>
      <c r="CU887" s="33"/>
      <c r="CV887" s="32"/>
      <c r="CW887" s="32"/>
      <c r="CX887" s="32"/>
      <c r="CY887" s="34"/>
      <c r="CZ887" s="34"/>
      <c r="DA887" s="34"/>
      <c r="DB887" s="33"/>
      <c r="DC887" s="33"/>
      <c r="DD887" s="33"/>
      <c r="DE887" s="33"/>
      <c r="DF887" s="33"/>
      <c r="DG887" s="33"/>
      <c r="DH887" s="34"/>
      <c r="DI887" s="34"/>
      <c r="DJ887" s="34"/>
      <c r="DK887" s="33"/>
      <c r="DL887" s="33"/>
      <c r="DM887" s="33"/>
      <c r="DN887" s="12">
        <v>5503083</v>
      </c>
      <c r="DS887" s="21"/>
      <c r="DT887" s="21"/>
      <c r="DU887" s="21"/>
    </row>
    <row r="888" spans="72:125" ht="13.5" customHeight="1">
      <c r="BT888" s="12">
        <v>5504083</v>
      </c>
      <c r="BU888" s="3">
        <f>[1]monsters!$N888</f>
        <v>0</v>
      </c>
      <c r="BV888" s="3">
        <f>[1]monsters!$O888</f>
        <v>0</v>
      </c>
      <c r="BW888" s="3">
        <f>[1]monsters!$P888</f>
        <v>0</v>
      </c>
      <c r="BX888" s="3">
        <f>[1]monsters!$Q888</f>
        <v>0</v>
      </c>
      <c r="BY888" s="3">
        <f>[1]monsters!$R888</f>
        <v>0</v>
      </c>
      <c r="BZ888" s="3">
        <f>[1]monsters!$S888</f>
        <v>0</v>
      </c>
      <c r="CA888" s="3">
        <f>[1]monsters!$K888</f>
        <v>0</v>
      </c>
      <c r="CB888" s="12">
        <f>[1]monsters!$D888</f>
        <v>0</v>
      </c>
      <c r="CC888" s="12">
        <f t="shared" ca="1" si="67"/>
        <v>0.1</v>
      </c>
      <c r="CD888" s="12">
        <f t="shared" ca="1" si="68"/>
        <v>138.38164040404001</v>
      </c>
      <c r="CE888" s="12">
        <f t="shared" ca="1" si="69"/>
        <v>13.838164040403999</v>
      </c>
      <c r="CS888" s="33"/>
      <c r="CT888" s="33"/>
      <c r="CU888" s="33"/>
      <c r="CV888" s="32"/>
      <c r="CW888" s="32"/>
      <c r="CX888" s="32"/>
      <c r="CY888" s="34"/>
      <c r="CZ888" s="34"/>
      <c r="DA888" s="34"/>
      <c r="DB888" s="33"/>
      <c r="DC888" s="33"/>
      <c r="DD888" s="33"/>
      <c r="DE888" s="33"/>
      <c r="DF888" s="33"/>
      <c r="DG888" s="33"/>
      <c r="DH888" s="34"/>
      <c r="DI888" s="34"/>
      <c r="DJ888" s="34"/>
      <c r="DK888" s="33"/>
      <c r="DL888" s="33"/>
      <c r="DM888" s="33"/>
      <c r="DN888" s="12">
        <v>5504083</v>
      </c>
      <c r="DS888" s="21"/>
      <c r="DT888" s="21"/>
      <c r="DU888" s="21"/>
    </row>
    <row r="889" spans="72:125" ht="13.5" customHeight="1">
      <c r="BT889" s="12">
        <v>5101083</v>
      </c>
      <c r="BU889" s="3">
        <f>[1]monsters!$N889</f>
        <v>0</v>
      </c>
      <c r="BV889" s="3">
        <f>[1]monsters!$O889</f>
        <v>0</v>
      </c>
      <c r="BW889" s="3">
        <f>[1]monsters!$P889</f>
        <v>0</v>
      </c>
      <c r="BX889" s="3">
        <f>[1]monsters!$Q889</f>
        <v>0</v>
      </c>
      <c r="BY889" s="3">
        <f>[1]monsters!$R889</f>
        <v>0</v>
      </c>
      <c r="BZ889" s="3">
        <f>[1]monsters!$S889</f>
        <v>0</v>
      </c>
      <c r="CA889" s="3">
        <f>[1]monsters!$K889</f>
        <v>0</v>
      </c>
      <c r="CB889" s="12">
        <f>[1]monsters!$D889</f>
        <v>0</v>
      </c>
      <c r="CC889" s="12">
        <f t="shared" ca="1" si="67"/>
        <v>0.1</v>
      </c>
      <c r="CD889" s="12">
        <f t="shared" ca="1" si="68"/>
        <v>121.06084848484799</v>
      </c>
      <c r="CE889" s="12">
        <f t="shared" ca="1" si="69"/>
        <v>12.1060848484848</v>
      </c>
      <c r="CS889" s="33"/>
      <c r="CT889" s="33"/>
      <c r="CU889" s="33"/>
      <c r="CV889" s="32"/>
      <c r="CW889" s="32"/>
      <c r="CX889" s="32"/>
      <c r="CY889" s="34"/>
      <c r="CZ889" s="34"/>
      <c r="DA889" s="34"/>
      <c r="DB889" s="33"/>
      <c r="DC889" s="33"/>
      <c r="DD889" s="33"/>
      <c r="DE889" s="33"/>
      <c r="DF889" s="33"/>
      <c r="DG889" s="33"/>
      <c r="DH889" s="34"/>
      <c r="DI889" s="34"/>
      <c r="DJ889" s="34"/>
      <c r="DK889" s="33"/>
      <c r="DL889" s="33"/>
      <c r="DM889" s="33"/>
      <c r="DN889" s="12">
        <v>5101083</v>
      </c>
      <c r="DS889" s="21"/>
      <c r="DT889" s="21"/>
      <c r="DU889" s="21"/>
    </row>
    <row r="890" spans="72:125" ht="13.5" customHeight="1">
      <c r="BT890" s="12">
        <v>5102083</v>
      </c>
      <c r="BU890" s="3">
        <f>[1]monsters!$N890</f>
        <v>0</v>
      </c>
      <c r="BV890" s="3">
        <f>[1]monsters!$O890</f>
        <v>0</v>
      </c>
      <c r="BW890" s="3">
        <f>[1]monsters!$P890</f>
        <v>0</v>
      </c>
      <c r="BX890" s="3">
        <f>[1]monsters!$Q890</f>
        <v>0</v>
      </c>
      <c r="BY890" s="3">
        <f>[1]monsters!$R890</f>
        <v>0</v>
      </c>
      <c r="BZ890" s="3">
        <f>[1]monsters!$S890</f>
        <v>0</v>
      </c>
      <c r="CA890" s="3">
        <f>[1]monsters!$K890</f>
        <v>0</v>
      </c>
      <c r="CB890" s="12">
        <f>[1]monsters!$D890</f>
        <v>0</v>
      </c>
      <c r="CC890" s="12">
        <f t="shared" ca="1" si="67"/>
        <v>0.1</v>
      </c>
      <c r="CD890" s="12">
        <f t="shared" ca="1" si="68"/>
        <v>111.98884848484801</v>
      </c>
      <c r="CE890" s="12">
        <f t="shared" ca="1" si="69"/>
        <v>11.1988848484848</v>
      </c>
      <c r="CS890" s="33"/>
      <c r="CT890" s="33"/>
      <c r="CU890" s="33"/>
      <c r="CV890" s="32"/>
      <c r="CW890" s="32"/>
      <c r="CX890" s="32"/>
      <c r="CY890" s="34"/>
      <c r="CZ890" s="34"/>
      <c r="DA890" s="34"/>
      <c r="DB890" s="33"/>
      <c r="DC890" s="33"/>
      <c r="DD890" s="33"/>
      <c r="DE890" s="33"/>
      <c r="DF890" s="33"/>
      <c r="DG890" s="33"/>
      <c r="DH890" s="34"/>
      <c r="DI890" s="34"/>
      <c r="DJ890" s="34"/>
      <c r="DK890" s="33"/>
      <c r="DL890" s="33"/>
      <c r="DM890" s="33"/>
      <c r="DN890" s="12">
        <v>5102083</v>
      </c>
      <c r="DS890" s="21"/>
      <c r="DT890" s="21"/>
      <c r="DU890" s="21"/>
    </row>
    <row r="891" spans="72:125" ht="13.5" customHeight="1">
      <c r="BT891" s="12">
        <v>5206084</v>
      </c>
      <c r="BU891" s="3">
        <f>[1]monsters!$N891</f>
        <v>0</v>
      </c>
      <c r="BV891" s="3">
        <f>[1]monsters!$O891</f>
        <v>0</v>
      </c>
      <c r="BW891" s="3">
        <f>[1]monsters!$P891</f>
        <v>0</v>
      </c>
      <c r="BX891" s="3">
        <f>[1]monsters!$Q891</f>
        <v>0</v>
      </c>
      <c r="BY891" s="3">
        <f>[1]monsters!$R891</f>
        <v>0</v>
      </c>
      <c r="BZ891" s="3">
        <f>[1]monsters!$S891</f>
        <v>0</v>
      </c>
      <c r="CA891" s="3">
        <f>[1]monsters!$K891</f>
        <v>0</v>
      </c>
      <c r="CB891" s="12">
        <f>[1]monsters!$D891</f>
        <v>0</v>
      </c>
      <c r="CC891" s="12">
        <f t="shared" ca="1" si="67"/>
        <v>0.1</v>
      </c>
      <c r="CD891" s="12">
        <f t="shared" ca="1" si="68"/>
        <v>122.29566060606101</v>
      </c>
      <c r="CE891" s="12">
        <f t="shared" ca="1" si="69"/>
        <v>12.2295660606061</v>
      </c>
      <c r="CS891" s="33"/>
      <c r="CT891" s="33"/>
      <c r="CU891" s="33"/>
      <c r="CV891" s="32"/>
      <c r="CW891" s="32"/>
      <c r="CX891" s="32"/>
      <c r="CY891" s="34"/>
      <c r="CZ891" s="34"/>
      <c r="DA891" s="34"/>
      <c r="DB891" s="33"/>
      <c r="DC891" s="33"/>
      <c r="DD891" s="33"/>
      <c r="DE891" s="33"/>
      <c r="DF891" s="33"/>
      <c r="DG891" s="33"/>
      <c r="DH891" s="34"/>
      <c r="DI891" s="34"/>
      <c r="DJ891" s="34"/>
      <c r="DK891" s="33"/>
      <c r="DL891" s="33"/>
      <c r="DM891" s="33"/>
      <c r="DN891" s="12">
        <v>5206084</v>
      </c>
      <c r="DS891" s="21"/>
      <c r="DT891" s="21"/>
      <c r="DU891" s="21"/>
    </row>
    <row r="892" spans="72:125" ht="13.5" customHeight="1">
      <c r="BT892" s="12">
        <v>5406084</v>
      </c>
      <c r="BU892" s="3">
        <f>[1]monsters!$N892</f>
        <v>0</v>
      </c>
      <c r="BV892" s="3">
        <f>[1]monsters!$O892</f>
        <v>0</v>
      </c>
      <c r="BW892" s="3">
        <f>[1]monsters!$P892</f>
        <v>0</v>
      </c>
      <c r="BX892" s="3">
        <f>[1]monsters!$Q892</f>
        <v>0</v>
      </c>
      <c r="BY892" s="3">
        <f>[1]monsters!$R892</f>
        <v>0</v>
      </c>
      <c r="BZ892" s="3">
        <f>[1]monsters!$S892</f>
        <v>0</v>
      </c>
      <c r="CA892" s="3">
        <f>[1]monsters!$K892</f>
        <v>0</v>
      </c>
      <c r="CB892" s="12">
        <f>[1]monsters!$D892</f>
        <v>0</v>
      </c>
      <c r="CC892" s="12">
        <f t="shared" ca="1" si="67"/>
        <v>0.1</v>
      </c>
      <c r="CD892" s="12">
        <f t="shared" ca="1" si="68"/>
        <v>113.931534986226</v>
      </c>
      <c r="CE892" s="12">
        <f t="shared" ca="1" si="69"/>
        <v>11.393153498622601</v>
      </c>
      <c r="CS892" s="33"/>
      <c r="CT892" s="33"/>
      <c r="CU892" s="33"/>
      <c r="CV892" s="32"/>
      <c r="CW892" s="32"/>
      <c r="CX892" s="32"/>
      <c r="CY892" s="34"/>
      <c r="CZ892" s="34"/>
      <c r="DA892" s="34"/>
      <c r="DB892" s="33"/>
      <c r="DC892" s="33"/>
      <c r="DD892" s="33"/>
      <c r="DE892" s="33"/>
      <c r="DF892" s="33"/>
      <c r="DG892" s="33"/>
      <c r="DH892" s="34"/>
      <c r="DI892" s="34"/>
      <c r="DJ892" s="34"/>
      <c r="DK892" s="33"/>
      <c r="DL892" s="33"/>
      <c r="DM892" s="33"/>
      <c r="DN892" s="12">
        <v>5406084</v>
      </c>
      <c r="DS892" s="21"/>
      <c r="DT892" s="21"/>
      <c r="DU892" s="21"/>
    </row>
    <row r="893" spans="72:125" ht="13.5" customHeight="1">
      <c r="BT893" s="12">
        <v>5205084</v>
      </c>
      <c r="BU893" s="3">
        <f>[1]monsters!$N893</f>
        <v>0</v>
      </c>
      <c r="BV893" s="3">
        <f>[1]monsters!$O893</f>
        <v>0</v>
      </c>
      <c r="BW893" s="3">
        <f>[1]monsters!$P893</f>
        <v>0</v>
      </c>
      <c r="BX893" s="3">
        <f>[1]monsters!$Q893</f>
        <v>0</v>
      </c>
      <c r="BY893" s="3">
        <f>[1]monsters!$R893</f>
        <v>0</v>
      </c>
      <c r="BZ893" s="3">
        <f>[1]monsters!$S893</f>
        <v>0</v>
      </c>
      <c r="CA893" s="3">
        <f>[1]monsters!$K893</f>
        <v>0</v>
      </c>
      <c r="CB893" s="12">
        <f>[1]monsters!$D893</f>
        <v>0</v>
      </c>
      <c r="CC893" s="12">
        <f t="shared" ca="1" si="67"/>
        <v>0.1</v>
      </c>
      <c r="CD893" s="12">
        <f t="shared" ca="1" si="68"/>
        <v>133.18206060606099</v>
      </c>
      <c r="CE893" s="12">
        <f t="shared" ca="1" si="69"/>
        <v>13.3182060606061</v>
      </c>
      <c r="CS893" s="33"/>
      <c r="CT893" s="33"/>
      <c r="CU893" s="33"/>
      <c r="CV893" s="32"/>
      <c r="CW893" s="32"/>
      <c r="CX893" s="32"/>
      <c r="CY893" s="34"/>
      <c r="CZ893" s="34"/>
      <c r="DA893" s="34"/>
      <c r="DB893" s="33"/>
      <c r="DC893" s="33"/>
      <c r="DD893" s="33"/>
      <c r="DE893" s="33"/>
      <c r="DF893" s="33"/>
      <c r="DG893" s="33"/>
      <c r="DH893" s="34"/>
      <c r="DI893" s="34"/>
      <c r="DJ893" s="34"/>
      <c r="DK893" s="33"/>
      <c r="DL893" s="33"/>
      <c r="DM893" s="33"/>
      <c r="DN893" s="12">
        <v>5205084</v>
      </c>
      <c r="DS893" s="21"/>
      <c r="DT893" s="21"/>
      <c r="DU893" s="21"/>
    </row>
    <row r="894" spans="72:125" ht="13.5" customHeight="1">
      <c r="BT894" s="12">
        <v>5405084</v>
      </c>
      <c r="BU894" s="3">
        <f>[1]monsters!$N894</f>
        <v>0</v>
      </c>
      <c r="BV894" s="3">
        <f>[1]monsters!$O894</f>
        <v>0</v>
      </c>
      <c r="BW894" s="3">
        <f>[1]monsters!$P894</f>
        <v>0</v>
      </c>
      <c r="BX894" s="3">
        <f>[1]monsters!$Q894</f>
        <v>0</v>
      </c>
      <c r="BY894" s="3">
        <f>[1]monsters!$R894</f>
        <v>0</v>
      </c>
      <c r="BZ894" s="3">
        <f>[1]monsters!$S894</f>
        <v>0</v>
      </c>
      <c r="CA894" s="3">
        <f>[1]monsters!$K894</f>
        <v>0</v>
      </c>
      <c r="CB894" s="12">
        <f>[1]monsters!$D894</f>
        <v>0</v>
      </c>
      <c r="CC894" s="12">
        <f t="shared" ca="1" si="67"/>
        <v>0.1</v>
      </c>
      <c r="CD894" s="12">
        <f t="shared" ca="1" si="68"/>
        <v>118.92113498622599</v>
      </c>
      <c r="CE894" s="12">
        <f t="shared" ca="1" si="69"/>
        <v>11.892113498622599</v>
      </c>
      <c r="CS894" s="33"/>
      <c r="CT894" s="33"/>
      <c r="CU894" s="33"/>
      <c r="CV894" s="32"/>
      <c r="CW894" s="32"/>
      <c r="CX894" s="32"/>
      <c r="CY894" s="34"/>
      <c r="CZ894" s="34"/>
      <c r="DA894" s="34"/>
      <c r="DB894" s="33"/>
      <c r="DC894" s="33"/>
      <c r="DD894" s="33"/>
      <c r="DE894" s="33"/>
      <c r="DF894" s="33"/>
      <c r="DG894" s="33"/>
      <c r="DH894" s="34"/>
      <c r="DI894" s="34"/>
      <c r="DJ894" s="34"/>
      <c r="DK894" s="34"/>
      <c r="DL894" s="34"/>
      <c r="DM894" s="34"/>
      <c r="DN894" s="12">
        <v>5405084</v>
      </c>
      <c r="DS894" s="21"/>
      <c r="DT894" s="21"/>
      <c r="DU894" s="21"/>
    </row>
    <row r="895" spans="72:125" ht="13.5" customHeight="1">
      <c r="BT895" s="12">
        <v>5203084</v>
      </c>
      <c r="BU895" s="3">
        <f>[1]monsters!$N895</f>
        <v>0</v>
      </c>
      <c r="BV895" s="3">
        <f>[1]monsters!$O895</f>
        <v>0</v>
      </c>
      <c r="BW895" s="3">
        <f>[1]monsters!$P895</f>
        <v>0</v>
      </c>
      <c r="BX895" s="3">
        <f>[1]monsters!$Q895</f>
        <v>0</v>
      </c>
      <c r="BY895" s="3">
        <f>[1]monsters!$R895</f>
        <v>0</v>
      </c>
      <c r="BZ895" s="3">
        <f>[1]monsters!$S895</f>
        <v>0</v>
      </c>
      <c r="CA895" s="3">
        <f>[1]monsters!$K895</f>
        <v>0</v>
      </c>
      <c r="CB895" s="12">
        <f>[1]monsters!$D895</f>
        <v>0</v>
      </c>
      <c r="CC895" s="12">
        <f t="shared" ca="1" si="67"/>
        <v>0.1</v>
      </c>
      <c r="CD895" s="12">
        <f t="shared" ca="1" si="68"/>
        <v>107.780460606061</v>
      </c>
      <c r="CE895" s="12">
        <f t="shared" ca="1" si="69"/>
        <v>10.778046060606099</v>
      </c>
      <c r="CS895" s="33"/>
      <c r="CT895" s="33"/>
      <c r="CU895" s="33"/>
      <c r="CV895" s="32"/>
      <c r="CW895" s="32"/>
      <c r="CX895" s="32"/>
      <c r="CY895" s="34"/>
      <c r="CZ895" s="34"/>
      <c r="DA895" s="34"/>
      <c r="DB895" s="33"/>
      <c r="DC895" s="33"/>
      <c r="DD895" s="33"/>
      <c r="DE895" s="33"/>
      <c r="DF895" s="33"/>
      <c r="DG895" s="33"/>
      <c r="DH895" s="34"/>
      <c r="DI895" s="34"/>
      <c r="DJ895" s="34"/>
      <c r="DK895" s="34"/>
      <c r="DL895" s="34"/>
      <c r="DM895" s="34"/>
      <c r="DN895" s="12">
        <v>5203084</v>
      </c>
      <c r="DS895" s="21"/>
      <c r="DT895" s="21"/>
      <c r="DU895" s="21"/>
    </row>
    <row r="896" spans="72:125" ht="13.5" customHeight="1">
      <c r="BT896" s="12">
        <v>5403084</v>
      </c>
      <c r="BU896" s="3">
        <f>[1]monsters!$N896</f>
        <v>0</v>
      </c>
      <c r="BV896" s="3">
        <f>[1]monsters!$O896</f>
        <v>0</v>
      </c>
      <c r="BW896" s="3">
        <f>[1]monsters!$P896</f>
        <v>0</v>
      </c>
      <c r="BX896" s="3">
        <f>[1]monsters!$Q896</f>
        <v>0</v>
      </c>
      <c r="BY896" s="3">
        <f>[1]monsters!$R896</f>
        <v>0</v>
      </c>
      <c r="BZ896" s="3">
        <f>[1]monsters!$S896</f>
        <v>0</v>
      </c>
      <c r="CA896" s="3">
        <f>[1]monsters!$K896</f>
        <v>0</v>
      </c>
      <c r="CB896" s="12">
        <f>[1]monsters!$D896</f>
        <v>0</v>
      </c>
      <c r="CC896" s="12">
        <f t="shared" ca="1" si="67"/>
        <v>0.1</v>
      </c>
      <c r="CD896" s="12">
        <f t="shared" ca="1" si="68"/>
        <v>98.962734986225897</v>
      </c>
      <c r="CE896" s="12">
        <f t="shared" ca="1" si="69"/>
        <v>9.8962734986225893</v>
      </c>
      <c r="CS896" s="33"/>
      <c r="CT896" s="33"/>
      <c r="CU896" s="33"/>
      <c r="CV896" s="32"/>
      <c r="CW896" s="32"/>
      <c r="CX896" s="32"/>
      <c r="CY896" s="34"/>
      <c r="CZ896" s="34"/>
      <c r="DA896" s="34"/>
      <c r="DB896" s="33"/>
      <c r="DC896" s="33"/>
      <c r="DD896" s="33"/>
      <c r="DE896" s="33"/>
      <c r="DF896" s="33"/>
      <c r="DG896" s="33"/>
      <c r="DH896" s="34"/>
      <c r="DI896" s="34"/>
      <c r="DJ896" s="34"/>
      <c r="DK896" s="34"/>
      <c r="DL896" s="34"/>
      <c r="DM896" s="34"/>
      <c r="DN896" s="12">
        <v>5403084</v>
      </c>
      <c r="DS896" s="21"/>
      <c r="DT896" s="21"/>
      <c r="DU896" s="21"/>
    </row>
    <row r="897" spans="72:125" ht="13.5" customHeight="1">
      <c r="BT897" s="12">
        <v>5204084</v>
      </c>
      <c r="BU897" s="3">
        <f>[1]monsters!$N897</f>
        <v>0</v>
      </c>
      <c r="BV897" s="3">
        <f>[1]monsters!$O897</f>
        <v>0</v>
      </c>
      <c r="BW897" s="3">
        <f>[1]monsters!$P897</f>
        <v>0</v>
      </c>
      <c r="BX897" s="3">
        <f>[1]monsters!$Q897</f>
        <v>0</v>
      </c>
      <c r="BY897" s="3">
        <f>[1]monsters!$R897</f>
        <v>0</v>
      </c>
      <c r="BZ897" s="3">
        <f>[1]monsters!$S897</f>
        <v>0</v>
      </c>
      <c r="CA897" s="3">
        <f>[1]monsters!$K897</f>
        <v>0</v>
      </c>
      <c r="CB897" s="12">
        <f>[1]monsters!$D897</f>
        <v>0</v>
      </c>
      <c r="CC897" s="12">
        <f t="shared" ca="1" si="67"/>
        <v>0.1</v>
      </c>
      <c r="CD897" s="12">
        <f t="shared" ca="1" si="68"/>
        <v>111.409260606061</v>
      </c>
      <c r="CE897" s="12">
        <f t="shared" ca="1" si="69"/>
        <v>11.1409260606061</v>
      </c>
      <c r="CS897" s="33"/>
      <c r="CT897" s="33"/>
      <c r="CU897" s="33"/>
      <c r="CV897" s="32"/>
      <c r="CW897" s="32"/>
      <c r="CX897" s="32"/>
      <c r="CY897" s="34"/>
      <c r="CZ897" s="34"/>
      <c r="DA897" s="34"/>
      <c r="DB897" s="33"/>
      <c r="DC897" s="33"/>
      <c r="DD897" s="33"/>
      <c r="DE897" s="33"/>
      <c r="DF897" s="33"/>
      <c r="DG897" s="33"/>
      <c r="DH897" s="34"/>
      <c r="DI897" s="34"/>
      <c r="DJ897" s="34"/>
      <c r="DK897" s="34"/>
      <c r="DL897" s="34"/>
      <c r="DM897" s="34"/>
      <c r="DN897" s="12">
        <v>5204084</v>
      </c>
      <c r="DS897" s="21"/>
      <c r="DT897" s="21"/>
      <c r="DU897" s="21"/>
    </row>
    <row r="898" spans="72:125" ht="13.5" customHeight="1">
      <c r="BT898" s="12">
        <v>5404084</v>
      </c>
      <c r="BU898" s="3">
        <f>[1]monsters!$N898</f>
        <v>0</v>
      </c>
      <c r="BV898" s="3">
        <f>[1]monsters!$O898</f>
        <v>0</v>
      </c>
      <c r="BW898" s="3">
        <f>[1]monsters!$P898</f>
        <v>0</v>
      </c>
      <c r="BX898" s="3">
        <f>[1]monsters!$Q898</f>
        <v>0</v>
      </c>
      <c r="BY898" s="3">
        <f>[1]monsters!$R898</f>
        <v>0</v>
      </c>
      <c r="BZ898" s="3">
        <f>[1]monsters!$S898</f>
        <v>0</v>
      </c>
      <c r="CA898" s="3">
        <f>[1]monsters!$K898</f>
        <v>0</v>
      </c>
      <c r="CB898" s="12">
        <f>[1]monsters!$D898</f>
        <v>0</v>
      </c>
      <c r="CC898" s="12">
        <f t="shared" ca="1" si="67"/>
        <v>0.1</v>
      </c>
      <c r="CD898" s="12">
        <f t="shared" ca="1" si="68"/>
        <v>118.92113498622599</v>
      </c>
      <c r="CE898" s="12">
        <f t="shared" ca="1" si="69"/>
        <v>11.892113498622599</v>
      </c>
      <c r="CS898" s="33"/>
      <c r="CT898" s="33"/>
      <c r="CU898" s="33"/>
      <c r="CV898" s="32"/>
      <c r="CW898" s="32"/>
      <c r="CX898" s="32"/>
      <c r="CY898" s="34"/>
      <c r="CZ898" s="34"/>
      <c r="DA898" s="34"/>
      <c r="DB898" s="33"/>
      <c r="DC898" s="33"/>
      <c r="DD898" s="33"/>
      <c r="DE898" s="33"/>
      <c r="DF898" s="33"/>
      <c r="DG898" s="33"/>
      <c r="DH898" s="34"/>
      <c r="DI898" s="34"/>
      <c r="DJ898" s="34"/>
      <c r="DK898" s="34"/>
      <c r="DL898" s="34"/>
      <c r="DM898" s="34"/>
      <c r="DN898" s="12">
        <v>5404084</v>
      </c>
      <c r="DS898" s="21"/>
      <c r="DT898" s="21"/>
      <c r="DU898" s="21"/>
    </row>
    <row r="899" spans="72:125" ht="13.5" customHeight="1">
      <c r="BT899" s="12">
        <v>5303084</v>
      </c>
      <c r="BU899" s="3">
        <f>[1]monsters!$N899</f>
        <v>0</v>
      </c>
      <c r="BV899" s="3">
        <f>[1]monsters!$O899</f>
        <v>0</v>
      </c>
      <c r="BW899" s="3">
        <f>[1]monsters!$P899</f>
        <v>0</v>
      </c>
      <c r="BX899" s="3">
        <f>[1]monsters!$Q899</f>
        <v>0</v>
      </c>
      <c r="BY899" s="3">
        <f>[1]monsters!$R899</f>
        <v>0</v>
      </c>
      <c r="BZ899" s="3">
        <f>[1]monsters!$S899</f>
        <v>0</v>
      </c>
      <c r="CA899" s="3">
        <f>[1]monsters!$K899</f>
        <v>0</v>
      </c>
      <c r="CB899" s="12">
        <f>[1]monsters!$D899</f>
        <v>0</v>
      </c>
      <c r="CC899" s="12">
        <f t="shared" ca="1" si="67"/>
        <v>0.1</v>
      </c>
      <c r="CD899" s="12">
        <f t="shared" ca="1" si="68"/>
        <v>106.943253872054</v>
      </c>
      <c r="CE899" s="12">
        <f t="shared" ca="1" si="69"/>
        <v>10.694325387205399</v>
      </c>
      <c r="CS899" s="33"/>
      <c r="CT899" s="33"/>
      <c r="CU899" s="33"/>
      <c r="CV899" s="32"/>
      <c r="CW899" s="32"/>
      <c r="CX899" s="32"/>
      <c r="CY899" s="34"/>
      <c r="CZ899" s="34"/>
      <c r="DA899" s="34"/>
      <c r="DB899" s="33"/>
      <c r="DC899" s="33"/>
      <c r="DD899" s="33"/>
      <c r="DE899" s="33"/>
      <c r="DF899" s="33"/>
      <c r="DG899" s="33"/>
      <c r="DH899" s="34"/>
      <c r="DI899" s="34"/>
      <c r="DJ899" s="34"/>
      <c r="DK899" s="34"/>
      <c r="DL899" s="34"/>
      <c r="DM899" s="34"/>
      <c r="DN899" s="12">
        <v>5303084</v>
      </c>
      <c r="DS899" s="21"/>
      <c r="DT899" s="21"/>
      <c r="DU899" s="21"/>
    </row>
    <row r="900" spans="72:125" ht="13.5" customHeight="1">
      <c r="BT900" s="12">
        <v>5304084</v>
      </c>
      <c r="BU900" s="3">
        <f>[1]monsters!$N900</f>
        <v>0</v>
      </c>
      <c r="BV900" s="3">
        <f>[1]monsters!$O900</f>
        <v>0</v>
      </c>
      <c r="BW900" s="3">
        <f>[1]monsters!$P900</f>
        <v>0</v>
      </c>
      <c r="BX900" s="3">
        <f>[1]monsters!$Q900</f>
        <v>0</v>
      </c>
      <c r="BY900" s="3">
        <f>[1]monsters!$R900</f>
        <v>0</v>
      </c>
      <c r="BZ900" s="3">
        <f>[1]monsters!$S900</f>
        <v>0</v>
      </c>
      <c r="CA900" s="3">
        <f>[1]monsters!$K900</f>
        <v>0</v>
      </c>
      <c r="CB900" s="12">
        <f>[1]monsters!$D900</f>
        <v>0</v>
      </c>
      <c r="CC900" s="12">
        <f t="shared" ref="CC900:CC963" ca="1" si="70">INDEX($CK$5:$CK$10,MATCH($CC900,$CJ$5:$CJ$10))</f>
        <v>0.1</v>
      </c>
      <c r="CD900" s="12">
        <f t="shared" ca="1" si="68"/>
        <v>111.02565387205399</v>
      </c>
      <c r="CE900" s="12">
        <f t="shared" ca="1" si="69"/>
        <v>11.1025653872054</v>
      </c>
      <c r="CS900" s="33"/>
      <c r="CT900" s="33"/>
      <c r="CU900" s="33"/>
      <c r="CV900" s="32"/>
      <c r="CW900" s="32"/>
      <c r="CX900" s="32"/>
      <c r="CY900" s="34"/>
      <c r="CZ900" s="34"/>
      <c r="DA900" s="34"/>
      <c r="DB900" s="33"/>
      <c r="DC900" s="33"/>
      <c r="DD900" s="33"/>
      <c r="DE900" s="33"/>
      <c r="DF900" s="33"/>
      <c r="DG900" s="33"/>
      <c r="DH900" s="34"/>
      <c r="DI900" s="34"/>
      <c r="DJ900" s="34"/>
      <c r="DK900" s="34"/>
      <c r="DL900" s="34"/>
      <c r="DM900" s="34"/>
      <c r="DN900" s="12">
        <v>5304084</v>
      </c>
      <c r="DS900" s="21"/>
      <c r="DT900" s="21"/>
      <c r="DU900" s="21"/>
    </row>
    <row r="901" spans="72:125" ht="13.5" customHeight="1">
      <c r="BT901" s="12">
        <v>5503084</v>
      </c>
      <c r="BU901" s="3">
        <f>[1]monsters!$N901</f>
        <v>0</v>
      </c>
      <c r="BV901" s="3">
        <f>[1]monsters!$O901</f>
        <v>0</v>
      </c>
      <c r="BW901" s="3">
        <f>[1]monsters!$P901</f>
        <v>0</v>
      </c>
      <c r="BX901" s="3">
        <f>[1]monsters!$Q901</f>
        <v>0</v>
      </c>
      <c r="BY901" s="3">
        <f>[1]monsters!$R901</f>
        <v>0</v>
      </c>
      <c r="BZ901" s="3">
        <f>[1]monsters!$S901</f>
        <v>0</v>
      </c>
      <c r="CA901" s="3">
        <f>[1]monsters!$K901</f>
        <v>0</v>
      </c>
      <c r="CB901" s="12">
        <f>[1]monsters!$D901</f>
        <v>0</v>
      </c>
      <c r="CC901" s="12">
        <f t="shared" ca="1" si="70"/>
        <v>0.1</v>
      </c>
      <c r="CD901" s="12">
        <f t="shared" ref="CD901:CD964" ca="1" si="71">(BW901/33/(1-CC901)/(1-0)+BU901*(1+0.5*0.1)*0.9)</f>
        <v>127.49524040404</v>
      </c>
      <c r="CE901" s="12">
        <f t="shared" ref="CE901:CE964" ca="1" si="72">(BW901/33/(1-CC901)/(1-0)+BU901*(1+0.5*0.1)*0.9)*0.1</f>
        <v>12.749524040403999</v>
      </c>
      <c r="CS901" s="33"/>
      <c r="CT901" s="33"/>
      <c r="CU901" s="33"/>
      <c r="CV901" s="32"/>
      <c r="CW901" s="32"/>
      <c r="CX901" s="32"/>
      <c r="CY901" s="34"/>
      <c r="CZ901" s="34"/>
      <c r="DA901" s="34"/>
      <c r="DB901" s="33"/>
      <c r="DC901" s="33"/>
      <c r="DD901" s="33"/>
      <c r="DE901" s="33"/>
      <c r="DF901" s="33"/>
      <c r="DG901" s="33"/>
      <c r="DH901" s="34"/>
      <c r="DI901" s="34"/>
      <c r="DJ901" s="34"/>
      <c r="DK901" s="34"/>
      <c r="DL901" s="34"/>
      <c r="DM901" s="34"/>
      <c r="DN901" s="12">
        <v>5503084</v>
      </c>
      <c r="DS901" s="21"/>
      <c r="DT901" s="21"/>
      <c r="DU901" s="21"/>
    </row>
    <row r="902" spans="72:125" ht="13.5" customHeight="1">
      <c r="BT902" s="12">
        <v>5504084</v>
      </c>
      <c r="BU902" s="3">
        <f>[1]monsters!$N902</f>
        <v>0</v>
      </c>
      <c r="BV902" s="3">
        <f>[1]monsters!$O902</f>
        <v>0</v>
      </c>
      <c r="BW902" s="3">
        <f>[1]monsters!$P902</f>
        <v>0</v>
      </c>
      <c r="BX902" s="3">
        <f>[1]monsters!$Q902</f>
        <v>0</v>
      </c>
      <c r="BY902" s="3">
        <f>[1]monsters!$R902</f>
        <v>0</v>
      </c>
      <c r="BZ902" s="3">
        <f>[1]monsters!$S902</f>
        <v>0</v>
      </c>
      <c r="CA902" s="3">
        <f>[1]monsters!$K902</f>
        <v>0</v>
      </c>
      <c r="CB902" s="12">
        <f>[1]monsters!$D902</f>
        <v>0</v>
      </c>
      <c r="CC902" s="12">
        <f t="shared" ca="1" si="70"/>
        <v>0.1</v>
      </c>
      <c r="CD902" s="12">
        <f t="shared" ca="1" si="71"/>
        <v>138.38164040404001</v>
      </c>
      <c r="CE902" s="12">
        <f t="shared" ca="1" si="72"/>
        <v>13.838164040403999</v>
      </c>
      <c r="CS902" s="33"/>
      <c r="CT902" s="33"/>
      <c r="CU902" s="33"/>
      <c r="CV902" s="32"/>
      <c r="CW902" s="32"/>
      <c r="CX902" s="32"/>
      <c r="CY902" s="34"/>
      <c r="CZ902" s="34"/>
      <c r="DA902" s="34"/>
      <c r="DB902" s="33"/>
      <c r="DC902" s="33"/>
      <c r="DD902" s="33"/>
      <c r="DE902" s="33"/>
      <c r="DF902" s="33"/>
      <c r="DG902" s="33"/>
      <c r="DH902" s="34"/>
      <c r="DI902" s="34"/>
      <c r="DJ902" s="34"/>
      <c r="DK902" s="34"/>
      <c r="DL902" s="34"/>
      <c r="DM902" s="34"/>
      <c r="DN902" s="12">
        <v>5504084</v>
      </c>
      <c r="DS902" s="21"/>
      <c r="DT902" s="21"/>
      <c r="DU902" s="21"/>
    </row>
    <row r="903" spans="72:125" ht="13.5" customHeight="1">
      <c r="BT903" s="12">
        <v>5101084</v>
      </c>
      <c r="BU903" s="3">
        <f>[1]monsters!$N903</f>
        <v>0</v>
      </c>
      <c r="BV903" s="3">
        <f>[1]monsters!$O903</f>
        <v>0</v>
      </c>
      <c r="BW903" s="3">
        <f>[1]monsters!$P903</f>
        <v>0</v>
      </c>
      <c r="BX903" s="3">
        <f>[1]monsters!$Q903</f>
        <v>0</v>
      </c>
      <c r="BY903" s="3">
        <f>[1]monsters!$R903</f>
        <v>0</v>
      </c>
      <c r="BZ903" s="3">
        <f>[1]monsters!$S903</f>
        <v>0</v>
      </c>
      <c r="CA903" s="3">
        <f>[1]monsters!$K903</f>
        <v>0</v>
      </c>
      <c r="CB903" s="12">
        <f>[1]monsters!$D903</f>
        <v>0</v>
      </c>
      <c r="CC903" s="12">
        <f t="shared" ca="1" si="70"/>
        <v>0.1</v>
      </c>
      <c r="CD903" s="12">
        <f t="shared" ca="1" si="71"/>
        <v>121.06084848484799</v>
      </c>
      <c r="CE903" s="12">
        <f t="shared" ca="1" si="72"/>
        <v>12.1060848484848</v>
      </c>
      <c r="CS903" s="33"/>
      <c r="CT903" s="33"/>
      <c r="CU903" s="33"/>
      <c r="CV903" s="32"/>
      <c r="CW903" s="32"/>
      <c r="CX903" s="32"/>
      <c r="CY903" s="34"/>
      <c r="CZ903" s="34"/>
      <c r="DA903" s="34"/>
      <c r="DB903" s="33"/>
      <c r="DC903" s="33"/>
      <c r="DD903" s="33"/>
      <c r="DE903" s="33"/>
      <c r="DF903" s="33"/>
      <c r="DG903" s="33"/>
      <c r="DH903" s="34"/>
      <c r="DI903" s="34"/>
      <c r="DJ903" s="34"/>
      <c r="DK903" s="34"/>
      <c r="DL903" s="34"/>
      <c r="DM903" s="34"/>
      <c r="DN903" s="12">
        <v>5101084</v>
      </c>
      <c r="DS903" s="21"/>
      <c r="DT903" s="21"/>
      <c r="DU903" s="21"/>
    </row>
    <row r="904" spans="72:125" ht="13.5" customHeight="1">
      <c r="BT904" s="12">
        <v>5102084</v>
      </c>
      <c r="BU904" s="3">
        <f>[1]monsters!$N904</f>
        <v>0</v>
      </c>
      <c r="BV904" s="3">
        <f>[1]monsters!$O904</f>
        <v>0</v>
      </c>
      <c r="BW904" s="3">
        <f>[1]monsters!$P904</f>
        <v>0</v>
      </c>
      <c r="BX904" s="3">
        <f>[1]monsters!$Q904</f>
        <v>0</v>
      </c>
      <c r="BY904" s="3">
        <f>[1]monsters!$R904</f>
        <v>0</v>
      </c>
      <c r="BZ904" s="3">
        <f>[1]monsters!$S904</f>
        <v>0</v>
      </c>
      <c r="CA904" s="3">
        <f>[1]monsters!$K904</f>
        <v>0</v>
      </c>
      <c r="CB904" s="12">
        <f>[1]monsters!$D904</f>
        <v>0</v>
      </c>
      <c r="CC904" s="12">
        <f t="shared" ca="1" si="70"/>
        <v>0.1</v>
      </c>
      <c r="CD904" s="12">
        <f t="shared" ca="1" si="71"/>
        <v>111.98884848484801</v>
      </c>
      <c r="CE904" s="12">
        <f t="shared" ca="1" si="72"/>
        <v>11.1988848484848</v>
      </c>
      <c r="CS904" s="33"/>
      <c r="CT904" s="33"/>
      <c r="CU904" s="33"/>
      <c r="CV904" s="32"/>
      <c r="CW904" s="32"/>
      <c r="CX904" s="32"/>
      <c r="CY904" s="34"/>
      <c r="CZ904" s="34"/>
      <c r="DA904" s="34"/>
      <c r="DB904" s="33"/>
      <c r="DC904" s="33"/>
      <c r="DD904" s="33"/>
      <c r="DE904" s="33"/>
      <c r="DF904" s="33"/>
      <c r="DG904" s="33"/>
      <c r="DH904" s="34"/>
      <c r="DI904" s="34"/>
      <c r="DJ904" s="34"/>
      <c r="DK904" s="34"/>
      <c r="DL904" s="34"/>
      <c r="DM904" s="34"/>
      <c r="DN904" s="12">
        <v>5102084</v>
      </c>
      <c r="DS904" s="21"/>
      <c r="DT904" s="21"/>
      <c r="DU904" s="21"/>
    </row>
    <row r="905" spans="72:125" ht="13.5" customHeight="1">
      <c r="BT905" s="12">
        <v>5206085</v>
      </c>
      <c r="BU905" s="3">
        <f>[1]monsters!$N905</f>
        <v>0</v>
      </c>
      <c r="BV905" s="3">
        <f>[1]monsters!$O905</f>
        <v>0</v>
      </c>
      <c r="BW905" s="3">
        <f>[1]monsters!$P905</f>
        <v>0</v>
      </c>
      <c r="BX905" s="3">
        <f>[1]monsters!$Q905</f>
        <v>0</v>
      </c>
      <c r="BY905" s="3">
        <f>[1]monsters!$R905</f>
        <v>0</v>
      </c>
      <c r="BZ905" s="3">
        <f>[1]monsters!$S905</f>
        <v>0</v>
      </c>
      <c r="CA905" s="3">
        <f>[1]monsters!$K905</f>
        <v>0</v>
      </c>
      <c r="CB905" s="12">
        <f>[1]monsters!$D905</f>
        <v>0</v>
      </c>
      <c r="CC905" s="12">
        <f t="shared" ca="1" si="70"/>
        <v>0.1</v>
      </c>
      <c r="CD905" s="12">
        <f t="shared" ca="1" si="71"/>
        <v>122.29566060606101</v>
      </c>
      <c r="CE905" s="12">
        <f t="shared" ca="1" si="72"/>
        <v>12.2295660606061</v>
      </c>
      <c r="CS905" s="33"/>
      <c r="CT905" s="33"/>
      <c r="CU905" s="33"/>
      <c r="CV905" s="32"/>
      <c r="CW905" s="32"/>
      <c r="CX905" s="32"/>
      <c r="CY905" s="34"/>
      <c r="CZ905" s="34"/>
      <c r="DA905" s="34"/>
      <c r="DB905" s="33"/>
      <c r="DC905" s="33"/>
      <c r="DD905" s="33"/>
      <c r="DE905" s="33"/>
      <c r="DF905" s="33"/>
      <c r="DG905" s="33"/>
      <c r="DH905" s="34"/>
      <c r="DI905" s="34"/>
      <c r="DJ905" s="34"/>
      <c r="DK905" s="34"/>
      <c r="DL905" s="34"/>
      <c r="DM905" s="34"/>
      <c r="DN905" s="12">
        <v>5206085</v>
      </c>
      <c r="DS905" s="21"/>
      <c r="DT905" s="21"/>
      <c r="DU905" s="21"/>
    </row>
    <row r="906" spans="72:125" ht="13.5" customHeight="1">
      <c r="BT906" s="12">
        <v>5406085</v>
      </c>
      <c r="BU906" s="3">
        <f>[1]monsters!$N906</f>
        <v>0</v>
      </c>
      <c r="BV906" s="3">
        <f>[1]monsters!$O906</f>
        <v>0</v>
      </c>
      <c r="BW906" s="3">
        <f>[1]monsters!$P906</f>
        <v>0</v>
      </c>
      <c r="BX906" s="3">
        <f>[1]monsters!$Q906</f>
        <v>0</v>
      </c>
      <c r="BY906" s="3">
        <f>[1]monsters!$R906</f>
        <v>0</v>
      </c>
      <c r="BZ906" s="3">
        <f>[1]monsters!$S906</f>
        <v>0</v>
      </c>
      <c r="CA906" s="3">
        <f>[1]monsters!$K906</f>
        <v>0</v>
      </c>
      <c r="CB906" s="12">
        <f>[1]monsters!$D906</f>
        <v>0</v>
      </c>
      <c r="CC906" s="12">
        <f t="shared" ca="1" si="70"/>
        <v>0.1</v>
      </c>
      <c r="CD906" s="12">
        <f t="shared" ca="1" si="71"/>
        <v>113.931534986226</v>
      </c>
      <c r="CE906" s="12">
        <f t="shared" ca="1" si="72"/>
        <v>11.393153498622601</v>
      </c>
      <c r="CS906" s="33"/>
      <c r="CT906" s="33"/>
      <c r="CU906" s="33"/>
      <c r="CV906" s="32"/>
      <c r="CW906" s="32"/>
      <c r="CX906" s="32"/>
      <c r="CY906" s="34"/>
      <c r="CZ906" s="34"/>
      <c r="DA906" s="34"/>
      <c r="DB906" s="33"/>
      <c r="DC906" s="33"/>
      <c r="DD906" s="33"/>
      <c r="DE906" s="33"/>
      <c r="DF906" s="33"/>
      <c r="DG906" s="33"/>
      <c r="DH906" s="34"/>
      <c r="DI906" s="34"/>
      <c r="DJ906" s="34"/>
      <c r="DK906" s="34"/>
      <c r="DL906" s="34"/>
      <c r="DM906" s="34"/>
      <c r="DN906" s="12">
        <v>5406085</v>
      </c>
      <c r="DS906" s="21"/>
      <c r="DT906" s="21"/>
      <c r="DU906" s="21"/>
    </row>
    <row r="907" spans="72:125" ht="13.5" customHeight="1">
      <c r="BT907" s="12">
        <v>5205085</v>
      </c>
      <c r="BU907" s="3">
        <f>[1]monsters!$N907</f>
        <v>0</v>
      </c>
      <c r="BV907" s="3">
        <f>[1]monsters!$O907</f>
        <v>0</v>
      </c>
      <c r="BW907" s="3">
        <f>[1]monsters!$P907</f>
        <v>0</v>
      </c>
      <c r="BX907" s="3">
        <f>[1]monsters!$Q907</f>
        <v>0</v>
      </c>
      <c r="BY907" s="3">
        <f>[1]monsters!$R907</f>
        <v>0</v>
      </c>
      <c r="BZ907" s="3">
        <f>[1]monsters!$S907</f>
        <v>0</v>
      </c>
      <c r="CA907" s="3">
        <f>[1]monsters!$K907</f>
        <v>0</v>
      </c>
      <c r="CB907" s="12">
        <f>[1]monsters!$D907</f>
        <v>0</v>
      </c>
      <c r="CC907" s="12">
        <f t="shared" ca="1" si="70"/>
        <v>0.1</v>
      </c>
      <c r="CD907" s="12">
        <f t="shared" ca="1" si="71"/>
        <v>133.18206060606099</v>
      </c>
      <c r="CE907" s="12">
        <f t="shared" ca="1" si="72"/>
        <v>13.3182060606061</v>
      </c>
      <c r="CS907" s="33"/>
      <c r="CT907" s="33"/>
      <c r="CU907" s="33"/>
      <c r="CV907" s="32"/>
      <c r="CW907" s="32"/>
      <c r="CX907" s="32"/>
      <c r="CY907" s="34"/>
      <c r="CZ907" s="34"/>
      <c r="DA907" s="34"/>
      <c r="DB907" s="33"/>
      <c r="DC907" s="33"/>
      <c r="DD907" s="33"/>
      <c r="DE907" s="33"/>
      <c r="DF907" s="33"/>
      <c r="DG907" s="33"/>
      <c r="DH907" s="34"/>
      <c r="DI907" s="34"/>
      <c r="DJ907" s="34"/>
      <c r="DK907" s="34"/>
      <c r="DL907" s="34"/>
      <c r="DM907" s="34"/>
      <c r="DN907" s="12">
        <v>5205085</v>
      </c>
      <c r="DS907" s="21"/>
      <c r="DT907" s="21"/>
      <c r="DU907" s="21"/>
    </row>
    <row r="908" spans="72:125" ht="13.5" customHeight="1">
      <c r="BT908" s="12">
        <v>5405085</v>
      </c>
      <c r="BU908" s="3">
        <f>[1]monsters!$N908</f>
        <v>0</v>
      </c>
      <c r="BV908" s="3">
        <f>[1]monsters!$O908</f>
        <v>0</v>
      </c>
      <c r="BW908" s="3">
        <f>[1]monsters!$P908</f>
        <v>0</v>
      </c>
      <c r="BX908" s="3">
        <f>[1]monsters!$Q908</f>
        <v>0</v>
      </c>
      <c r="BY908" s="3">
        <f>[1]monsters!$R908</f>
        <v>0</v>
      </c>
      <c r="BZ908" s="3">
        <f>[1]monsters!$S908</f>
        <v>0</v>
      </c>
      <c r="CA908" s="3">
        <f>[1]monsters!$K908</f>
        <v>0</v>
      </c>
      <c r="CB908" s="12">
        <f>[1]monsters!$D908</f>
        <v>0</v>
      </c>
      <c r="CC908" s="12">
        <f t="shared" ca="1" si="70"/>
        <v>0.1</v>
      </c>
      <c r="CD908" s="12">
        <f t="shared" ca="1" si="71"/>
        <v>118.92113498622599</v>
      </c>
      <c r="CE908" s="12">
        <f t="shared" ca="1" si="72"/>
        <v>11.892113498622599</v>
      </c>
      <c r="CS908" s="33"/>
      <c r="CT908" s="33"/>
      <c r="CU908" s="33"/>
      <c r="CV908" s="32"/>
      <c r="CW908" s="32"/>
      <c r="CX908" s="32"/>
      <c r="CY908" s="34"/>
      <c r="CZ908" s="34"/>
      <c r="DA908" s="34"/>
      <c r="DB908" s="33"/>
      <c r="DC908" s="33"/>
      <c r="DD908" s="33"/>
      <c r="DE908" s="33"/>
      <c r="DF908" s="33"/>
      <c r="DG908" s="33"/>
      <c r="DH908" s="34"/>
      <c r="DI908" s="34"/>
      <c r="DJ908" s="34"/>
      <c r="DK908" s="34"/>
      <c r="DL908" s="34"/>
      <c r="DM908" s="34"/>
      <c r="DN908" s="12">
        <v>5405085</v>
      </c>
      <c r="DS908" s="21"/>
      <c r="DT908" s="21"/>
      <c r="DU908" s="21"/>
    </row>
    <row r="909" spans="72:125" ht="13.5" customHeight="1">
      <c r="BT909" s="12">
        <v>5203085</v>
      </c>
      <c r="BU909" s="3">
        <f>[1]monsters!$N909</f>
        <v>0</v>
      </c>
      <c r="BV909" s="3">
        <f>[1]monsters!$O909</f>
        <v>0</v>
      </c>
      <c r="BW909" s="3">
        <f>[1]monsters!$P909</f>
        <v>0</v>
      </c>
      <c r="BX909" s="3">
        <f>[1]monsters!$Q909</f>
        <v>0</v>
      </c>
      <c r="BY909" s="3">
        <f>[1]monsters!$R909</f>
        <v>0</v>
      </c>
      <c r="BZ909" s="3">
        <f>[1]monsters!$S909</f>
        <v>0</v>
      </c>
      <c r="CA909" s="3">
        <f>[1]monsters!$K909</f>
        <v>0</v>
      </c>
      <c r="CB909" s="12">
        <f>[1]monsters!$D909</f>
        <v>0</v>
      </c>
      <c r="CC909" s="12">
        <f t="shared" ca="1" si="70"/>
        <v>0.1</v>
      </c>
      <c r="CD909" s="12">
        <f t="shared" ca="1" si="71"/>
        <v>107.780460606061</v>
      </c>
      <c r="CE909" s="12">
        <f t="shared" ca="1" si="72"/>
        <v>10.778046060606099</v>
      </c>
      <c r="CS909" s="33"/>
      <c r="CT909" s="33"/>
      <c r="CU909" s="33"/>
      <c r="CV909" s="32"/>
      <c r="CW909" s="32"/>
      <c r="CX909" s="32"/>
      <c r="CY909" s="34"/>
      <c r="CZ909" s="34"/>
      <c r="DA909" s="34"/>
      <c r="DB909" s="33"/>
      <c r="DC909" s="33"/>
      <c r="DD909" s="33"/>
      <c r="DE909" s="33"/>
      <c r="DF909" s="33"/>
      <c r="DG909" s="33"/>
      <c r="DH909" s="34"/>
      <c r="DI909" s="34"/>
      <c r="DJ909" s="34"/>
      <c r="DK909" s="34"/>
      <c r="DL909" s="34"/>
      <c r="DM909" s="34"/>
      <c r="DN909" s="12">
        <v>5203085</v>
      </c>
      <c r="DS909" s="21"/>
      <c r="DT909" s="21"/>
      <c r="DU909" s="21"/>
    </row>
    <row r="910" spans="72:125" ht="13.5" customHeight="1">
      <c r="BT910" s="12">
        <v>5403085</v>
      </c>
      <c r="BU910" s="3">
        <f>[1]monsters!$N910</f>
        <v>0</v>
      </c>
      <c r="BV910" s="3">
        <f>[1]monsters!$O910</f>
        <v>0</v>
      </c>
      <c r="BW910" s="3">
        <f>[1]monsters!$P910</f>
        <v>0</v>
      </c>
      <c r="BX910" s="3">
        <f>[1]monsters!$Q910</f>
        <v>0</v>
      </c>
      <c r="BY910" s="3">
        <f>[1]monsters!$R910</f>
        <v>0</v>
      </c>
      <c r="BZ910" s="3">
        <f>[1]monsters!$S910</f>
        <v>0</v>
      </c>
      <c r="CA910" s="3">
        <f>[1]monsters!$K910</f>
        <v>0</v>
      </c>
      <c r="CB910" s="12">
        <f>[1]monsters!$D910</f>
        <v>0</v>
      </c>
      <c r="CC910" s="12">
        <f t="shared" ca="1" si="70"/>
        <v>0.1</v>
      </c>
      <c r="CD910" s="12">
        <f t="shared" ca="1" si="71"/>
        <v>98.962734986225897</v>
      </c>
      <c r="CE910" s="12">
        <f t="shared" ca="1" si="72"/>
        <v>9.8962734986225893</v>
      </c>
      <c r="CS910" s="33"/>
      <c r="CT910" s="33"/>
      <c r="CU910" s="33"/>
      <c r="CV910" s="32"/>
      <c r="CW910" s="32"/>
      <c r="CX910" s="32"/>
      <c r="CY910" s="34"/>
      <c r="CZ910" s="34"/>
      <c r="DA910" s="34"/>
      <c r="DB910" s="33"/>
      <c r="DC910" s="33"/>
      <c r="DD910" s="33"/>
      <c r="DE910" s="33"/>
      <c r="DF910" s="33"/>
      <c r="DG910" s="33"/>
      <c r="DH910" s="34"/>
      <c r="DI910" s="34"/>
      <c r="DJ910" s="34"/>
      <c r="DK910" s="34"/>
      <c r="DL910" s="34"/>
      <c r="DM910" s="34"/>
      <c r="DN910" s="12">
        <v>5403085</v>
      </c>
      <c r="DS910" s="21"/>
      <c r="DT910" s="21"/>
      <c r="DU910" s="21"/>
    </row>
    <row r="911" spans="72:125" ht="13.5" customHeight="1">
      <c r="BT911" s="12">
        <v>5204085</v>
      </c>
      <c r="BU911" s="3">
        <f>[1]monsters!$N911</f>
        <v>0</v>
      </c>
      <c r="BV911" s="3">
        <f>[1]monsters!$O911</f>
        <v>0</v>
      </c>
      <c r="BW911" s="3">
        <f>[1]monsters!$P911</f>
        <v>0</v>
      </c>
      <c r="BX911" s="3">
        <f>[1]monsters!$Q911</f>
        <v>0</v>
      </c>
      <c r="BY911" s="3">
        <f>[1]monsters!$R911</f>
        <v>0</v>
      </c>
      <c r="BZ911" s="3">
        <f>[1]monsters!$S911</f>
        <v>0</v>
      </c>
      <c r="CA911" s="3">
        <f>[1]monsters!$K911</f>
        <v>0</v>
      </c>
      <c r="CB911" s="12">
        <f>[1]monsters!$D911</f>
        <v>0</v>
      </c>
      <c r="CC911" s="12">
        <f t="shared" ca="1" si="70"/>
        <v>0.1</v>
      </c>
      <c r="CD911" s="12">
        <f t="shared" ca="1" si="71"/>
        <v>111.409260606061</v>
      </c>
      <c r="CE911" s="12">
        <f t="shared" ca="1" si="72"/>
        <v>11.1409260606061</v>
      </c>
      <c r="CS911" s="33"/>
      <c r="CT911" s="33"/>
      <c r="CU911" s="33"/>
      <c r="CV911" s="32"/>
      <c r="CW911" s="32"/>
      <c r="CX911" s="32"/>
      <c r="CY911" s="34"/>
      <c r="CZ911" s="34"/>
      <c r="DA911" s="34"/>
      <c r="DB911" s="33"/>
      <c r="DC911" s="33"/>
      <c r="DD911" s="33"/>
      <c r="DE911" s="33"/>
      <c r="DF911" s="33"/>
      <c r="DG911" s="33"/>
      <c r="DH911" s="34"/>
      <c r="DI911" s="34"/>
      <c r="DJ911" s="34"/>
      <c r="DK911" s="34"/>
      <c r="DL911" s="34"/>
      <c r="DM911" s="34"/>
      <c r="DN911" s="12">
        <v>5204085</v>
      </c>
      <c r="DS911" s="21"/>
      <c r="DT911" s="21"/>
      <c r="DU911" s="21"/>
    </row>
    <row r="912" spans="72:125" ht="13.5" customHeight="1">
      <c r="BT912" s="12">
        <v>5404085</v>
      </c>
      <c r="BU912" s="3">
        <f>[1]monsters!$N912</f>
        <v>0</v>
      </c>
      <c r="BV912" s="3">
        <f>[1]monsters!$O912</f>
        <v>0</v>
      </c>
      <c r="BW912" s="3">
        <f>[1]monsters!$P912</f>
        <v>0</v>
      </c>
      <c r="BX912" s="3">
        <f>[1]monsters!$Q912</f>
        <v>0</v>
      </c>
      <c r="BY912" s="3">
        <f>[1]monsters!$R912</f>
        <v>0</v>
      </c>
      <c r="BZ912" s="3">
        <f>[1]monsters!$S912</f>
        <v>0</v>
      </c>
      <c r="CA912" s="3">
        <f>[1]monsters!$K912</f>
        <v>0</v>
      </c>
      <c r="CB912" s="12">
        <f>[1]monsters!$D912</f>
        <v>0</v>
      </c>
      <c r="CC912" s="12">
        <f t="shared" ca="1" si="70"/>
        <v>0.1</v>
      </c>
      <c r="CD912" s="12">
        <f t="shared" ca="1" si="71"/>
        <v>118.92113498622599</v>
      </c>
      <c r="CE912" s="12">
        <f t="shared" ca="1" si="72"/>
        <v>11.892113498622599</v>
      </c>
      <c r="CS912" s="33"/>
      <c r="CT912" s="33"/>
      <c r="CU912" s="33"/>
      <c r="CV912" s="32"/>
      <c r="CW912" s="32"/>
      <c r="CX912" s="32"/>
      <c r="CY912" s="34"/>
      <c r="CZ912" s="34"/>
      <c r="DA912" s="34"/>
      <c r="DB912" s="33"/>
      <c r="DC912" s="33"/>
      <c r="DD912" s="33"/>
      <c r="DE912" s="33"/>
      <c r="DF912" s="33"/>
      <c r="DG912" s="33"/>
      <c r="DH912" s="34"/>
      <c r="DI912" s="34"/>
      <c r="DJ912" s="34"/>
      <c r="DK912" s="34"/>
      <c r="DL912" s="34"/>
      <c r="DM912" s="34"/>
      <c r="DN912" s="12">
        <v>5404085</v>
      </c>
      <c r="DS912" s="21"/>
      <c r="DT912" s="21"/>
      <c r="DU912" s="21"/>
    </row>
    <row r="913" spans="72:125" ht="13.5" customHeight="1">
      <c r="BT913" s="12">
        <v>5303085</v>
      </c>
      <c r="BU913" s="3">
        <f>[1]monsters!$N913</f>
        <v>0</v>
      </c>
      <c r="BV913" s="3">
        <f>[1]monsters!$O913</f>
        <v>0</v>
      </c>
      <c r="BW913" s="3">
        <f>[1]monsters!$P913</f>
        <v>0</v>
      </c>
      <c r="BX913" s="3">
        <f>[1]monsters!$Q913</f>
        <v>0</v>
      </c>
      <c r="BY913" s="3">
        <f>[1]monsters!$R913</f>
        <v>0</v>
      </c>
      <c r="BZ913" s="3">
        <f>[1]monsters!$S913</f>
        <v>0</v>
      </c>
      <c r="CA913" s="3">
        <f>[1]monsters!$K913</f>
        <v>0</v>
      </c>
      <c r="CB913" s="12">
        <f>[1]monsters!$D913</f>
        <v>0</v>
      </c>
      <c r="CC913" s="12">
        <f t="shared" ca="1" si="70"/>
        <v>0.1</v>
      </c>
      <c r="CD913" s="12">
        <f t="shared" ca="1" si="71"/>
        <v>106.943253872054</v>
      </c>
      <c r="CE913" s="12">
        <f t="shared" ca="1" si="72"/>
        <v>10.694325387205399</v>
      </c>
      <c r="CS913" s="33"/>
      <c r="CT913" s="33"/>
      <c r="CU913" s="33"/>
      <c r="CV913" s="32"/>
      <c r="CW913" s="32"/>
      <c r="CX913" s="32"/>
      <c r="CY913" s="34"/>
      <c r="CZ913" s="34"/>
      <c r="DA913" s="34"/>
      <c r="DB913" s="33"/>
      <c r="DC913" s="33"/>
      <c r="DD913" s="33"/>
      <c r="DE913" s="33"/>
      <c r="DF913" s="33"/>
      <c r="DG913" s="33"/>
      <c r="DH913" s="34"/>
      <c r="DI913" s="34"/>
      <c r="DJ913" s="34"/>
      <c r="DK913" s="34"/>
      <c r="DL913" s="34"/>
      <c r="DM913" s="34"/>
      <c r="DN913" s="12">
        <v>5303085</v>
      </c>
      <c r="DS913" s="21"/>
      <c r="DT913" s="21"/>
      <c r="DU913" s="21"/>
    </row>
    <row r="914" spans="72:125" ht="13.5" customHeight="1">
      <c r="BT914" s="12">
        <v>5304085</v>
      </c>
      <c r="BU914" s="3">
        <f>[1]monsters!$N914</f>
        <v>0</v>
      </c>
      <c r="BV914" s="3">
        <f>[1]monsters!$O914</f>
        <v>0</v>
      </c>
      <c r="BW914" s="3">
        <f>[1]monsters!$P914</f>
        <v>0</v>
      </c>
      <c r="BX914" s="3">
        <f>[1]monsters!$Q914</f>
        <v>0</v>
      </c>
      <c r="BY914" s="3">
        <f>[1]monsters!$R914</f>
        <v>0</v>
      </c>
      <c r="BZ914" s="3">
        <f>[1]monsters!$S914</f>
        <v>0</v>
      </c>
      <c r="CA914" s="3">
        <f>[1]monsters!$K914</f>
        <v>0</v>
      </c>
      <c r="CB914" s="12">
        <f>[1]monsters!$D914</f>
        <v>0</v>
      </c>
      <c r="CC914" s="12">
        <f t="shared" ca="1" si="70"/>
        <v>0.1</v>
      </c>
      <c r="CD914" s="12">
        <f t="shared" ca="1" si="71"/>
        <v>111.02565387205399</v>
      </c>
      <c r="CE914" s="12">
        <f t="shared" ca="1" si="72"/>
        <v>11.1025653872054</v>
      </c>
      <c r="CS914" s="33"/>
      <c r="CT914" s="33"/>
      <c r="CU914" s="33"/>
      <c r="CV914" s="32"/>
      <c r="CW914" s="32"/>
      <c r="CX914" s="32"/>
      <c r="CY914" s="34"/>
      <c r="CZ914" s="34"/>
      <c r="DA914" s="34"/>
      <c r="DB914" s="33"/>
      <c r="DC914" s="33"/>
      <c r="DD914" s="33"/>
      <c r="DE914" s="33"/>
      <c r="DF914" s="33"/>
      <c r="DG914" s="33"/>
      <c r="DH914" s="34"/>
      <c r="DI914" s="34"/>
      <c r="DJ914" s="34"/>
      <c r="DK914" s="34"/>
      <c r="DL914" s="34"/>
      <c r="DM914" s="34"/>
      <c r="DN914" s="12">
        <v>5304085</v>
      </c>
      <c r="DS914" s="21"/>
      <c r="DT914" s="21"/>
      <c r="DU914" s="21"/>
    </row>
    <row r="915" spans="72:125" ht="13.5" customHeight="1">
      <c r="BT915" s="12">
        <v>5503085</v>
      </c>
      <c r="BU915" s="3">
        <f>[1]monsters!$N915</f>
        <v>0</v>
      </c>
      <c r="BV915" s="3">
        <f>[1]monsters!$O915</f>
        <v>0</v>
      </c>
      <c r="BW915" s="3">
        <f>[1]monsters!$P915</f>
        <v>0</v>
      </c>
      <c r="BX915" s="3">
        <f>[1]monsters!$Q915</f>
        <v>0</v>
      </c>
      <c r="BY915" s="3">
        <f>[1]monsters!$R915</f>
        <v>0</v>
      </c>
      <c r="BZ915" s="3">
        <f>[1]monsters!$S915</f>
        <v>0</v>
      </c>
      <c r="CA915" s="3">
        <f>[1]monsters!$K915</f>
        <v>0</v>
      </c>
      <c r="CB915" s="12">
        <f>[1]monsters!$D915</f>
        <v>0</v>
      </c>
      <c r="CC915" s="12">
        <f t="shared" ca="1" si="70"/>
        <v>0.1</v>
      </c>
      <c r="CD915" s="12">
        <f t="shared" ca="1" si="71"/>
        <v>127.49524040404</v>
      </c>
      <c r="CE915" s="12">
        <f t="shared" ca="1" si="72"/>
        <v>12.749524040403999</v>
      </c>
      <c r="CS915" s="33"/>
      <c r="CT915" s="33"/>
      <c r="CU915" s="33"/>
      <c r="CV915" s="32"/>
      <c r="CW915" s="32"/>
      <c r="CX915" s="32"/>
      <c r="CY915" s="34"/>
      <c r="CZ915" s="34"/>
      <c r="DA915" s="34"/>
      <c r="DB915" s="33"/>
      <c r="DC915" s="33"/>
      <c r="DD915" s="33"/>
      <c r="DE915" s="33"/>
      <c r="DF915" s="33"/>
      <c r="DG915" s="33"/>
      <c r="DH915" s="34"/>
      <c r="DI915" s="34"/>
      <c r="DJ915" s="34"/>
      <c r="DK915" s="34"/>
      <c r="DL915" s="34"/>
      <c r="DM915" s="34"/>
      <c r="DN915" s="12">
        <v>5503085</v>
      </c>
      <c r="DS915" s="21"/>
      <c r="DT915" s="21"/>
      <c r="DU915" s="21"/>
    </row>
    <row r="916" spans="72:125" ht="13.5" customHeight="1">
      <c r="BT916" s="12">
        <v>5504085</v>
      </c>
      <c r="BU916" s="3">
        <f>[1]monsters!$N916</f>
        <v>0</v>
      </c>
      <c r="BV916" s="3">
        <f>[1]monsters!$O916</f>
        <v>0</v>
      </c>
      <c r="BW916" s="3">
        <f>[1]monsters!$P916</f>
        <v>0</v>
      </c>
      <c r="BX916" s="3">
        <f>[1]monsters!$Q916</f>
        <v>0</v>
      </c>
      <c r="BY916" s="3">
        <f>[1]monsters!$R916</f>
        <v>0</v>
      </c>
      <c r="BZ916" s="3">
        <f>[1]monsters!$S916</f>
        <v>0</v>
      </c>
      <c r="CA916" s="3">
        <f>[1]monsters!$K916</f>
        <v>0</v>
      </c>
      <c r="CB916" s="12">
        <f>[1]monsters!$D916</f>
        <v>0</v>
      </c>
      <c r="CC916" s="12">
        <f t="shared" ca="1" si="70"/>
        <v>0.1</v>
      </c>
      <c r="CD916" s="12">
        <f t="shared" ca="1" si="71"/>
        <v>138.38164040404001</v>
      </c>
      <c r="CE916" s="12">
        <f t="shared" ca="1" si="72"/>
        <v>13.838164040403999</v>
      </c>
      <c r="CS916" s="33"/>
      <c r="CT916" s="33"/>
      <c r="CU916" s="33"/>
      <c r="CV916" s="32"/>
      <c r="CW916" s="32"/>
      <c r="CX916" s="32"/>
      <c r="CY916" s="34"/>
      <c r="CZ916" s="34"/>
      <c r="DA916" s="34"/>
      <c r="DB916" s="33"/>
      <c r="DC916" s="33"/>
      <c r="DD916" s="33"/>
      <c r="DE916" s="33"/>
      <c r="DF916" s="33"/>
      <c r="DG916" s="33"/>
      <c r="DH916" s="34"/>
      <c r="DI916" s="34"/>
      <c r="DJ916" s="34"/>
      <c r="DK916" s="34"/>
      <c r="DL916" s="34"/>
      <c r="DM916" s="34"/>
      <c r="DN916" s="12">
        <v>5504085</v>
      </c>
      <c r="DS916" s="21"/>
      <c r="DT916" s="21"/>
      <c r="DU916" s="21"/>
    </row>
    <row r="917" spans="72:125" ht="13.5" customHeight="1">
      <c r="BT917" s="12">
        <v>5101085</v>
      </c>
      <c r="BU917" s="3">
        <f>[1]monsters!$N917</f>
        <v>0</v>
      </c>
      <c r="BV917" s="3">
        <f>[1]monsters!$O917</f>
        <v>0</v>
      </c>
      <c r="BW917" s="3">
        <f>[1]monsters!$P917</f>
        <v>0</v>
      </c>
      <c r="BX917" s="3">
        <f>[1]monsters!$Q917</f>
        <v>0</v>
      </c>
      <c r="BY917" s="3">
        <f>[1]monsters!$R917</f>
        <v>0</v>
      </c>
      <c r="BZ917" s="3">
        <f>[1]monsters!$S917</f>
        <v>0</v>
      </c>
      <c r="CA917" s="3">
        <f>[1]monsters!$K917</f>
        <v>0</v>
      </c>
      <c r="CB917" s="12">
        <f>[1]monsters!$D917</f>
        <v>0</v>
      </c>
      <c r="CC917" s="12">
        <f t="shared" ca="1" si="70"/>
        <v>0.1</v>
      </c>
      <c r="CD917" s="12">
        <f t="shared" ca="1" si="71"/>
        <v>121.06084848484799</v>
      </c>
      <c r="CE917" s="12">
        <f t="shared" ca="1" si="72"/>
        <v>12.1060848484848</v>
      </c>
      <c r="CS917" s="33"/>
      <c r="CT917" s="33"/>
      <c r="CU917" s="33"/>
      <c r="CV917" s="32"/>
      <c r="CW917" s="32"/>
      <c r="CX917" s="32"/>
      <c r="CY917" s="34"/>
      <c r="CZ917" s="34"/>
      <c r="DA917" s="34"/>
      <c r="DB917" s="33"/>
      <c r="DC917" s="33"/>
      <c r="DD917" s="33"/>
      <c r="DE917" s="33"/>
      <c r="DF917" s="33"/>
      <c r="DG917" s="33"/>
      <c r="DH917" s="34"/>
      <c r="DI917" s="34"/>
      <c r="DJ917" s="34"/>
      <c r="DK917" s="34"/>
      <c r="DL917" s="34"/>
      <c r="DM917" s="34"/>
      <c r="DN917" s="12">
        <v>5101085</v>
      </c>
      <c r="DS917" s="21"/>
      <c r="DT917" s="21"/>
      <c r="DU917" s="21"/>
    </row>
    <row r="918" spans="72:125" ht="13.5" customHeight="1">
      <c r="BT918" s="12">
        <v>5102085</v>
      </c>
      <c r="BU918" s="3">
        <f>[1]monsters!$N918</f>
        <v>0</v>
      </c>
      <c r="BV918" s="3">
        <f>[1]monsters!$O918</f>
        <v>0</v>
      </c>
      <c r="BW918" s="3">
        <f>[1]monsters!$P918</f>
        <v>0</v>
      </c>
      <c r="BX918" s="3">
        <f>[1]monsters!$Q918</f>
        <v>0</v>
      </c>
      <c r="BY918" s="3">
        <f>[1]monsters!$R918</f>
        <v>0</v>
      </c>
      <c r="BZ918" s="3">
        <f>[1]monsters!$S918</f>
        <v>0</v>
      </c>
      <c r="CA918" s="3">
        <f>[1]monsters!$K918</f>
        <v>0</v>
      </c>
      <c r="CB918" s="12">
        <f>[1]monsters!$D918</f>
        <v>0</v>
      </c>
      <c r="CC918" s="12">
        <f t="shared" ca="1" si="70"/>
        <v>0.1</v>
      </c>
      <c r="CD918" s="12">
        <f t="shared" ca="1" si="71"/>
        <v>111.98884848484801</v>
      </c>
      <c r="CE918" s="12">
        <f t="shared" ca="1" si="72"/>
        <v>11.1988848484848</v>
      </c>
      <c r="CS918" s="33"/>
      <c r="CT918" s="33"/>
      <c r="CU918" s="33"/>
      <c r="CV918" s="32"/>
      <c r="CW918" s="32"/>
      <c r="CX918" s="32"/>
      <c r="CY918" s="34"/>
      <c r="CZ918" s="34"/>
      <c r="DA918" s="34"/>
      <c r="DB918" s="33"/>
      <c r="DC918" s="33"/>
      <c r="DD918" s="33"/>
      <c r="DE918" s="33"/>
      <c r="DF918" s="33"/>
      <c r="DG918" s="33"/>
      <c r="DH918" s="34"/>
      <c r="DI918" s="34"/>
      <c r="DJ918" s="34"/>
      <c r="DK918" s="34"/>
      <c r="DL918" s="34"/>
      <c r="DM918" s="34"/>
      <c r="DN918" s="12">
        <v>5102085</v>
      </c>
      <c r="DS918" s="21"/>
      <c r="DT918" s="21"/>
      <c r="DU918" s="21"/>
    </row>
    <row r="919" spans="72:125" ht="13.5" customHeight="1">
      <c r="BT919" s="12">
        <v>5206091</v>
      </c>
      <c r="BU919" s="3">
        <f>[1]monsters!$N919</f>
        <v>0</v>
      </c>
      <c r="BV919" s="3">
        <f>[1]monsters!$O919</f>
        <v>0</v>
      </c>
      <c r="BW919" s="3">
        <f>[1]monsters!$P919</f>
        <v>0</v>
      </c>
      <c r="BX919" s="3">
        <f>[1]monsters!$Q919</f>
        <v>0</v>
      </c>
      <c r="BY919" s="3">
        <f>[1]monsters!$R919</f>
        <v>0</v>
      </c>
      <c r="BZ919" s="3">
        <f>[1]monsters!$S919</f>
        <v>0</v>
      </c>
      <c r="CA919" s="3">
        <f>[1]monsters!$K919</f>
        <v>0</v>
      </c>
      <c r="CB919" s="12">
        <f>[1]monsters!$D919</f>
        <v>0</v>
      </c>
      <c r="CC919" s="12">
        <f t="shared" ca="1" si="70"/>
        <v>0.1</v>
      </c>
      <c r="CD919" s="12">
        <f t="shared" ca="1" si="71"/>
        <v>132.48696565656601</v>
      </c>
      <c r="CE919" s="12">
        <f t="shared" ca="1" si="72"/>
        <v>13.2486965656566</v>
      </c>
      <c r="CS919" s="33"/>
      <c r="CT919" s="33"/>
      <c r="CU919" s="33"/>
      <c r="CV919" s="32"/>
      <c r="CW919" s="32"/>
      <c r="CX919" s="32"/>
      <c r="CY919" s="34"/>
      <c r="CZ919" s="34"/>
      <c r="DA919" s="34"/>
      <c r="DB919" s="33"/>
      <c r="DC919" s="33"/>
      <c r="DD919" s="33"/>
      <c r="DE919" s="33"/>
      <c r="DF919" s="33"/>
      <c r="DG919" s="33"/>
      <c r="DH919" s="34"/>
      <c r="DI919" s="34"/>
      <c r="DJ919" s="34"/>
      <c r="DK919" s="34"/>
      <c r="DL919" s="34"/>
      <c r="DM919" s="34"/>
      <c r="DN919" s="12">
        <v>5206091</v>
      </c>
      <c r="DS919" s="21"/>
      <c r="DT919" s="21"/>
      <c r="DU919" s="21"/>
    </row>
    <row r="920" spans="72:125" ht="13.5" customHeight="1">
      <c r="BT920" s="12">
        <v>5406091</v>
      </c>
      <c r="BU920" s="3">
        <f>[1]monsters!$N920</f>
        <v>0</v>
      </c>
      <c r="BV920" s="3">
        <f>[1]monsters!$O920</f>
        <v>0</v>
      </c>
      <c r="BW920" s="3">
        <f>[1]monsters!$P920</f>
        <v>0</v>
      </c>
      <c r="BX920" s="3">
        <f>[1]monsters!$Q920</f>
        <v>0</v>
      </c>
      <c r="BY920" s="3">
        <f>[1]monsters!$R920</f>
        <v>0</v>
      </c>
      <c r="BZ920" s="3">
        <f>[1]monsters!$S920</f>
        <v>0</v>
      </c>
      <c r="CA920" s="3">
        <f>[1]monsters!$K920</f>
        <v>0</v>
      </c>
      <c r="CB920" s="12">
        <f>[1]monsters!$D920</f>
        <v>0</v>
      </c>
      <c r="CC920" s="12">
        <f t="shared" ca="1" si="70"/>
        <v>0.1</v>
      </c>
      <c r="CD920" s="12">
        <f t="shared" ca="1" si="71"/>
        <v>123.425829568411</v>
      </c>
      <c r="CE920" s="12">
        <f t="shared" ca="1" si="72"/>
        <v>12.342582956841101</v>
      </c>
      <c r="CS920" s="33"/>
      <c r="CT920" s="33"/>
      <c r="CU920" s="33"/>
      <c r="CV920" s="32"/>
      <c r="CW920" s="32"/>
      <c r="CX920" s="32"/>
      <c r="CY920" s="34"/>
      <c r="CZ920" s="34"/>
      <c r="DA920" s="34"/>
      <c r="DB920" s="33"/>
      <c r="DC920" s="33"/>
      <c r="DD920" s="33"/>
      <c r="DE920" s="33"/>
      <c r="DF920" s="33"/>
      <c r="DG920" s="33"/>
      <c r="DH920" s="34"/>
      <c r="DI920" s="34"/>
      <c r="DJ920" s="34"/>
      <c r="DK920" s="34"/>
      <c r="DL920" s="34"/>
      <c r="DM920" s="34"/>
      <c r="DN920" s="12">
        <v>5406091</v>
      </c>
      <c r="DS920" s="21"/>
      <c r="DT920" s="21"/>
      <c r="DU920" s="21"/>
    </row>
    <row r="921" spans="72:125" ht="13.5" customHeight="1">
      <c r="BT921" s="12">
        <v>5205091</v>
      </c>
      <c r="BU921" s="3">
        <f>[1]monsters!$N921</f>
        <v>0</v>
      </c>
      <c r="BV921" s="3">
        <f>[1]monsters!$O921</f>
        <v>0</v>
      </c>
      <c r="BW921" s="3">
        <f>[1]monsters!$P921</f>
        <v>0</v>
      </c>
      <c r="BX921" s="3">
        <f>[1]monsters!$Q921</f>
        <v>0</v>
      </c>
      <c r="BY921" s="3">
        <f>[1]monsters!$R921</f>
        <v>0</v>
      </c>
      <c r="BZ921" s="3">
        <f>[1]monsters!$S921</f>
        <v>0</v>
      </c>
      <c r="CA921" s="3">
        <f>[1]monsters!$K921</f>
        <v>0</v>
      </c>
      <c r="CB921" s="12">
        <f>[1]monsters!$D921</f>
        <v>0</v>
      </c>
      <c r="CC921" s="12">
        <f t="shared" ca="1" si="70"/>
        <v>0.1</v>
      </c>
      <c r="CD921" s="12">
        <f t="shared" ca="1" si="71"/>
        <v>144.28056565656601</v>
      </c>
      <c r="CE921" s="12">
        <f t="shared" ca="1" si="72"/>
        <v>14.4280565656566</v>
      </c>
      <c r="CS921" s="33"/>
      <c r="CT921" s="33"/>
      <c r="CU921" s="33"/>
      <c r="CV921" s="32"/>
      <c r="CW921" s="32"/>
      <c r="CX921" s="32"/>
      <c r="CY921" s="34"/>
      <c r="CZ921" s="34"/>
      <c r="DA921" s="34"/>
      <c r="DB921" s="33"/>
      <c r="DC921" s="33"/>
      <c r="DD921" s="33"/>
      <c r="DE921" s="33"/>
      <c r="DF921" s="33"/>
      <c r="DG921" s="33"/>
      <c r="DH921" s="34"/>
      <c r="DI921" s="34"/>
      <c r="DJ921" s="34"/>
      <c r="DK921" s="34"/>
      <c r="DL921" s="34"/>
      <c r="DM921" s="34"/>
      <c r="DN921" s="12">
        <v>5205091</v>
      </c>
      <c r="DS921" s="21"/>
      <c r="DT921" s="21"/>
      <c r="DU921" s="21"/>
    </row>
    <row r="922" spans="72:125" ht="13.5" customHeight="1">
      <c r="BT922" s="12">
        <v>5405091</v>
      </c>
      <c r="BU922" s="3">
        <f>[1]monsters!$N922</f>
        <v>0</v>
      </c>
      <c r="BV922" s="3">
        <f>[1]monsters!$O922</f>
        <v>0</v>
      </c>
      <c r="BW922" s="3">
        <f>[1]monsters!$P922</f>
        <v>0</v>
      </c>
      <c r="BX922" s="3">
        <f>[1]monsters!$Q922</f>
        <v>0</v>
      </c>
      <c r="BY922" s="3">
        <f>[1]monsters!$R922</f>
        <v>0</v>
      </c>
      <c r="BZ922" s="3">
        <f>[1]monsters!$S922</f>
        <v>0</v>
      </c>
      <c r="CA922" s="3">
        <f>[1]monsters!$K922</f>
        <v>0</v>
      </c>
      <c r="CB922" s="12">
        <f>[1]monsters!$D922</f>
        <v>0</v>
      </c>
      <c r="CC922" s="12">
        <f t="shared" ca="1" si="70"/>
        <v>0.1</v>
      </c>
      <c r="CD922" s="12">
        <f t="shared" ca="1" si="71"/>
        <v>128.831229568411</v>
      </c>
      <c r="CE922" s="12">
        <f t="shared" ca="1" si="72"/>
        <v>12.883122956841101</v>
      </c>
      <c r="CS922" s="33"/>
      <c r="CT922" s="33"/>
      <c r="CU922" s="33"/>
      <c r="CV922" s="32"/>
      <c r="CW922" s="32"/>
      <c r="CX922" s="32"/>
      <c r="CY922" s="34"/>
      <c r="CZ922" s="34"/>
      <c r="DA922" s="34"/>
      <c r="DB922" s="33"/>
      <c r="DC922" s="33"/>
      <c r="DD922" s="33"/>
      <c r="DE922" s="33"/>
      <c r="DF922" s="33"/>
      <c r="DG922" s="33"/>
      <c r="DH922" s="34"/>
      <c r="DI922" s="34"/>
      <c r="DJ922" s="34"/>
      <c r="DK922" s="34"/>
      <c r="DL922" s="34"/>
      <c r="DM922" s="34"/>
      <c r="DN922" s="12">
        <v>5405091</v>
      </c>
      <c r="DS922" s="21"/>
      <c r="DT922" s="21"/>
      <c r="DU922" s="21"/>
    </row>
    <row r="923" spans="72:125" ht="13.5" customHeight="1">
      <c r="BT923" s="12">
        <v>5203091</v>
      </c>
      <c r="BU923" s="3">
        <f>[1]monsters!$N923</f>
        <v>0</v>
      </c>
      <c r="BV923" s="3">
        <f>[1]monsters!$O923</f>
        <v>0</v>
      </c>
      <c r="BW923" s="3">
        <f>[1]monsters!$P923</f>
        <v>0</v>
      </c>
      <c r="BX923" s="3">
        <f>[1]monsters!$Q923</f>
        <v>0</v>
      </c>
      <c r="BY923" s="3">
        <f>[1]monsters!$R923</f>
        <v>0</v>
      </c>
      <c r="BZ923" s="3">
        <f>[1]monsters!$S923</f>
        <v>0</v>
      </c>
      <c r="CA923" s="3">
        <f>[1]monsters!$K923</f>
        <v>0</v>
      </c>
      <c r="CB923" s="12">
        <f>[1]monsters!$D923</f>
        <v>0</v>
      </c>
      <c r="CC923" s="12">
        <f t="shared" ca="1" si="70"/>
        <v>0.1</v>
      </c>
      <c r="CD923" s="12">
        <f t="shared" ca="1" si="71"/>
        <v>116.762165656566</v>
      </c>
      <c r="CE923" s="12">
        <f t="shared" ca="1" si="72"/>
        <v>11.676216565656601</v>
      </c>
      <c r="CS923" s="33"/>
      <c r="CT923" s="33"/>
      <c r="CU923" s="33"/>
      <c r="CV923" s="32"/>
      <c r="CW923" s="32"/>
      <c r="CX923" s="32"/>
      <c r="CY923" s="34"/>
      <c r="CZ923" s="34"/>
      <c r="DA923" s="34"/>
      <c r="DB923" s="33"/>
      <c r="DC923" s="33"/>
      <c r="DD923" s="33"/>
      <c r="DE923" s="33"/>
      <c r="DF923" s="33"/>
      <c r="DG923" s="33"/>
      <c r="DH923" s="34"/>
      <c r="DI923" s="34"/>
      <c r="DJ923" s="34"/>
      <c r="DK923" s="34"/>
      <c r="DL923" s="34"/>
      <c r="DM923" s="34"/>
      <c r="DN923" s="12">
        <v>5203091</v>
      </c>
      <c r="DS923" s="21"/>
      <c r="DT923" s="21"/>
      <c r="DU923" s="21"/>
    </row>
    <row r="924" spans="72:125" ht="13.5" customHeight="1">
      <c r="BT924" s="12">
        <v>5403091</v>
      </c>
      <c r="BU924" s="3">
        <f>[1]monsters!$N924</f>
        <v>0</v>
      </c>
      <c r="BV924" s="3">
        <f>[1]monsters!$O924</f>
        <v>0</v>
      </c>
      <c r="BW924" s="3">
        <f>[1]monsters!$P924</f>
        <v>0</v>
      </c>
      <c r="BX924" s="3">
        <f>[1]monsters!$Q924</f>
        <v>0</v>
      </c>
      <c r="BY924" s="3">
        <f>[1]monsters!$R924</f>
        <v>0</v>
      </c>
      <c r="BZ924" s="3">
        <f>[1]monsters!$S924</f>
        <v>0</v>
      </c>
      <c r="CA924" s="3">
        <f>[1]monsters!$K924</f>
        <v>0</v>
      </c>
      <c r="CB924" s="12">
        <f>[1]monsters!$D924</f>
        <v>0</v>
      </c>
      <c r="CC924" s="12">
        <f t="shared" ca="1" si="70"/>
        <v>0.1</v>
      </c>
      <c r="CD924" s="12">
        <f t="shared" ca="1" si="71"/>
        <v>107.209629568411</v>
      </c>
      <c r="CE924" s="12">
        <f t="shared" ca="1" si="72"/>
        <v>10.720962956841101</v>
      </c>
      <c r="CS924" s="33"/>
      <c r="CT924" s="33"/>
      <c r="CU924" s="33"/>
      <c r="CV924" s="32"/>
      <c r="CW924" s="32"/>
      <c r="CX924" s="32"/>
      <c r="CY924" s="34"/>
      <c r="CZ924" s="34"/>
      <c r="DA924" s="34"/>
      <c r="DB924" s="33"/>
      <c r="DC924" s="33"/>
      <c r="DD924" s="33"/>
      <c r="DE924" s="33"/>
      <c r="DF924" s="33"/>
      <c r="DG924" s="33"/>
      <c r="DH924" s="34"/>
      <c r="DI924" s="34"/>
      <c r="DJ924" s="34"/>
      <c r="DK924" s="34"/>
      <c r="DL924" s="34"/>
      <c r="DM924" s="34"/>
      <c r="DN924" s="12">
        <v>5403091</v>
      </c>
      <c r="DS924" s="21"/>
      <c r="DT924" s="21"/>
      <c r="DU924" s="21"/>
    </row>
    <row r="925" spans="72:125" ht="13.5" customHeight="1">
      <c r="BT925" s="12">
        <v>5204091</v>
      </c>
      <c r="BU925" s="3">
        <f>[1]monsters!$N925</f>
        <v>0</v>
      </c>
      <c r="BV925" s="3">
        <f>[1]monsters!$O925</f>
        <v>0</v>
      </c>
      <c r="BW925" s="3">
        <f>[1]monsters!$P925</f>
        <v>0</v>
      </c>
      <c r="BX925" s="3">
        <f>[1]monsters!$Q925</f>
        <v>0</v>
      </c>
      <c r="BY925" s="3">
        <f>[1]monsters!$R925</f>
        <v>0</v>
      </c>
      <c r="BZ925" s="3">
        <f>[1]monsters!$S925</f>
        <v>0</v>
      </c>
      <c r="CA925" s="3">
        <f>[1]monsters!$K925</f>
        <v>0</v>
      </c>
      <c r="CB925" s="12">
        <f>[1]monsters!$D925</f>
        <v>0</v>
      </c>
      <c r="CC925" s="12">
        <f t="shared" ca="1" si="70"/>
        <v>0.1</v>
      </c>
      <c r="CD925" s="12">
        <f t="shared" ca="1" si="71"/>
        <v>120.693365656566</v>
      </c>
      <c r="CE925" s="12">
        <f t="shared" ca="1" si="72"/>
        <v>12.069336565656601</v>
      </c>
      <c r="CS925" s="33"/>
      <c r="CT925" s="33"/>
      <c r="CU925" s="33"/>
      <c r="CV925" s="32"/>
      <c r="CW925" s="32"/>
      <c r="CX925" s="32"/>
      <c r="CY925" s="34"/>
      <c r="CZ925" s="34"/>
      <c r="DA925" s="34"/>
      <c r="DB925" s="33"/>
      <c r="DC925" s="33"/>
      <c r="DD925" s="33"/>
      <c r="DE925" s="33"/>
      <c r="DF925" s="33"/>
      <c r="DG925" s="33"/>
      <c r="DH925" s="34"/>
      <c r="DI925" s="34"/>
      <c r="DJ925" s="34"/>
      <c r="DK925" s="34"/>
      <c r="DL925" s="34"/>
      <c r="DM925" s="34"/>
      <c r="DN925" s="12">
        <v>5204091</v>
      </c>
      <c r="DS925" s="21"/>
      <c r="DT925" s="21"/>
      <c r="DU925" s="21"/>
    </row>
    <row r="926" spans="72:125" ht="13.5" customHeight="1">
      <c r="BT926" s="12">
        <v>5404091</v>
      </c>
      <c r="BU926" s="3">
        <f>[1]monsters!$N926</f>
        <v>0</v>
      </c>
      <c r="BV926" s="3">
        <f>[1]monsters!$O926</f>
        <v>0</v>
      </c>
      <c r="BW926" s="3">
        <f>[1]monsters!$P926</f>
        <v>0</v>
      </c>
      <c r="BX926" s="3">
        <f>[1]monsters!$Q926</f>
        <v>0</v>
      </c>
      <c r="BY926" s="3">
        <f>[1]monsters!$R926</f>
        <v>0</v>
      </c>
      <c r="BZ926" s="3">
        <f>[1]monsters!$S926</f>
        <v>0</v>
      </c>
      <c r="CA926" s="3">
        <f>[1]monsters!$K926</f>
        <v>0</v>
      </c>
      <c r="CB926" s="12">
        <f>[1]monsters!$D926</f>
        <v>0</v>
      </c>
      <c r="CC926" s="12">
        <f t="shared" ca="1" si="70"/>
        <v>0.1</v>
      </c>
      <c r="CD926" s="12">
        <f t="shared" ca="1" si="71"/>
        <v>128.831229568411</v>
      </c>
      <c r="CE926" s="12">
        <f t="shared" ca="1" si="72"/>
        <v>12.883122956841101</v>
      </c>
      <c r="CS926" s="33"/>
      <c r="CT926" s="33"/>
      <c r="CU926" s="33"/>
      <c r="CV926" s="32"/>
      <c r="CW926" s="32"/>
      <c r="CX926" s="32"/>
      <c r="CY926" s="34"/>
      <c r="CZ926" s="34"/>
      <c r="DA926" s="34"/>
      <c r="DB926" s="33"/>
      <c r="DC926" s="33"/>
      <c r="DD926" s="33"/>
      <c r="DE926" s="33"/>
      <c r="DF926" s="33"/>
      <c r="DG926" s="33"/>
      <c r="DH926" s="34"/>
      <c r="DI926" s="34"/>
      <c r="DJ926" s="34"/>
      <c r="DK926" s="34"/>
      <c r="DL926" s="34"/>
      <c r="DM926" s="34"/>
      <c r="DN926" s="12">
        <v>5404091</v>
      </c>
      <c r="DS926" s="21"/>
      <c r="DT926" s="21"/>
      <c r="DU926" s="21"/>
    </row>
    <row r="927" spans="72:125" ht="13.5" customHeight="1">
      <c r="BT927" s="12">
        <v>5303091</v>
      </c>
      <c r="BU927" s="3">
        <f>[1]monsters!$N927</f>
        <v>0</v>
      </c>
      <c r="BV927" s="3">
        <f>[1]monsters!$O927</f>
        <v>0</v>
      </c>
      <c r="BW927" s="3">
        <f>[1]monsters!$P927</f>
        <v>0</v>
      </c>
      <c r="BX927" s="3">
        <f>[1]monsters!$Q927</f>
        <v>0</v>
      </c>
      <c r="BY927" s="3">
        <f>[1]monsters!$R927</f>
        <v>0</v>
      </c>
      <c r="BZ927" s="3">
        <f>[1]monsters!$S927</f>
        <v>0</v>
      </c>
      <c r="CA927" s="3">
        <f>[1]monsters!$K927</f>
        <v>0</v>
      </c>
      <c r="CB927" s="12">
        <f>[1]monsters!$D927</f>
        <v>0</v>
      </c>
      <c r="CC927" s="12">
        <f t="shared" ca="1" si="70"/>
        <v>0.1</v>
      </c>
      <c r="CD927" s="12">
        <f t="shared" ca="1" si="71"/>
        <v>115.85519169472499</v>
      </c>
      <c r="CE927" s="12">
        <f t="shared" ca="1" si="72"/>
        <v>11.5855191694725</v>
      </c>
      <c r="CS927" s="33"/>
      <c r="CT927" s="33"/>
      <c r="CU927" s="33"/>
      <c r="CV927" s="32"/>
      <c r="CW927" s="32"/>
      <c r="CX927" s="32"/>
      <c r="CY927" s="34"/>
      <c r="CZ927" s="34"/>
      <c r="DA927" s="34"/>
      <c r="DB927" s="33"/>
      <c r="DC927" s="33"/>
      <c r="DD927" s="33"/>
      <c r="DE927" s="33"/>
      <c r="DF927" s="33"/>
      <c r="DG927" s="33"/>
      <c r="DH927" s="34"/>
      <c r="DI927" s="34"/>
      <c r="DJ927" s="34"/>
      <c r="DK927" s="34"/>
      <c r="DL927" s="34"/>
      <c r="DM927" s="34"/>
      <c r="DN927" s="12">
        <v>5303091</v>
      </c>
      <c r="DS927" s="21"/>
      <c r="DT927" s="21"/>
      <c r="DU927" s="21"/>
    </row>
    <row r="928" spans="72:125" ht="13.5" customHeight="1">
      <c r="BT928" s="12">
        <v>5304091</v>
      </c>
      <c r="BU928" s="3">
        <f>[1]monsters!$N928</f>
        <v>0</v>
      </c>
      <c r="BV928" s="3">
        <f>[1]monsters!$O928</f>
        <v>0</v>
      </c>
      <c r="BW928" s="3">
        <f>[1]monsters!$P928</f>
        <v>0</v>
      </c>
      <c r="BX928" s="3">
        <f>[1]monsters!$Q928</f>
        <v>0</v>
      </c>
      <c r="BY928" s="3">
        <f>[1]monsters!$R928</f>
        <v>0</v>
      </c>
      <c r="BZ928" s="3">
        <f>[1]monsters!$S928</f>
        <v>0</v>
      </c>
      <c r="CA928" s="3">
        <f>[1]monsters!$K928</f>
        <v>0</v>
      </c>
      <c r="CB928" s="12">
        <f>[1]monsters!$D928</f>
        <v>0</v>
      </c>
      <c r="CC928" s="12">
        <f t="shared" ca="1" si="70"/>
        <v>0.1</v>
      </c>
      <c r="CD928" s="12">
        <f t="shared" ca="1" si="71"/>
        <v>120.277791694725</v>
      </c>
      <c r="CE928" s="12">
        <f t="shared" ca="1" si="72"/>
        <v>12.027779169472501</v>
      </c>
      <c r="CS928" s="33"/>
      <c r="CT928" s="33"/>
      <c r="CU928" s="33"/>
      <c r="CV928" s="32"/>
      <c r="CW928" s="32"/>
      <c r="CX928" s="32"/>
      <c r="CY928" s="34"/>
      <c r="CZ928" s="34"/>
      <c r="DA928" s="34"/>
      <c r="DB928" s="33"/>
      <c r="DC928" s="33"/>
      <c r="DD928" s="33"/>
      <c r="DE928" s="33"/>
      <c r="DF928" s="33"/>
      <c r="DG928" s="33"/>
      <c r="DH928" s="34"/>
      <c r="DI928" s="34"/>
      <c r="DJ928" s="34"/>
      <c r="DK928" s="34"/>
      <c r="DL928" s="34"/>
      <c r="DM928" s="34"/>
      <c r="DN928" s="12">
        <v>5304091</v>
      </c>
      <c r="DS928" s="21"/>
      <c r="DT928" s="21"/>
      <c r="DU928" s="21"/>
    </row>
    <row r="929" spans="72:125" ht="13.5" customHeight="1">
      <c r="BT929" s="12">
        <v>5503091</v>
      </c>
      <c r="BU929" s="3">
        <f>[1]monsters!$N929</f>
        <v>0</v>
      </c>
      <c r="BV929" s="3">
        <f>[1]monsters!$O929</f>
        <v>0</v>
      </c>
      <c r="BW929" s="3">
        <f>[1]monsters!$P929</f>
        <v>0</v>
      </c>
      <c r="BX929" s="3">
        <f>[1]monsters!$Q929</f>
        <v>0</v>
      </c>
      <c r="BY929" s="3">
        <f>[1]monsters!$R929</f>
        <v>0</v>
      </c>
      <c r="BZ929" s="3">
        <f>[1]monsters!$S929</f>
        <v>0</v>
      </c>
      <c r="CA929" s="3">
        <f>[1]monsters!$K929</f>
        <v>0</v>
      </c>
      <c r="CB929" s="12">
        <f>[1]monsters!$D929</f>
        <v>0</v>
      </c>
      <c r="CC929" s="12">
        <f t="shared" ca="1" si="70"/>
        <v>0.1</v>
      </c>
      <c r="CD929" s="12">
        <f t="shared" ca="1" si="71"/>
        <v>138.119843771044</v>
      </c>
      <c r="CE929" s="12">
        <f t="shared" ca="1" si="72"/>
        <v>13.8119843771044</v>
      </c>
      <c r="CS929" s="33"/>
      <c r="CT929" s="33"/>
      <c r="CU929" s="33"/>
      <c r="CV929" s="32"/>
      <c r="CW929" s="32"/>
      <c r="CX929" s="32"/>
      <c r="CY929" s="34"/>
      <c r="CZ929" s="34"/>
      <c r="DA929" s="34"/>
      <c r="DB929" s="33"/>
      <c r="DC929" s="33"/>
      <c r="DD929" s="33"/>
      <c r="DE929" s="33"/>
      <c r="DF929" s="33"/>
      <c r="DG929" s="33"/>
      <c r="DH929" s="34"/>
      <c r="DI929" s="34"/>
      <c r="DJ929" s="34"/>
      <c r="DK929" s="34"/>
      <c r="DL929" s="34"/>
      <c r="DM929" s="34"/>
      <c r="DN929" s="12">
        <v>5503091</v>
      </c>
      <c r="DS929" s="21"/>
      <c r="DT929" s="21"/>
      <c r="DU929" s="21"/>
    </row>
    <row r="930" spans="72:125" ht="13.5" customHeight="1">
      <c r="BT930" s="12">
        <v>5504091</v>
      </c>
      <c r="BU930" s="3">
        <f>[1]monsters!$N930</f>
        <v>0</v>
      </c>
      <c r="BV930" s="3">
        <f>[1]monsters!$O930</f>
        <v>0</v>
      </c>
      <c r="BW930" s="3">
        <f>[1]monsters!$P930</f>
        <v>0</v>
      </c>
      <c r="BX930" s="3">
        <f>[1]monsters!$Q930</f>
        <v>0</v>
      </c>
      <c r="BY930" s="3">
        <f>[1]monsters!$R930</f>
        <v>0</v>
      </c>
      <c r="BZ930" s="3">
        <f>[1]monsters!$S930</f>
        <v>0</v>
      </c>
      <c r="CA930" s="3">
        <f>[1]monsters!$K930</f>
        <v>0</v>
      </c>
      <c r="CB930" s="12">
        <f>[1]monsters!$D930</f>
        <v>0</v>
      </c>
      <c r="CC930" s="12">
        <f t="shared" ca="1" si="70"/>
        <v>0.1</v>
      </c>
      <c r="CD930" s="12">
        <f t="shared" ca="1" si="71"/>
        <v>149.913443771044</v>
      </c>
      <c r="CE930" s="12">
        <f t="shared" ca="1" si="72"/>
        <v>14.991344377104401</v>
      </c>
      <c r="CS930" s="33"/>
      <c r="CT930" s="33"/>
      <c r="CU930" s="33"/>
      <c r="CV930" s="32"/>
      <c r="CW930" s="32"/>
      <c r="CX930" s="32"/>
      <c r="CY930" s="34"/>
      <c r="CZ930" s="34"/>
      <c r="DA930" s="34"/>
      <c r="DB930" s="33"/>
      <c r="DC930" s="33"/>
      <c r="DD930" s="33"/>
      <c r="DE930" s="33"/>
      <c r="DF930" s="33"/>
      <c r="DG930" s="33"/>
      <c r="DH930" s="34"/>
      <c r="DI930" s="34"/>
      <c r="DJ930" s="34"/>
      <c r="DK930" s="34"/>
      <c r="DL930" s="34"/>
      <c r="DM930" s="34"/>
      <c r="DN930" s="12">
        <v>5504091</v>
      </c>
      <c r="DS930" s="21"/>
      <c r="DT930" s="21"/>
      <c r="DU930" s="21"/>
    </row>
    <row r="931" spans="72:125" ht="13.5" customHeight="1">
      <c r="BT931" s="12">
        <v>5101091</v>
      </c>
      <c r="BU931" s="3">
        <f>[1]monsters!$N931</f>
        <v>0</v>
      </c>
      <c r="BV931" s="3">
        <f>[1]monsters!$O931</f>
        <v>0</v>
      </c>
      <c r="BW931" s="3">
        <f>[1]monsters!$P931</f>
        <v>0</v>
      </c>
      <c r="BX931" s="3">
        <f>[1]monsters!$Q931</f>
        <v>0</v>
      </c>
      <c r="BY931" s="3">
        <f>[1]monsters!$R931</f>
        <v>0</v>
      </c>
      <c r="BZ931" s="3">
        <f>[1]monsters!$S931</f>
        <v>0</v>
      </c>
      <c r="CA931" s="3">
        <f>[1]monsters!$K931</f>
        <v>0</v>
      </c>
      <c r="CB931" s="12">
        <f>[1]monsters!$D931</f>
        <v>0</v>
      </c>
      <c r="CC931" s="12">
        <f t="shared" ca="1" si="70"/>
        <v>0.1</v>
      </c>
      <c r="CD931" s="12">
        <f t="shared" ca="1" si="71"/>
        <v>131.14925252525299</v>
      </c>
      <c r="CE931" s="12">
        <f t="shared" ca="1" si="72"/>
        <v>13.1149252525253</v>
      </c>
      <c r="CS931" s="33"/>
      <c r="CT931" s="33"/>
      <c r="CU931" s="33"/>
      <c r="CV931" s="32"/>
      <c r="CW931" s="32"/>
      <c r="CX931" s="32"/>
      <c r="CY931" s="34"/>
      <c r="CZ931" s="34"/>
      <c r="DA931" s="34"/>
      <c r="DB931" s="33"/>
      <c r="DC931" s="33"/>
      <c r="DD931" s="33"/>
      <c r="DE931" s="33"/>
      <c r="DF931" s="33"/>
      <c r="DG931" s="33"/>
      <c r="DH931" s="34"/>
      <c r="DI931" s="34"/>
      <c r="DJ931" s="34"/>
      <c r="DK931" s="34"/>
      <c r="DL931" s="34"/>
      <c r="DM931" s="34"/>
      <c r="DN931" s="12">
        <v>5101091</v>
      </c>
      <c r="DS931" s="21"/>
      <c r="DT931" s="21"/>
      <c r="DU931" s="21"/>
    </row>
    <row r="932" spans="72:125" ht="13.5" customHeight="1">
      <c r="BT932" s="12">
        <v>5102091</v>
      </c>
      <c r="BU932" s="3">
        <f>[1]monsters!$N932</f>
        <v>0</v>
      </c>
      <c r="BV932" s="3">
        <f>[1]monsters!$O932</f>
        <v>0</v>
      </c>
      <c r="BW932" s="3">
        <f>[1]monsters!$P932</f>
        <v>0</v>
      </c>
      <c r="BX932" s="3">
        <f>[1]monsters!$Q932</f>
        <v>0</v>
      </c>
      <c r="BY932" s="3">
        <f>[1]monsters!$R932</f>
        <v>0</v>
      </c>
      <c r="BZ932" s="3">
        <f>[1]monsters!$S932</f>
        <v>0</v>
      </c>
      <c r="CA932" s="3">
        <f>[1]monsters!$K932</f>
        <v>0</v>
      </c>
      <c r="CB932" s="12">
        <f>[1]monsters!$D932</f>
        <v>0</v>
      </c>
      <c r="CC932" s="12">
        <f t="shared" ca="1" si="70"/>
        <v>0.1</v>
      </c>
      <c r="CD932" s="12">
        <f t="shared" ca="1" si="71"/>
        <v>121.321252525253</v>
      </c>
      <c r="CE932" s="12">
        <f t="shared" ca="1" si="72"/>
        <v>12.1321252525253</v>
      </c>
      <c r="CS932" s="33"/>
      <c r="CT932" s="33"/>
      <c r="CU932" s="33"/>
      <c r="CV932" s="32"/>
      <c r="CW932" s="32"/>
      <c r="CX932" s="32"/>
      <c r="CY932" s="34"/>
      <c r="CZ932" s="34"/>
      <c r="DA932" s="34"/>
      <c r="DB932" s="33"/>
      <c r="DC932" s="33"/>
      <c r="DD932" s="33"/>
      <c r="DE932" s="33"/>
      <c r="DF932" s="33"/>
      <c r="DG932" s="33"/>
      <c r="DH932" s="34"/>
      <c r="DI932" s="34"/>
      <c r="DJ932" s="34"/>
      <c r="DK932" s="34"/>
      <c r="DL932" s="34"/>
      <c r="DM932" s="34"/>
      <c r="DN932" s="12">
        <v>5102091</v>
      </c>
      <c r="DS932" s="21"/>
      <c r="DT932" s="21"/>
      <c r="DU932" s="21"/>
    </row>
    <row r="933" spans="72:125" ht="13.5" customHeight="1">
      <c r="BT933" s="12">
        <v>5206092</v>
      </c>
      <c r="BU933" s="3">
        <f>[1]monsters!$N933</f>
        <v>0</v>
      </c>
      <c r="BV933" s="3">
        <f>[1]monsters!$O933</f>
        <v>0</v>
      </c>
      <c r="BW933" s="3">
        <f>[1]monsters!$P933</f>
        <v>0</v>
      </c>
      <c r="BX933" s="3">
        <f>[1]monsters!$Q933</f>
        <v>0</v>
      </c>
      <c r="BY933" s="3">
        <f>[1]monsters!$R933</f>
        <v>0</v>
      </c>
      <c r="BZ933" s="3">
        <f>[1]monsters!$S933</f>
        <v>0</v>
      </c>
      <c r="CA933" s="3">
        <f>[1]monsters!$K933</f>
        <v>0</v>
      </c>
      <c r="CB933" s="12">
        <f>[1]monsters!$D933</f>
        <v>0</v>
      </c>
      <c r="CC933" s="12">
        <f t="shared" ca="1" si="70"/>
        <v>0.1</v>
      </c>
      <c r="CD933" s="12">
        <f t="shared" ca="1" si="71"/>
        <v>132.48696565656601</v>
      </c>
      <c r="CE933" s="12">
        <f t="shared" ca="1" si="72"/>
        <v>13.2486965656566</v>
      </c>
      <c r="CS933" s="33"/>
      <c r="CT933" s="33"/>
      <c r="CU933" s="33"/>
      <c r="CV933" s="32"/>
      <c r="CW933" s="32"/>
      <c r="CX933" s="32"/>
      <c r="CY933" s="34"/>
      <c r="CZ933" s="34"/>
      <c r="DA933" s="34"/>
      <c r="DB933" s="33"/>
      <c r="DC933" s="33"/>
      <c r="DD933" s="33"/>
      <c r="DE933" s="33"/>
      <c r="DF933" s="33"/>
      <c r="DG933" s="33"/>
      <c r="DH933" s="34"/>
      <c r="DI933" s="34"/>
      <c r="DJ933" s="34"/>
      <c r="DK933" s="34"/>
      <c r="DL933" s="34"/>
      <c r="DM933" s="34"/>
      <c r="DN933" s="12">
        <v>5206092</v>
      </c>
      <c r="DS933" s="21"/>
      <c r="DT933" s="21"/>
      <c r="DU933" s="21"/>
    </row>
    <row r="934" spans="72:125" ht="13.5" customHeight="1">
      <c r="BT934" s="12">
        <v>5406092</v>
      </c>
      <c r="BU934" s="3">
        <f>[1]monsters!$N934</f>
        <v>0</v>
      </c>
      <c r="BV934" s="3">
        <f>[1]monsters!$O934</f>
        <v>0</v>
      </c>
      <c r="BW934" s="3">
        <f>[1]monsters!$P934</f>
        <v>0</v>
      </c>
      <c r="BX934" s="3">
        <f>[1]monsters!$Q934</f>
        <v>0</v>
      </c>
      <c r="BY934" s="3">
        <f>[1]monsters!$R934</f>
        <v>0</v>
      </c>
      <c r="BZ934" s="3">
        <f>[1]monsters!$S934</f>
        <v>0</v>
      </c>
      <c r="CA934" s="3">
        <f>[1]monsters!$K934</f>
        <v>0</v>
      </c>
      <c r="CB934" s="12">
        <f>[1]monsters!$D934</f>
        <v>0</v>
      </c>
      <c r="CC934" s="12">
        <f t="shared" ca="1" si="70"/>
        <v>0.1</v>
      </c>
      <c r="CD934" s="12">
        <f t="shared" ca="1" si="71"/>
        <v>123.425829568411</v>
      </c>
      <c r="CE934" s="12">
        <f t="shared" ca="1" si="72"/>
        <v>12.342582956841101</v>
      </c>
      <c r="CS934" s="33"/>
      <c r="CT934" s="33"/>
      <c r="CU934" s="33"/>
      <c r="CV934" s="32"/>
      <c r="CW934" s="32"/>
      <c r="CX934" s="32"/>
      <c r="CY934" s="34"/>
      <c r="CZ934" s="34"/>
      <c r="DA934" s="34"/>
      <c r="DB934" s="33"/>
      <c r="DC934" s="33"/>
      <c r="DD934" s="33"/>
      <c r="DE934" s="33"/>
      <c r="DF934" s="33"/>
      <c r="DG934" s="33"/>
      <c r="DH934" s="34"/>
      <c r="DI934" s="34"/>
      <c r="DJ934" s="34"/>
      <c r="DK934" s="34"/>
      <c r="DL934" s="34"/>
      <c r="DM934" s="34"/>
      <c r="DN934" s="12">
        <v>5406092</v>
      </c>
      <c r="DS934" s="21"/>
      <c r="DT934" s="21"/>
      <c r="DU934" s="21"/>
    </row>
    <row r="935" spans="72:125" ht="13.5" customHeight="1">
      <c r="BT935" s="12">
        <v>5205092</v>
      </c>
      <c r="BU935" s="3">
        <f>[1]monsters!$N935</f>
        <v>0</v>
      </c>
      <c r="BV935" s="3">
        <f>[1]monsters!$O935</f>
        <v>0</v>
      </c>
      <c r="BW935" s="3">
        <f>[1]monsters!$P935</f>
        <v>0</v>
      </c>
      <c r="BX935" s="3">
        <f>[1]monsters!$Q935</f>
        <v>0</v>
      </c>
      <c r="BY935" s="3">
        <f>[1]monsters!$R935</f>
        <v>0</v>
      </c>
      <c r="BZ935" s="3">
        <f>[1]monsters!$S935</f>
        <v>0</v>
      </c>
      <c r="CA935" s="3">
        <f>[1]monsters!$K935</f>
        <v>0</v>
      </c>
      <c r="CB935" s="12">
        <f>[1]monsters!$D935</f>
        <v>0</v>
      </c>
      <c r="CC935" s="12">
        <f t="shared" ca="1" si="70"/>
        <v>0.1</v>
      </c>
      <c r="CD935" s="12">
        <f t="shared" ca="1" si="71"/>
        <v>144.28056565656601</v>
      </c>
      <c r="CE935" s="12">
        <f t="shared" ca="1" si="72"/>
        <v>14.4280565656566</v>
      </c>
      <c r="CS935" s="33"/>
      <c r="CT935" s="33"/>
      <c r="CU935" s="33"/>
      <c r="CV935" s="32"/>
      <c r="CW935" s="32"/>
      <c r="CX935" s="32"/>
      <c r="CY935" s="34"/>
      <c r="CZ935" s="34"/>
      <c r="DA935" s="34"/>
      <c r="DB935" s="33"/>
      <c r="DC935" s="33"/>
      <c r="DD935" s="33"/>
      <c r="DE935" s="33"/>
      <c r="DF935" s="33"/>
      <c r="DG935" s="33"/>
      <c r="DH935" s="34"/>
      <c r="DI935" s="34"/>
      <c r="DJ935" s="34"/>
      <c r="DK935" s="34"/>
      <c r="DL935" s="34"/>
      <c r="DM935" s="34"/>
      <c r="DN935" s="12">
        <v>5205092</v>
      </c>
      <c r="DS935" s="21"/>
      <c r="DT935" s="21"/>
      <c r="DU935" s="21"/>
    </row>
    <row r="936" spans="72:125" ht="13.5" customHeight="1">
      <c r="BT936" s="12">
        <v>5405092</v>
      </c>
      <c r="BU936" s="3">
        <f>[1]monsters!$N936</f>
        <v>0</v>
      </c>
      <c r="BV936" s="3">
        <f>[1]monsters!$O936</f>
        <v>0</v>
      </c>
      <c r="BW936" s="3">
        <f>[1]monsters!$P936</f>
        <v>0</v>
      </c>
      <c r="BX936" s="3">
        <f>[1]monsters!$Q936</f>
        <v>0</v>
      </c>
      <c r="BY936" s="3">
        <f>[1]monsters!$R936</f>
        <v>0</v>
      </c>
      <c r="BZ936" s="3">
        <f>[1]monsters!$S936</f>
        <v>0</v>
      </c>
      <c r="CA936" s="3">
        <f>[1]monsters!$K936</f>
        <v>0</v>
      </c>
      <c r="CB936" s="12">
        <f>[1]monsters!$D936</f>
        <v>0</v>
      </c>
      <c r="CC936" s="12">
        <f t="shared" ca="1" si="70"/>
        <v>0.1</v>
      </c>
      <c r="CD936" s="12">
        <f t="shared" ca="1" si="71"/>
        <v>128.831229568411</v>
      </c>
      <c r="CE936" s="12">
        <f t="shared" ca="1" si="72"/>
        <v>12.883122956841101</v>
      </c>
      <c r="CS936" s="33"/>
      <c r="CT936" s="33"/>
      <c r="CU936" s="33"/>
      <c r="CV936" s="32"/>
      <c r="CW936" s="32"/>
      <c r="CX936" s="32"/>
      <c r="CY936" s="34"/>
      <c r="CZ936" s="34"/>
      <c r="DA936" s="34"/>
      <c r="DB936" s="33"/>
      <c r="DC936" s="33"/>
      <c r="DD936" s="33"/>
      <c r="DE936" s="33"/>
      <c r="DF936" s="33"/>
      <c r="DG936" s="33"/>
      <c r="DH936" s="34"/>
      <c r="DI936" s="34"/>
      <c r="DJ936" s="34"/>
      <c r="DK936" s="34"/>
      <c r="DL936" s="34"/>
      <c r="DM936" s="34"/>
      <c r="DN936" s="12">
        <v>5405092</v>
      </c>
      <c r="DS936" s="21"/>
      <c r="DT936" s="21"/>
      <c r="DU936" s="21"/>
    </row>
    <row r="937" spans="72:125" ht="13.5" customHeight="1">
      <c r="BT937" s="12">
        <v>5203092</v>
      </c>
      <c r="BU937" s="3">
        <f>[1]monsters!$N937</f>
        <v>0</v>
      </c>
      <c r="BV937" s="3">
        <f>[1]monsters!$O937</f>
        <v>0</v>
      </c>
      <c r="BW937" s="3">
        <f>[1]monsters!$P937</f>
        <v>0</v>
      </c>
      <c r="BX937" s="3">
        <f>[1]monsters!$Q937</f>
        <v>0</v>
      </c>
      <c r="BY937" s="3">
        <f>[1]monsters!$R937</f>
        <v>0</v>
      </c>
      <c r="BZ937" s="3">
        <f>[1]monsters!$S937</f>
        <v>0</v>
      </c>
      <c r="CA937" s="3">
        <f>[1]monsters!$K937</f>
        <v>0</v>
      </c>
      <c r="CB937" s="12">
        <f>[1]monsters!$D937</f>
        <v>0</v>
      </c>
      <c r="CC937" s="12">
        <f t="shared" ca="1" si="70"/>
        <v>0.1</v>
      </c>
      <c r="CD937" s="12">
        <f t="shared" ca="1" si="71"/>
        <v>116.762165656566</v>
      </c>
      <c r="CE937" s="12">
        <f t="shared" ca="1" si="72"/>
        <v>11.676216565656601</v>
      </c>
      <c r="CS937" s="33"/>
      <c r="CT937" s="33"/>
      <c r="CU937" s="33"/>
      <c r="CV937" s="32"/>
      <c r="CW937" s="32"/>
      <c r="CX937" s="32"/>
      <c r="CY937" s="34"/>
      <c r="CZ937" s="34"/>
      <c r="DA937" s="34"/>
      <c r="DB937" s="33"/>
      <c r="DC937" s="33"/>
      <c r="DD937" s="33"/>
      <c r="DE937" s="33"/>
      <c r="DF937" s="33"/>
      <c r="DG937" s="33"/>
      <c r="DH937" s="34"/>
      <c r="DI937" s="34"/>
      <c r="DJ937" s="34"/>
      <c r="DK937" s="34"/>
      <c r="DL937" s="34"/>
      <c r="DM937" s="34"/>
      <c r="DN937" s="12">
        <v>5203092</v>
      </c>
      <c r="DS937" s="21"/>
      <c r="DT937" s="21"/>
      <c r="DU937" s="21"/>
    </row>
    <row r="938" spans="72:125" ht="13.5" customHeight="1">
      <c r="BT938" s="12">
        <v>5403092</v>
      </c>
      <c r="BU938" s="3">
        <f>[1]monsters!$N938</f>
        <v>0</v>
      </c>
      <c r="BV938" s="3">
        <f>[1]monsters!$O938</f>
        <v>0</v>
      </c>
      <c r="BW938" s="3">
        <f>[1]monsters!$P938</f>
        <v>0</v>
      </c>
      <c r="BX938" s="3">
        <f>[1]monsters!$Q938</f>
        <v>0</v>
      </c>
      <c r="BY938" s="3">
        <f>[1]monsters!$R938</f>
        <v>0</v>
      </c>
      <c r="BZ938" s="3">
        <f>[1]monsters!$S938</f>
        <v>0</v>
      </c>
      <c r="CA938" s="3">
        <f>[1]monsters!$K938</f>
        <v>0</v>
      </c>
      <c r="CB938" s="12">
        <f>[1]monsters!$D938</f>
        <v>0</v>
      </c>
      <c r="CC938" s="12">
        <f t="shared" ca="1" si="70"/>
        <v>0.1</v>
      </c>
      <c r="CD938" s="12">
        <f t="shared" ca="1" si="71"/>
        <v>107.209629568411</v>
      </c>
      <c r="CE938" s="12">
        <f t="shared" ca="1" si="72"/>
        <v>10.720962956841101</v>
      </c>
      <c r="CS938" s="33"/>
      <c r="CT938" s="33"/>
      <c r="CU938" s="33"/>
      <c r="CV938" s="32"/>
      <c r="CW938" s="32"/>
      <c r="CX938" s="32"/>
      <c r="CY938" s="34"/>
      <c r="CZ938" s="34"/>
      <c r="DA938" s="34"/>
      <c r="DB938" s="33"/>
      <c r="DC938" s="33"/>
      <c r="DD938" s="33"/>
      <c r="DE938" s="33"/>
      <c r="DF938" s="33"/>
      <c r="DG938" s="33"/>
      <c r="DH938" s="34"/>
      <c r="DI938" s="34"/>
      <c r="DJ938" s="34"/>
      <c r="DK938" s="34"/>
      <c r="DL938" s="34"/>
      <c r="DM938" s="34"/>
      <c r="DN938" s="12">
        <v>5403092</v>
      </c>
      <c r="DS938" s="21"/>
      <c r="DT938" s="21"/>
      <c r="DU938" s="21"/>
    </row>
    <row r="939" spans="72:125" ht="13.5" customHeight="1">
      <c r="BT939" s="12">
        <v>5204092</v>
      </c>
      <c r="BU939" s="3">
        <f>[1]monsters!$N939</f>
        <v>0</v>
      </c>
      <c r="BV939" s="3">
        <f>[1]monsters!$O939</f>
        <v>0</v>
      </c>
      <c r="BW939" s="3">
        <f>[1]monsters!$P939</f>
        <v>0</v>
      </c>
      <c r="BX939" s="3">
        <f>[1]monsters!$Q939</f>
        <v>0</v>
      </c>
      <c r="BY939" s="3">
        <f>[1]monsters!$R939</f>
        <v>0</v>
      </c>
      <c r="BZ939" s="3">
        <f>[1]monsters!$S939</f>
        <v>0</v>
      </c>
      <c r="CA939" s="3">
        <f>[1]monsters!$K939</f>
        <v>0</v>
      </c>
      <c r="CB939" s="12">
        <f>[1]monsters!$D939</f>
        <v>0</v>
      </c>
      <c r="CC939" s="12">
        <f t="shared" ca="1" si="70"/>
        <v>0.1</v>
      </c>
      <c r="CD939" s="12">
        <f t="shared" ca="1" si="71"/>
        <v>120.693365656566</v>
      </c>
      <c r="CE939" s="12">
        <f t="shared" ca="1" si="72"/>
        <v>12.069336565656601</v>
      </c>
      <c r="CS939" s="33"/>
      <c r="CT939" s="33"/>
      <c r="CU939" s="33"/>
      <c r="CV939" s="32"/>
      <c r="CW939" s="32"/>
      <c r="CX939" s="32"/>
      <c r="CY939" s="34"/>
      <c r="CZ939" s="34"/>
      <c r="DA939" s="34"/>
      <c r="DB939" s="33"/>
      <c r="DC939" s="33"/>
      <c r="DD939" s="33"/>
      <c r="DE939" s="33"/>
      <c r="DF939" s="33"/>
      <c r="DG939" s="33"/>
      <c r="DH939" s="34"/>
      <c r="DI939" s="34"/>
      <c r="DJ939" s="34"/>
      <c r="DK939" s="34"/>
      <c r="DL939" s="34"/>
      <c r="DM939" s="34"/>
      <c r="DN939" s="12">
        <v>5204092</v>
      </c>
      <c r="DS939" s="21"/>
      <c r="DT939" s="21"/>
      <c r="DU939" s="21"/>
    </row>
    <row r="940" spans="72:125" ht="13.5" customHeight="1">
      <c r="BT940" s="12">
        <v>5404092</v>
      </c>
      <c r="BU940" s="3">
        <f>[1]monsters!$N940</f>
        <v>0</v>
      </c>
      <c r="BV940" s="3">
        <f>[1]monsters!$O940</f>
        <v>0</v>
      </c>
      <c r="BW940" s="3">
        <f>[1]monsters!$P940</f>
        <v>0</v>
      </c>
      <c r="BX940" s="3">
        <f>[1]monsters!$Q940</f>
        <v>0</v>
      </c>
      <c r="BY940" s="3">
        <f>[1]monsters!$R940</f>
        <v>0</v>
      </c>
      <c r="BZ940" s="3">
        <f>[1]monsters!$S940</f>
        <v>0</v>
      </c>
      <c r="CA940" s="3">
        <f>[1]monsters!$K940</f>
        <v>0</v>
      </c>
      <c r="CB940" s="12">
        <f>[1]monsters!$D940</f>
        <v>0</v>
      </c>
      <c r="CC940" s="12">
        <f t="shared" ca="1" si="70"/>
        <v>0.1</v>
      </c>
      <c r="CD940" s="12">
        <f t="shared" ca="1" si="71"/>
        <v>128.831229568411</v>
      </c>
      <c r="CE940" s="12">
        <f t="shared" ca="1" si="72"/>
        <v>12.883122956841101</v>
      </c>
      <c r="CS940" s="33"/>
      <c r="CT940" s="33"/>
      <c r="CU940" s="33"/>
      <c r="CV940" s="32"/>
      <c r="CW940" s="32"/>
      <c r="CX940" s="32"/>
      <c r="CY940" s="34"/>
      <c r="CZ940" s="34"/>
      <c r="DA940" s="34"/>
      <c r="DB940" s="33"/>
      <c r="DC940" s="33"/>
      <c r="DD940" s="33"/>
      <c r="DE940" s="33"/>
      <c r="DF940" s="33"/>
      <c r="DG940" s="33"/>
      <c r="DH940" s="34"/>
      <c r="DI940" s="34"/>
      <c r="DJ940" s="34"/>
      <c r="DK940" s="34"/>
      <c r="DL940" s="34"/>
      <c r="DM940" s="34"/>
      <c r="DN940" s="12">
        <v>5404092</v>
      </c>
      <c r="DS940" s="21"/>
      <c r="DT940" s="21"/>
      <c r="DU940" s="21"/>
    </row>
    <row r="941" spans="72:125" ht="13.5" customHeight="1">
      <c r="BT941" s="12">
        <v>5303092</v>
      </c>
      <c r="BU941" s="3">
        <f>[1]monsters!$N941</f>
        <v>0</v>
      </c>
      <c r="BV941" s="3">
        <f>[1]monsters!$O941</f>
        <v>0</v>
      </c>
      <c r="BW941" s="3">
        <f>[1]monsters!$P941</f>
        <v>0</v>
      </c>
      <c r="BX941" s="3">
        <f>[1]monsters!$Q941</f>
        <v>0</v>
      </c>
      <c r="BY941" s="3">
        <f>[1]monsters!$R941</f>
        <v>0</v>
      </c>
      <c r="BZ941" s="3">
        <f>[1]monsters!$S941</f>
        <v>0</v>
      </c>
      <c r="CA941" s="3">
        <f>[1]monsters!$K941</f>
        <v>0</v>
      </c>
      <c r="CB941" s="12">
        <f>[1]monsters!$D941</f>
        <v>0</v>
      </c>
      <c r="CC941" s="12">
        <f t="shared" ca="1" si="70"/>
        <v>0.1</v>
      </c>
      <c r="CD941" s="12">
        <f t="shared" ca="1" si="71"/>
        <v>115.85519169472499</v>
      </c>
      <c r="CE941" s="12">
        <f t="shared" ca="1" si="72"/>
        <v>11.5855191694725</v>
      </c>
      <c r="CS941" s="33"/>
      <c r="CT941" s="33"/>
      <c r="CU941" s="33"/>
      <c r="CV941" s="32"/>
      <c r="CW941" s="32"/>
      <c r="CX941" s="32"/>
      <c r="CY941" s="34"/>
      <c r="CZ941" s="34"/>
      <c r="DA941" s="34"/>
      <c r="DB941" s="33"/>
      <c r="DC941" s="33"/>
      <c r="DD941" s="33"/>
      <c r="DE941" s="33"/>
      <c r="DF941" s="33"/>
      <c r="DG941" s="33"/>
      <c r="DH941" s="34"/>
      <c r="DI941" s="34"/>
      <c r="DJ941" s="34"/>
      <c r="DK941" s="34"/>
      <c r="DL941" s="34"/>
      <c r="DM941" s="34"/>
      <c r="DN941" s="12">
        <v>5303092</v>
      </c>
      <c r="DS941" s="21"/>
      <c r="DT941" s="21"/>
      <c r="DU941" s="21"/>
    </row>
    <row r="942" spans="72:125" ht="13.5" customHeight="1">
      <c r="BT942" s="12">
        <v>5304092</v>
      </c>
      <c r="BU942" s="3">
        <f>[1]monsters!$N942</f>
        <v>0</v>
      </c>
      <c r="BV942" s="3">
        <f>[1]monsters!$O942</f>
        <v>0</v>
      </c>
      <c r="BW942" s="3">
        <f>[1]monsters!$P942</f>
        <v>0</v>
      </c>
      <c r="BX942" s="3">
        <f>[1]monsters!$Q942</f>
        <v>0</v>
      </c>
      <c r="BY942" s="3">
        <f>[1]monsters!$R942</f>
        <v>0</v>
      </c>
      <c r="BZ942" s="3">
        <f>[1]monsters!$S942</f>
        <v>0</v>
      </c>
      <c r="CA942" s="3">
        <f>[1]monsters!$K942</f>
        <v>0</v>
      </c>
      <c r="CB942" s="12">
        <f>[1]monsters!$D942</f>
        <v>0</v>
      </c>
      <c r="CC942" s="12">
        <f t="shared" ca="1" si="70"/>
        <v>0.1</v>
      </c>
      <c r="CD942" s="12">
        <f t="shared" ca="1" si="71"/>
        <v>120.277791694725</v>
      </c>
      <c r="CE942" s="12">
        <f t="shared" ca="1" si="72"/>
        <v>12.027779169472501</v>
      </c>
      <c r="CS942" s="33"/>
      <c r="CT942" s="33"/>
      <c r="CU942" s="33"/>
      <c r="CV942" s="32"/>
      <c r="CW942" s="32"/>
      <c r="CX942" s="32"/>
      <c r="CY942" s="34"/>
      <c r="CZ942" s="34"/>
      <c r="DA942" s="34"/>
      <c r="DB942" s="33"/>
      <c r="DC942" s="33"/>
      <c r="DD942" s="33"/>
      <c r="DE942" s="33"/>
      <c r="DF942" s="33"/>
      <c r="DG942" s="33"/>
      <c r="DH942" s="34"/>
      <c r="DI942" s="34"/>
      <c r="DJ942" s="34"/>
      <c r="DK942" s="34"/>
      <c r="DL942" s="34"/>
      <c r="DM942" s="34"/>
      <c r="DN942" s="12">
        <v>5304092</v>
      </c>
      <c r="DS942" s="21"/>
      <c r="DT942" s="21"/>
      <c r="DU942" s="21"/>
    </row>
    <row r="943" spans="72:125" ht="13.5" customHeight="1">
      <c r="BT943" s="12">
        <v>5503092</v>
      </c>
      <c r="BU943" s="3">
        <f>[1]monsters!$N943</f>
        <v>0</v>
      </c>
      <c r="BV943" s="3">
        <f>[1]monsters!$O943</f>
        <v>0</v>
      </c>
      <c r="BW943" s="3">
        <f>[1]monsters!$P943</f>
        <v>0</v>
      </c>
      <c r="BX943" s="3">
        <f>[1]monsters!$Q943</f>
        <v>0</v>
      </c>
      <c r="BY943" s="3">
        <f>[1]monsters!$R943</f>
        <v>0</v>
      </c>
      <c r="BZ943" s="3">
        <f>[1]monsters!$S943</f>
        <v>0</v>
      </c>
      <c r="CA943" s="3">
        <f>[1]monsters!$K943</f>
        <v>0</v>
      </c>
      <c r="CB943" s="12">
        <f>[1]monsters!$D943</f>
        <v>0</v>
      </c>
      <c r="CC943" s="12">
        <f t="shared" ca="1" si="70"/>
        <v>0.1</v>
      </c>
      <c r="CD943" s="12">
        <f t="shared" ca="1" si="71"/>
        <v>138.119843771044</v>
      </c>
      <c r="CE943" s="12">
        <f t="shared" ca="1" si="72"/>
        <v>13.8119843771044</v>
      </c>
      <c r="CS943" s="33"/>
      <c r="CT943" s="33"/>
      <c r="CU943" s="33"/>
      <c r="CV943" s="32"/>
      <c r="CW943" s="32"/>
      <c r="CX943" s="32"/>
      <c r="CY943" s="34"/>
      <c r="CZ943" s="34"/>
      <c r="DA943" s="34"/>
      <c r="DB943" s="33"/>
      <c r="DC943" s="33"/>
      <c r="DD943" s="33"/>
      <c r="DE943" s="33"/>
      <c r="DF943" s="33"/>
      <c r="DG943" s="33"/>
      <c r="DH943" s="34"/>
      <c r="DI943" s="34"/>
      <c r="DJ943" s="34"/>
      <c r="DK943" s="34"/>
      <c r="DL943" s="34"/>
      <c r="DM943" s="34"/>
      <c r="DN943" s="12">
        <v>5503092</v>
      </c>
      <c r="DS943" s="21"/>
      <c r="DT943" s="21"/>
      <c r="DU943" s="21"/>
    </row>
    <row r="944" spans="72:125" ht="13.5" customHeight="1">
      <c r="BT944" s="12">
        <v>5504092</v>
      </c>
      <c r="BU944" s="3">
        <f>[1]monsters!$N944</f>
        <v>0</v>
      </c>
      <c r="BV944" s="3">
        <f>[1]monsters!$O944</f>
        <v>0</v>
      </c>
      <c r="BW944" s="3">
        <f>[1]monsters!$P944</f>
        <v>0</v>
      </c>
      <c r="BX944" s="3">
        <f>[1]monsters!$Q944</f>
        <v>0</v>
      </c>
      <c r="BY944" s="3">
        <f>[1]monsters!$R944</f>
        <v>0</v>
      </c>
      <c r="BZ944" s="3">
        <f>[1]monsters!$S944</f>
        <v>0</v>
      </c>
      <c r="CA944" s="3">
        <f>[1]monsters!$K944</f>
        <v>0</v>
      </c>
      <c r="CB944" s="12">
        <f>[1]monsters!$D944</f>
        <v>0</v>
      </c>
      <c r="CC944" s="12">
        <f t="shared" ca="1" si="70"/>
        <v>0.1</v>
      </c>
      <c r="CD944" s="12">
        <f t="shared" ca="1" si="71"/>
        <v>149.913443771044</v>
      </c>
      <c r="CE944" s="12">
        <f t="shared" ca="1" si="72"/>
        <v>14.991344377104401</v>
      </c>
      <c r="CS944" s="33"/>
      <c r="CT944" s="33"/>
      <c r="CU944" s="33"/>
      <c r="CV944" s="32"/>
      <c r="CW944" s="32"/>
      <c r="CX944" s="32"/>
      <c r="CY944" s="34"/>
      <c r="CZ944" s="34"/>
      <c r="DA944" s="34"/>
      <c r="DB944" s="33"/>
      <c r="DC944" s="33"/>
      <c r="DD944" s="33"/>
      <c r="DE944" s="33"/>
      <c r="DF944" s="33"/>
      <c r="DG944" s="33"/>
      <c r="DH944" s="34"/>
      <c r="DI944" s="34"/>
      <c r="DJ944" s="34"/>
      <c r="DK944" s="34"/>
      <c r="DL944" s="34"/>
      <c r="DM944" s="34"/>
      <c r="DN944" s="12">
        <v>5504092</v>
      </c>
      <c r="DS944" s="21"/>
      <c r="DT944" s="21"/>
      <c r="DU944" s="21"/>
    </row>
    <row r="945" spans="72:125" ht="13.5" customHeight="1">
      <c r="BT945" s="12">
        <v>5101092</v>
      </c>
      <c r="BU945" s="3">
        <f>[1]monsters!$N945</f>
        <v>0</v>
      </c>
      <c r="BV945" s="3">
        <f>[1]monsters!$O945</f>
        <v>0</v>
      </c>
      <c r="BW945" s="3">
        <f>[1]monsters!$P945</f>
        <v>0</v>
      </c>
      <c r="BX945" s="3">
        <f>[1]monsters!$Q945</f>
        <v>0</v>
      </c>
      <c r="BY945" s="3">
        <f>[1]monsters!$R945</f>
        <v>0</v>
      </c>
      <c r="BZ945" s="3">
        <f>[1]monsters!$S945</f>
        <v>0</v>
      </c>
      <c r="CA945" s="3">
        <f>[1]monsters!$K945</f>
        <v>0</v>
      </c>
      <c r="CB945" s="12">
        <f>[1]monsters!$D945</f>
        <v>0</v>
      </c>
      <c r="CC945" s="12">
        <f t="shared" ca="1" si="70"/>
        <v>0.1</v>
      </c>
      <c r="CD945" s="12">
        <f t="shared" ca="1" si="71"/>
        <v>131.14925252525299</v>
      </c>
      <c r="CE945" s="12">
        <f t="shared" ca="1" si="72"/>
        <v>13.1149252525253</v>
      </c>
      <c r="CS945" s="33"/>
      <c r="CT945" s="33"/>
      <c r="CU945" s="33"/>
      <c r="CV945" s="32"/>
      <c r="CW945" s="32"/>
      <c r="CX945" s="32"/>
      <c r="CY945" s="34"/>
      <c r="CZ945" s="34"/>
      <c r="DA945" s="34"/>
      <c r="DB945" s="33"/>
      <c r="DC945" s="33"/>
      <c r="DD945" s="33"/>
      <c r="DE945" s="33"/>
      <c r="DF945" s="33"/>
      <c r="DG945" s="33"/>
      <c r="DH945" s="34"/>
      <c r="DI945" s="34"/>
      <c r="DJ945" s="34"/>
      <c r="DK945" s="34"/>
      <c r="DL945" s="34"/>
      <c r="DM945" s="34"/>
      <c r="DN945" s="12">
        <v>5101092</v>
      </c>
      <c r="DS945" s="21"/>
      <c r="DT945" s="21"/>
      <c r="DU945" s="21"/>
    </row>
    <row r="946" spans="72:125" ht="13.5" customHeight="1">
      <c r="BT946" s="12">
        <v>5102092</v>
      </c>
      <c r="BU946" s="3">
        <f>[1]monsters!$N946</f>
        <v>0</v>
      </c>
      <c r="BV946" s="3">
        <f>[1]monsters!$O946</f>
        <v>0</v>
      </c>
      <c r="BW946" s="3">
        <f>[1]monsters!$P946</f>
        <v>0</v>
      </c>
      <c r="BX946" s="3">
        <f>[1]monsters!$Q946</f>
        <v>0</v>
      </c>
      <c r="BY946" s="3">
        <f>[1]monsters!$R946</f>
        <v>0</v>
      </c>
      <c r="BZ946" s="3">
        <f>[1]monsters!$S946</f>
        <v>0</v>
      </c>
      <c r="CA946" s="3">
        <f>[1]monsters!$K946</f>
        <v>0</v>
      </c>
      <c r="CB946" s="12">
        <f>[1]monsters!$D946</f>
        <v>0</v>
      </c>
      <c r="CC946" s="12">
        <f t="shared" ca="1" si="70"/>
        <v>0.1</v>
      </c>
      <c r="CD946" s="12">
        <f t="shared" ca="1" si="71"/>
        <v>121.321252525253</v>
      </c>
      <c r="CE946" s="12">
        <f t="shared" ca="1" si="72"/>
        <v>12.1321252525253</v>
      </c>
      <c r="CS946" s="33"/>
      <c r="CT946" s="33"/>
      <c r="CU946" s="33"/>
      <c r="CV946" s="32"/>
      <c r="CW946" s="32"/>
      <c r="CX946" s="32"/>
      <c r="CY946" s="34"/>
      <c r="CZ946" s="34"/>
      <c r="DA946" s="34"/>
      <c r="DB946" s="33"/>
      <c r="DC946" s="33"/>
      <c r="DD946" s="33"/>
      <c r="DE946" s="33"/>
      <c r="DF946" s="33"/>
      <c r="DG946" s="33"/>
      <c r="DH946" s="34"/>
      <c r="DI946" s="34"/>
      <c r="DJ946" s="34"/>
      <c r="DK946" s="34"/>
      <c r="DL946" s="34"/>
      <c r="DM946" s="34"/>
      <c r="DN946" s="12">
        <v>5102092</v>
      </c>
      <c r="DS946" s="21"/>
      <c r="DT946" s="21"/>
      <c r="DU946" s="21"/>
    </row>
    <row r="947" spans="72:125" ht="13.5" customHeight="1">
      <c r="BT947" s="12">
        <v>5206093</v>
      </c>
      <c r="BU947" s="3">
        <f>[1]monsters!$N947</f>
        <v>0</v>
      </c>
      <c r="BV947" s="3">
        <f>[1]monsters!$O947</f>
        <v>0</v>
      </c>
      <c r="BW947" s="3">
        <f>[1]monsters!$P947</f>
        <v>0</v>
      </c>
      <c r="BX947" s="3">
        <f>[1]monsters!$Q947</f>
        <v>0</v>
      </c>
      <c r="BY947" s="3">
        <f>[1]monsters!$R947</f>
        <v>0</v>
      </c>
      <c r="BZ947" s="3">
        <f>[1]monsters!$S947</f>
        <v>0</v>
      </c>
      <c r="CA947" s="3">
        <f>[1]monsters!$K947</f>
        <v>0</v>
      </c>
      <c r="CB947" s="12">
        <f>[1]monsters!$D947</f>
        <v>0</v>
      </c>
      <c r="CC947" s="12">
        <f t="shared" ca="1" si="70"/>
        <v>0.1</v>
      </c>
      <c r="CD947" s="12">
        <f t="shared" ca="1" si="71"/>
        <v>132.48696565656601</v>
      </c>
      <c r="CE947" s="12">
        <f t="shared" ca="1" si="72"/>
        <v>13.2486965656566</v>
      </c>
      <c r="CS947" s="33"/>
      <c r="CT947" s="33"/>
      <c r="CU947" s="33"/>
      <c r="CV947" s="32"/>
      <c r="CW947" s="32"/>
      <c r="CX947" s="32"/>
      <c r="CY947" s="34"/>
      <c r="CZ947" s="34"/>
      <c r="DA947" s="34"/>
      <c r="DB947" s="33"/>
      <c r="DC947" s="33"/>
      <c r="DD947" s="33"/>
      <c r="DE947" s="33"/>
      <c r="DF947" s="33"/>
      <c r="DG947" s="33"/>
      <c r="DH947" s="34"/>
      <c r="DI947" s="34"/>
      <c r="DJ947" s="34"/>
      <c r="DK947" s="34"/>
      <c r="DL947" s="34"/>
      <c r="DM947" s="34"/>
      <c r="DN947" s="12">
        <v>5206093</v>
      </c>
      <c r="DS947" s="21"/>
      <c r="DT947" s="21"/>
      <c r="DU947" s="21"/>
    </row>
    <row r="948" spans="72:125" ht="13.5" customHeight="1">
      <c r="BT948" s="12">
        <v>5406093</v>
      </c>
      <c r="BU948" s="3">
        <f>[1]monsters!$N948</f>
        <v>0</v>
      </c>
      <c r="BV948" s="3">
        <f>[1]monsters!$O948</f>
        <v>0</v>
      </c>
      <c r="BW948" s="3">
        <f>[1]monsters!$P948</f>
        <v>0</v>
      </c>
      <c r="BX948" s="3">
        <f>[1]monsters!$Q948</f>
        <v>0</v>
      </c>
      <c r="BY948" s="3">
        <f>[1]monsters!$R948</f>
        <v>0</v>
      </c>
      <c r="BZ948" s="3">
        <f>[1]monsters!$S948</f>
        <v>0</v>
      </c>
      <c r="CA948" s="3">
        <f>[1]monsters!$K948</f>
        <v>0</v>
      </c>
      <c r="CB948" s="12">
        <f>[1]monsters!$D948</f>
        <v>0</v>
      </c>
      <c r="CC948" s="12">
        <f t="shared" ca="1" si="70"/>
        <v>0.1</v>
      </c>
      <c r="CD948" s="12">
        <f t="shared" ca="1" si="71"/>
        <v>123.425829568411</v>
      </c>
      <c r="CE948" s="12">
        <f t="shared" ca="1" si="72"/>
        <v>12.342582956841101</v>
      </c>
      <c r="CS948" s="33"/>
      <c r="CT948" s="33"/>
      <c r="CU948" s="33"/>
      <c r="CV948" s="32"/>
      <c r="CW948" s="32"/>
      <c r="CX948" s="32"/>
      <c r="CY948" s="34"/>
      <c r="CZ948" s="34"/>
      <c r="DA948" s="34"/>
      <c r="DB948" s="33"/>
      <c r="DC948" s="33"/>
      <c r="DD948" s="33"/>
      <c r="DE948" s="33"/>
      <c r="DF948" s="33"/>
      <c r="DG948" s="33"/>
      <c r="DH948" s="34"/>
      <c r="DI948" s="34"/>
      <c r="DJ948" s="34"/>
      <c r="DK948" s="34"/>
      <c r="DL948" s="34"/>
      <c r="DM948" s="34"/>
      <c r="DN948" s="12">
        <v>5406093</v>
      </c>
      <c r="DS948" s="21"/>
      <c r="DT948" s="21"/>
      <c r="DU948" s="21"/>
    </row>
    <row r="949" spans="72:125" ht="13.5" customHeight="1">
      <c r="BT949" s="12">
        <v>5205093</v>
      </c>
      <c r="BU949" s="3">
        <f>[1]monsters!$N949</f>
        <v>0</v>
      </c>
      <c r="BV949" s="3">
        <f>[1]monsters!$O949</f>
        <v>0</v>
      </c>
      <c r="BW949" s="3">
        <f>[1]monsters!$P949</f>
        <v>0</v>
      </c>
      <c r="BX949" s="3">
        <f>[1]monsters!$Q949</f>
        <v>0</v>
      </c>
      <c r="BY949" s="3">
        <f>[1]monsters!$R949</f>
        <v>0</v>
      </c>
      <c r="BZ949" s="3">
        <f>[1]monsters!$S949</f>
        <v>0</v>
      </c>
      <c r="CA949" s="3">
        <f>[1]monsters!$K949</f>
        <v>0</v>
      </c>
      <c r="CB949" s="12">
        <f>[1]monsters!$D949</f>
        <v>0</v>
      </c>
      <c r="CC949" s="12">
        <f t="shared" ca="1" si="70"/>
        <v>0.1</v>
      </c>
      <c r="CD949" s="12">
        <f t="shared" ca="1" si="71"/>
        <v>144.28056565656601</v>
      </c>
      <c r="CE949" s="12">
        <f t="shared" ca="1" si="72"/>
        <v>14.4280565656566</v>
      </c>
      <c r="CS949" s="33"/>
      <c r="CT949" s="33"/>
      <c r="CU949" s="33"/>
      <c r="CV949" s="32"/>
      <c r="CW949" s="32"/>
      <c r="CX949" s="32"/>
      <c r="CY949" s="34"/>
      <c r="CZ949" s="34"/>
      <c r="DA949" s="34"/>
      <c r="DB949" s="33"/>
      <c r="DC949" s="33"/>
      <c r="DD949" s="33"/>
      <c r="DE949" s="33"/>
      <c r="DF949" s="33"/>
      <c r="DG949" s="33"/>
      <c r="DH949" s="34"/>
      <c r="DI949" s="34"/>
      <c r="DJ949" s="34"/>
      <c r="DK949" s="34"/>
      <c r="DL949" s="34"/>
      <c r="DM949" s="34"/>
      <c r="DN949" s="12">
        <v>5205093</v>
      </c>
      <c r="DS949" s="21"/>
      <c r="DT949" s="21"/>
      <c r="DU949" s="21"/>
    </row>
    <row r="950" spans="72:125" ht="13.5" customHeight="1">
      <c r="BT950" s="12">
        <v>5405093</v>
      </c>
      <c r="BU950" s="3">
        <f>[1]monsters!$N950</f>
        <v>0</v>
      </c>
      <c r="BV950" s="3">
        <f>[1]monsters!$O950</f>
        <v>0</v>
      </c>
      <c r="BW950" s="3">
        <f>[1]monsters!$P950</f>
        <v>0</v>
      </c>
      <c r="BX950" s="3">
        <f>[1]monsters!$Q950</f>
        <v>0</v>
      </c>
      <c r="BY950" s="3">
        <f>[1]monsters!$R950</f>
        <v>0</v>
      </c>
      <c r="BZ950" s="3">
        <f>[1]monsters!$S950</f>
        <v>0</v>
      </c>
      <c r="CA950" s="3">
        <f>[1]monsters!$K950</f>
        <v>0</v>
      </c>
      <c r="CB950" s="12">
        <f>[1]monsters!$D950</f>
        <v>0</v>
      </c>
      <c r="CC950" s="12">
        <f t="shared" ca="1" si="70"/>
        <v>0.1</v>
      </c>
      <c r="CD950" s="12">
        <f t="shared" ca="1" si="71"/>
        <v>128.831229568411</v>
      </c>
      <c r="CE950" s="12">
        <f t="shared" ca="1" si="72"/>
        <v>12.883122956841101</v>
      </c>
      <c r="CS950" s="33"/>
      <c r="CT950" s="33"/>
      <c r="CU950" s="33"/>
      <c r="CV950" s="32"/>
      <c r="CW950" s="32"/>
      <c r="CX950" s="32"/>
      <c r="CY950" s="34"/>
      <c r="CZ950" s="34"/>
      <c r="DA950" s="34"/>
      <c r="DB950" s="33"/>
      <c r="DC950" s="33"/>
      <c r="DD950" s="33"/>
      <c r="DE950" s="33"/>
      <c r="DF950" s="33"/>
      <c r="DG950" s="33"/>
      <c r="DH950" s="34"/>
      <c r="DI950" s="34"/>
      <c r="DJ950" s="34"/>
      <c r="DK950" s="34"/>
      <c r="DL950" s="34"/>
      <c r="DM950" s="34"/>
      <c r="DN950" s="12">
        <v>5405093</v>
      </c>
      <c r="DS950" s="21"/>
      <c r="DT950" s="21"/>
      <c r="DU950" s="21"/>
    </row>
    <row r="951" spans="72:125" ht="13.5" customHeight="1">
      <c r="BT951" s="12">
        <v>5203093</v>
      </c>
      <c r="BU951" s="3">
        <f>[1]monsters!$N951</f>
        <v>0</v>
      </c>
      <c r="BV951" s="3">
        <f>[1]monsters!$O951</f>
        <v>0</v>
      </c>
      <c r="BW951" s="3">
        <f>[1]monsters!$P951</f>
        <v>0</v>
      </c>
      <c r="BX951" s="3">
        <f>[1]monsters!$Q951</f>
        <v>0</v>
      </c>
      <c r="BY951" s="3">
        <f>[1]monsters!$R951</f>
        <v>0</v>
      </c>
      <c r="BZ951" s="3">
        <f>[1]monsters!$S951</f>
        <v>0</v>
      </c>
      <c r="CA951" s="3">
        <f>[1]monsters!$K951</f>
        <v>0</v>
      </c>
      <c r="CB951" s="12">
        <f>[1]monsters!$D951</f>
        <v>0</v>
      </c>
      <c r="CC951" s="12">
        <f t="shared" ca="1" si="70"/>
        <v>0.1</v>
      </c>
      <c r="CD951" s="12">
        <f t="shared" ca="1" si="71"/>
        <v>116.762165656566</v>
      </c>
      <c r="CE951" s="12">
        <f t="shared" ca="1" si="72"/>
        <v>11.676216565656601</v>
      </c>
      <c r="CS951" s="33"/>
      <c r="CT951" s="33"/>
      <c r="CU951" s="33"/>
      <c r="CV951" s="32"/>
      <c r="CW951" s="32"/>
      <c r="CX951" s="32"/>
      <c r="CY951" s="34"/>
      <c r="CZ951" s="34"/>
      <c r="DA951" s="34"/>
      <c r="DB951" s="33"/>
      <c r="DC951" s="33"/>
      <c r="DD951" s="33"/>
      <c r="DE951" s="33"/>
      <c r="DF951" s="33"/>
      <c r="DG951" s="33"/>
      <c r="DH951" s="34"/>
      <c r="DI951" s="34"/>
      <c r="DJ951" s="34"/>
      <c r="DK951" s="34"/>
      <c r="DL951" s="34"/>
      <c r="DM951" s="34"/>
      <c r="DN951" s="12">
        <v>5203093</v>
      </c>
      <c r="DS951" s="21"/>
      <c r="DT951" s="21"/>
      <c r="DU951" s="21"/>
    </row>
    <row r="952" spans="72:125" ht="13.5" customHeight="1">
      <c r="BT952" s="12">
        <v>5403093</v>
      </c>
      <c r="BU952" s="3">
        <f>[1]monsters!$N952</f>
        <v>0</v>
      </c>
      <c r="BV952" s="3">
        <f>[1]monsters!$O952</f>
        <v>0</v>
      </c>
      <c r="BW952" s="3">
        <f>[1]monsters!$P952</f>
        <v>0</v>
      </c>
      <c r="BX952" s="3">
        <f>[1]monsters!$Q952</f>
        <v>0</v>
      </c>
      <c r="BY952" s="3">
        <f>[1]monsters!$R952</f>
        <v>0</v>
      </c>
      <c r="BZ952" s="3">
        <f>[1]monsters!$S952</f>
        <v>0</v>
      </c>
      <c r="CA952" s="3">
        <f>[1]monsters!$K952</f>
        <v>0</v>
      </c>
      <c r="CB952" s="12">
        <f>[1]monsters!$D952</f>
        <v>0</v>
      </c>
      <c r="CC952" s="12">
        <f t="shared" ca="1" si="70"/>
        <v>0.1</v>
      </c>
      <c r="CD952" s="12">
        <f t="shared" ca="1" si="71"/>
        <v>107.209629568411</v>
      </c>
      <c r="CE952" s="12">
        <f t="shared" ca="1" si="72"/>
        <v>10.720962956841101</v>
      </c>
      <c r="CS952" s="33"/>
      <c r="CT952" s="33"/>
      <c r="CU952" s="33"/>
      <c r="CV952" s="32"/>
      <c r="CW952" s="32"/>
      <c r="CX952" s="32"/>
      <c r="CY952" s="34"/>
      <c r="CZ952" s="34"/>
      <c r="DA952" s="34"/>
      <c r="DB952" s="33"/>
      <c r="DC952" s="33"/>
      <c r="DD952" s="33"/>
      <c r="DE952" s="33"/>
      <c r="DF952" s="33"/>
      <c r="DG952" s="33"/>
      <c r="DH952" s="34"/>
      <c r="DI952" s="34"/>
      <c r="DJ952" s="34"/>
      <c r="DK952" s="34"/>
      <c r="DL952" s="34"/>
      <c r="DM952" s="34"/>
      <c r="DN952" s="12">
        <v>5403093</v>
      </c>
      <c r="DS952" s="21"/>
      <c r="DT952" s="21"/>
      <c r="DU952" s="21"/>
    </row>
    <row r="953" spans="72:125" ht="13.5" customHeight="1">
      <c r="BT953" s="12">
        <v>5204093</v>
      </c>
      <c r="BU953" s="3">
        <f>[1]monsters!$N953</f>
        <v>0</v>
      </c>
      <c r="BV953" s="3">
        <f>[1]monsters!$O953</f>
        <v>0</v>
      </c>
      <c r="BW953" s="3">
        <f>[1]monsters!$P953</f>
        <v>0</v>
      </c>
      <c r="BX953" s="3">
        <f>[1]monsters!$Q953</f>
        <v>0</v>
      </c>
      <c r="BY953" s="3">
        <f>[1]monsters!$R953</f>
        <v>0</v>
      </c>
      <c r="BZ953" s="3">
        <f>[1]monsters!$S953</f>
        <v>0</v>
      </c>
      <c r="CA953" s="3">
        <f>[1]monsters!$K953</f>
        <v>0</v>
      </c>
      <c r="CB953" s="12">
        <f>[1]monsters!$D953</f>
        <v>0</v>
      </c>
      <c r="CC953" s="12">
        <f t="shared" ca="1" si="70"/>
        <v>0.1</v>
      </c>
      <c r="CD953" s="12">
        <f t="shared" ca="1" si="71"/>
        <v>120.693365656566</v>
      </c>
      <c r="CE953" s="12">
        <f t="shared" ca="1" si="72"/>
        <v>12.069336565656601</v>
      </c>
      <c r="CS953" s="33"/>
      <c r="CT953" s="33"/>
      <c r="CU953" s="33"/>
      <c r="CV953" s="32"/>
      <c r="CW953" s="32"/>
      <c r="CX953" s="32"/>
      <c r="CY953" s="34"/>
      <c r="CZ953" s="34"/>
      <c r="DA953" s="34"/>
      <c r="DB953" s="33"/>
      <c r="DC953" s="33"/>
      <c r="DD953" s="33"/>
      <c r="DE953" s="33"/>
      <c r="DF953" s="33"/>
      <c r="DG953" s="33"/>
      <c r="DH953" s="34"/>
      <c r="DI953" s="34"/>
      <c r="DJ953" s="34"/>
      <c r="DK953" s="34"/>
      <c r="DL953" s="34"/>
      <c r="DM953" s="34"/>
      <c r="DN953" s="12">
        <v>5204093</v>
      </c>
      <c r="DS953" s="21"/>
      <c r="DT953" s="21"/>
      <c r="DU953" s="21"/>
    </row>
    <row r="954" spans="72:125" ht="13.5" customHeight="1">
      <c r="BT954" s="12">
        <v>5404093</v>
      </c>
      <c r="BU954" s="3">
        <f>[1]monsters!$N954</f>
        <v>0</v>
      </c>
      <c r="BV954" s="3">
        <f>[1]monsters!$O954</f>
        <v>0</v>
      </c>
      <c r="BW954" s="3">
        <f>[1]monsters!$P954</f>
        <v>0</v>
      </c>
      <c r="BX954" s="3">
        <f>[1]monsters!$Q954</f>
        <v>0</v>
      </c>
      <c r="BY954" s="3">
        <f>[1]monsters!$R954</f>
        <v>0</v>
      </c>
      <c r="BZ954" s="3">
        <f>[1]monsters!$S954</f>
        <v>0</v>
      </c>
      <c r="CA954" s="3">
        <f>[1]monsters!$K954</f>
        <v>0</v>
      </c>
      <c r="CB954" s="12">
        <f>[1]monsters!$D954</f>
        <v>0</v>
      </c>
      <c r="CC954" s="12">
        <f t="shared" ca="1" si="70"/>
        <v>0.1</v>
      </c>
      <c r="CD954" s="12">
        <f t="shared" ca="1" si="71"/>
        <v>128.831229568411</v>
      </c>
      <c r="CE954" s="12">
        <f t="shared" ca="1" si="72"/>
        <v>12.883122956841101</v>
      </c>
      <c r="CS954" s="33"/>
      <c r="CT954" s="33"/>
      <c r="CU954" s="33"/>
      <c r="CV954" s="32"/>
      <c r="CW954" s="32"/>
      <c r="CX954" s="32"/>
      <c r="CY954" s="34"/>
      <c r="CZ954" s="34"/>
      <c r="DA954" s="34"/>
      <c r="DB954" s="33"/>
      <c r="DC954" s="33"/>
      <c r="DD954" s="33"/>
      <c r="DE954" s="33"/>
      <c r="DF954" s="33"/>
      <c r="DG954" s="33"/>
      <c r="DH954" s="34"/>
      <c r="DI954" s="34"/>
      <c r="DJ954" s="34"/>
      <c r="DK954" s="34"/>
      <c r="DL954" s="34"/>
      <c r="DM954" s="34"/>
      <c r="DN954" s="12">
        <v>5404093</v>
      </c>
      <c r="DS954" s="21"/>
      <c r="DT954" s="21"/>
      <c r="DU954" s="21"/>
    </row>
    <row r="955" spans="72:125" ht="13.5" customHeight="1">
      <c r="BT955" s="12">
        <v>5303093</v>
      </c>
      <c r="BU955" s="3">
        <f>[1]monsters!$N955</f>
        <v>0</v>
      </c>
      <c r="BV955" s="3">
        <f>[1]monsters!$O955</f>
        <v>0</v>
      </c>
      <c r="BW955" s="3">
        <f>[1]monsters!$P955</f>
        <v>0</v>
      </c>
      <c r="BX955" s="3">
        <f>[1]monsters!$Q955</f>
        <v>0</v>
      </c>
      <c r="BY955" s="3">
        <f>[1]monsters!$R955</f>
        <v>0</v>
      </c>
      <c r="BZ955" s="3">
        <f>[1]monsters!$S955</f>
        <v>0</v>
      </c>
      <c r="CA955" s="3">
        <f>[1]monsters!$K955</f>
        <v>0</v>
      </c>
      <c r="CB955" s="12">
        <f>[1]monsters!$D955</f>
        <v>0</v>
      </c>
      <c r="CC955" s="12">
        <f t="shared" ca="1" si="70"/>
        <v>0.1</v>
      </c>
      <c r="CD955" s="12">
        <f t="shared" ca="1" si="71"/>
        <v>115.85519169472499</v>
      </c>
      <c r="CE955" s="12">
        <f t="shared" ca="1" si="72"/>
        <v>11.5855191694725</v>
      </c>
      <c r="CS955" s="33"/>
      <c r="CT955" s="33"/>
      <c r="CU955" s="33"/>
      <c r="CV955" s="32"/>
      <c r="CW955" s="32"/>
      <c r="CX955" s="32"/>
      <c r="CY955" s="34"/>
      <c r="CZ955" s="34"/>
      <c r="DA955" s="34"/>
      <c r="DB955" s="33"/>
      <c r="DC955" s="33"/>
      <c r="DD955" s="33"/>
      <c r="DE955" s="33"/>
      <c r="DF955" s="33"/>
      <c r="DG955" s="33"/>
      <c r="DH955" s="34"/>
      <c r="DI955" s="34"/>
      <c r="DJ955" s="34"/>
      <c r="DK955" s="34"/>
      <c r="DL955" s="34"/>
      <c r="DM955" s="34"/>
      <c r="DN955" s="12">
        <v>5303093</v>
      </c>
      <c r="DS955" s="21"/>
      <c r="DT955" s="21"/>
      <c r="DU955" s="21"/>
    </row>
    <row r="956" spans="72:125" ht="13.5" customHeight="1">
      <c r="BT956" s="12">
        <v>5304093</v>
      </c>
      <c r="BU956" s="3">
        <f>[1]monsters!$N956</f>
        <v>0</v>
      </c>
      <c r="BV956" s="3">
        <f>[1]monsters!$O956</f>
        <v>0</v>
      </c>
      <c r="BW956" s="3">
        <f>[1]monsters!$P956</f>
        <v>0</v>
      </c>
      <c r="BX956" s="3">
        <f>[1]monsters!$Q956</f>
        <v>0</v>
      </c>
      <c r="BY956" s="3">
        <f>[1]monsters!$R956</f>
        <v>0</v>
      </c>
      <c r="BZ956" s="3">
        <f>[1]monsters!$S956</f>
        <v>0</v>
      </c>
      <c r="CA956" s="3">
        <f>[1]monsters!$K956</f>
        <v>0</v>
      </c>
      <c r="CB956" s="12">
        <f>[1]monsters!$D956</f>
        <v>0</v>
      </c>
      <c r="CC956" s="12">
        <f t="shared" ca="1" si="70"/>
        <v>0.1</v>
      </c>
      <c r="CD956" s="12">
        <f t="shared" ca="1" si="71"/>
        <v>120.277791694725</v>
      </c>
      <c r="CE956" s="12">
        <f t="shared" ca="1" si="72"/>
        <v>12.027779169472501</v>
      </c>
      <c r="CS956" s="33"/>
      <c r="CT956" s="33"/>
      <c r="CU956" s="33"/>
      <c r="CV956" s="32"/>
      <c r="CW956" s="32"/>
      <c r="CX956" s="32"/>
      <c r="CY956" s="34"/>
      <c r="CZ956" s="34"/>
      <c r="DA956" s="34"/>
      <c r="DB956" s="33"/>
      <c r="DC956" s="33"/>
      <c r="DD956" s="33"/>
      <c r="DE956" s="33"/>
      <c r="DF956" s="33"/>
      <c r="DG956" s="33"/>
      <c r="DH956" s="34"/>
      <c r="DI956" s="34"/>
      <c r="DJ956" s="34"/>
      <c r="DK956" s="34"/>
      <c r="DL956" s="34"/>
      <c r="DM956" s="34"/>
      <c r="DN956" s="12">
        <v>5304093</v>
      </c>
      <c r="DS956" s="21"/>
      <c r="DT956" s="21"/>
      <c r="DU956" s="21"/>
    </row>
    <row r="957" spans="72:125" ht="13.5" customHeight="1">
      <c r="BT957" s="12">
        <v>5503093</v>
      </c>
      <c r="BU957" s="3">
        <f>[1]monsters!$N957</f>
        <v>0</v>
      </c>
      <c r="BV957" s="3">
        <f>[1]monsters!$O957</f>
        <v>0</v>
      </c>
      <c r="BW957" s="3">
        <f>[1]monsters!$P957</f>
        <v>0</v>
      </c>
      <c r="BX957" s="3">
        <f>[1]monsters!$Q957</f>
        <v>0</v>
      </c>
      <c r="BY957" s="3">
        <f>[1]monsters!$R957</f>
        <v>0</v>
      </c>
      <c r="BZ957" s="3">
        <f>[1]monsters!$S957</f>
        <v>0</v>
      </c>
      <c r="CA957" s="3">
        <f>[1]monsters!$K957</f>
        <v>0</v>
      </c>
      <c r="CB957" s="12">
        <f>[1]monsters!$D957</f>
        <v>0</v>
      </c>
      <c r="CC957" s="12">
        <f t="shared" ca="1" si="70"/>
        <v>0.1</v>
      </c>
      <c r="CD957" s="12">
        <f t="shared" ca="1" si="71"/>
        <v>138.119843771044</v>
      </c>
      <c r="CE957" s="12">
        <f t="shared" ca="1" si="72"/>
        <v>13.8119843771044</v>
      </c>
      <c r="CS957" s="33"/>
      <c r="CT957" s="33"/>
      <c r="CU957" s="33"/>
      <c r="CV957" s="32"/>
      <c r="CW957" s="32"/>
      <c r="CX957" s="32"/>
      <c r="CY957" s="34"/>
      <c r="CZ957" s="34"/>
      <c r="DA957" s="34"/>
      <c r="DB957" s="33"/>
      <c r="DC957" s="33"/>
      <c r="DD957" s="33"/>
      <c r="DE957" s="33"/>
      <c r="DF957" s="33"/>
      <c r="DG957" s="33"/>
      <c r="DH957" s="34"/>
      <c r="DI957" s="34"/>
      <c r="DJ957" s="34"/>
      <c r="DK957" s="34"/>
      <c r="DL957" s="34"/>
      <c r="DM957" s="34"/>
      <c r="DN957" s="12">
        <v>5503093</v>
      </c>
      <c r="DS957" s="21"/>
      <c r="DT957" s="21"/>
      <c r="DU957" s="21"/>
    </row>
    <row r="958" spans="72:125" ht="13.5" customHeight="1">
      <c r="BT958" s="12">
        <v>5504093</v>
      </c>
      <c r="BU958" s="3">
        <f>[1]monsters!$N958</f>
        <v>0</v>
      </c>
      <c r="BV958" s="3">
        <f>[1]monsters!$O958</f>
        <v>0</v>
      </c>
      <c r="BW958" s="3">
        <f>[1]monsters!$P958</f>
        <v>0</v>
      </c>
      <c r="BX958" s="3">
        <f>[1]monsters!$Q958</f>
        <v>0</v>
      </c>
      <c r="BY958" s="3">
        <f>[1]monsters!$R958</f>
        <v>0</v>
      </c>
      <c r="BZ958" s="3">
        <f>[1]monsters!$S958</f>
        <v>0</v>
      </c>
      <c r="CA958" s="3">
        <f>[1]monsters!$K958</f>
        <v>0</v>
      </c>
      <c r="CB958" s="12">
        <f>[1]monsters!$D958</f>
        <v>0</v>
      </c>
      <c r="CC958" s="12">
        <f t="shared" ca="1" si="70"/>
        <v>0.1</v>
      </c>
      <c r="CD958" s="12">
        <f t="shared" ca="1" si="71"/>
        <v>149.913443771044</v>
      </c>
      <c r="CE958" s="12">
        <f t="shared" ca="1" si="72"/>
        <v>14.991344377104401</v>
      </c>
      <c r="CS958" s="33"/>
      <c r="CT958" s="33"/>
      <c r="CU958" s="33"/>
      <c r="CV958" s="32"/>
      <c r="CW958" s="32"/>
      <c r="CX958" s="32"/>
      <c r="CY958" s="34"/>
      <c r="CZ958" s="34"/>
      <c r="DA958" s="34"/>
      <c r="DB958" s="33"/>
      <c r="DC958" s="33"/>
      <c r="DD958" s="33"/>
      <c r="DE958" s="33"/>
      <c r="DF958" s="33"/>
      <c r="DG958" s="33"/>
      <c r="DH958" s="34"/>
      <c r="DI958" s="34"/>
      <c r="DJ958" s="34"/>
      <c r="DK958" s="34"/>
      <c r="DL958" s="34"/>
      <c r="DM958" s="34"/>
      <c r="DN958" s="12">
        <v>5504093</v>
      </c>
      <c r="DS958" s="21"/>
      <c r="DT958" s="21"/>
      <c r="DU958" s="21"/>
    </row>
    <row r="959" spans="72:125" ht="13.5" customHeight="1">
      <c r="BT959" s="12">
        <v>5101093</v>
      </c>
      <c r="BU959" s="3">
        <f>[1]monsters!$N959</f>
        <v>0</v>
      </c>
      <c r="BV959" s="3">
        <f>[1]monsters!$O959</f>
        <v>0</v>
      </c>
      <c r="BW959" s="3">
        <f>[1]monsters!$P959</f>
        <v>0</v>
      </c>
      <c r="BX959" s="3">
        <f>[1]monsters!$Q959</f>
        <v>0</v>
      </c>
      <c r="BY959" s="3">
        <f>[1]monsters!$R959</f>
        <v>0</v>
      </c>
      <c r="BZ959" s="3">
        <f>[1]monsters!$S959</f>
        <v>0</v>
      </c>
      <c r="CA959" s="3">
        <f>[1]monsters!$K959</f>
        <v>0</v>
      </c>
      <c r="CB959" s="12">
        <f>[1]monsters!$D959</f>
        <v>0</v>
      </c>
      <c r="CC959" s="12">
        <f t="shared" ca="1" si="70"/>
        <v>0.1</v>
      </c>
      <c r="CD959" s="12">
        <f t="shared" ca="1" si="71"/>
        <v>131.14925252525299</v>
      </c>
      <c r="CE959" s="12">
        <f t="shared" ca="1" si="72"/>
        <v>13.1149252525253</v>
      </c>
      <c r="CS959" s="33"/>
      <c r="CT959" s="33"/>
      <c r="CU959" s="33"/>
      <c r="CV959" s="32"/>
      <c r="CW959" s="32"/>
      <c r="CX959" s="32"/>
      <c r="CY959" s="34"/>
      <c r="CZ959" s="34"/>
      <c r="DA959" s="34"/>
      <c r="DB959" s="33"/>
      <c r="DC959" s="33"/>
      <c r="DD959" s="33"/>
      <c r="DE959" s="33"/>
      <c r="DF959" s="33"/>
      <c r="DG959" s="33"/>
      <c r="DH959" s="34"/>
      <c r="DI959" s="34"/>
      <c r="DJ959" s="34"/>
      <c r="DK959" s="34"/>
      <c r="DL959" s="34"/>
      <c r="DM959" s="34"/>
      <c r="DN959" s="12">
        <v>5101093</v>
      </c>
      <c r="DS959" s="21"/>
      <c r="DT959" s="21"/>
      <c r="DU959" s="21"/>
    </row>
    <row r="960" spans="72:125" ht="13.5" customHeight="1">
      <c r="BT960" s="12">
        <v>5102093</v>
      </c>
      <c r="BU960" s="3">
        <f>[1]monsters!$N960</f>
        <v>0</v>
      </c>
      <c r="BV960" s="3">
        <f>[1]monsters!$O960</f>
        <v>0</v>
      </c>
      <c r="BW960" s="3">
        <f>[1]monsters!$P960</f>
        <v>0</v>
      </c>
      <c r="BX960" s="3">
        <f>[1]monsters!$Q960</f>
        <v>0</v>
      </c>
      <c r="BY960" s="3">
        <f>[1]monsters!$R960</f>
        <v>0</v>
      </c>
      <c r="BZ960" s="3">
        <f>[1]monsters!$S960</f>
        <v>0</v>
      </c>
      <c r="CA960" s="3">
        <f>[1]monsters!$K960</f>
        <v>0</v>
      </c>
      <c r="CB960" s="12">
        <f>[1]monsters!$D960</f>
        <v>0</v>
      </c>
      <c r="CC960" s="12">
        <f t="shared" ca="1" si="70"/>
        <v>0.1</v>
      </c>
      <c r="CD960" s="12">
        <f t="shared" ca="1" si="71"/>
        <v>121.321252525253</v>
      </c>
      <c r="CE960" s="12">
        <f t="shared" ca="1" si="72"/>
        <v>12.1321252525253</v>
      </c>
      <c r="CS960" s="33"/>
      <c r="CT960" s="33"/>
      <c r="CU960" s="33"/>
      <c r="CV960" s="32"/>
      <c r="CW960" s="32"/>
      <c r="CX960" s="32"/>
      <c r="CY960" s="34"/>
      <c r="CZ960" s="34"/>
      <c r="DA960" s="34"/>
      <c r="DB960" s="33"/>
      <c r="DC960" s="33"/>
      <c r="DD960" s="33"/>
      <c r="DE960" s="33"/>
      <c r="DF960" s="33"/>
      <c r="DG960" s="33"/>
      <c r="DH960" s="34"/>
      <c r="DI960" s="34"/>
      <c r="DJ960" s="34"/>
      <c r="DK960" s="34"/>
      <c r="DL960" s="34"/>
      <c r="DM960" s="34"/>
      <c r="DN960" s="12">
        <v>5102093</v>
      </c>
      <c r="DS960" s="21"/>
      <c r="DT960" s="21"/>
      <c r="DU960" s="21"/>
    </row>
    <row r="961" spans="72:125" ht="13.5" customHeight="1">
      <c r="BT961" s="12">
        <v>5206094</v>
      </c>
      <c r="BU961" s="3">
        <f>[1]monsters!$N961</f>
        <v>0</v>
      </c>
      <c r="BV961" s="3">
        <f>[1]monsters!$O961</f>
        <v>0</v>
      </c>
      <c r="BW961" s="3">
        <f>[1]monsters!$P961</f>
        <v>0</v>
      </c>
      <c r="BX961" s="3">
        <f>[1]monsters!$Q961</f>
        <v>0</v>
      </c>
      <c r="BY961" s="3">
        <f>[1]monsters!$R961</f>
        <v>0</v>
      </c>
      <c r="BZ961" s="3">
        <f>[1]monsters!$S961</f>
        <v>0</v>
      </c>
      <c r="CA961" s="3">
        <f>[1]monsters!$K961</f>
        <v>0</v>
      </c>
      <c r="CB961" s="12">
        <f>[1]monsters!$D961</f>
        <v>0</v>
      </c>
      <c r="CC961" s="12">
        <f t="shared" ca="1" si="70"/>
        <v>0.1</v>
      </c>
      <c r="CD961" s="12">
        <f t="shared" ca="1" si="71"/>
        <v>132.48696565656601</v>
      </c>
      <c r="CE961" s="12">
        <f t="shared" ca="1" si="72"/>
        <v>13.2486965656566</v>
      </c>
      <c r="CS961" s="33"/>
      <c r="CT961" s="33"/>
      <c r="CU961" s="33"/>
      <c r="CV961" s="32"/>
      <c r="CW961" s="32"/>
      <c r="CX961" s="32"/>
      <c r="CY961" s="34"/>
      <c r="CZ961" s="34"/>
      <c r="DA961" s="34"/>
      <c r="DB961" s="33"/>
      <c r="DC961" s="33"/>
      <c r="DD961" s="33"/>
      <c r="DE961" s="33"/>
      <c r="DF961" s="33"/>
      <c r="DG961" s="33"/>
      <c r="DH961" s="34"/>
      <c r="DI961" s="34"/>
      <c r="DJ961" s="34"/>
      <c r="DK961" s="34"/>
      <c r="DL961" s="34"/>
      <c r="DM961" s="34"/>
      <c r="DN961" s="12">
        <v>5206094</v>
      </c>
      <c r="DS961" s="21"/>
      <c r="DT961" s="21"/>
      <c r="DU961" s="21"/>
    </row>
    <row r="962" spans="72:125" ht="13.5" customHeight="1">
      <c r="BT962" s="12">
        <v>5406094</v>
      </c>
      <c r="BU962" s="3">
        <f>[1]monsters!$N962</f>
        <v>0</v>
      </c>
      <c r="BV962" s="3">
        <f>[1]monsters!$O962</f>
        <v>0</v>
      </c>
      <c r="BW962" s="3">
        <f>[1]monsters!$P962</f>
        <v>0</v>
      </c>
      <c r="BX962" s="3">
        <f>[1]monsters!$Q962</f>
        <v>0</v>
      </c>
      <c r="BY962" s="3">
        <f>[1]monsters!$R962</f>
        <v>0</v>
      </c>
      <c r="BZ962" s="3">
        <f>[1]monsters!$S962</f>
        <v>0</v>
      </c>
      <c r="CA962" s="3">
        <f>[1]monsters!$K962</f>
        <v>0</v>
      </c>
      <c r="CB962" s="12">
        <f>[1]monsters!$D962</f>
        <v>0</v>
      </c>
      <c r="CC962" s="12">
        <f t="shared" ca="1" si="70"/>
        <v>0.1</v>
      </c>
      <c r="CD962" s="12">
        <f t="shared" ca="1" si="71"/>
        <v>123.425829568411</v>
      </c>
      <c r="CE962" s="12">
        <f t="shared" ca="1" si="72"/>
        <v>12.342582956841101</v>
      </c>
      <c r="CS962" s="33"/>
      <c r="CT962" s="33"/>
      <c r="CU962" s="33"/>
      <c r="CV962" s="32"/>
      <c r="CW962" s="32"/>
      <c r="CX962" s="32"/>
      <c r="CY962" s="34"/>
      <c r="CZ962" s="34"/>
      <c r="DA962" s="34"/>
      <c r="DB962" s="33"/>
      <c r="DC962" s="33"/>
      <c r="DD962" s="33"/>
      <c r="DE962" s="33"/>
      <c r="DF962" s="33"/>
      <c r="DG962" s="33"/>
      <c r="DH962" s="34"/>
      <c r="DI962" s="34"/>
      <c r="DJ962" s="34"/>
      <c r="DK962" s="34"/>
      <c r="DL962" s="34"/>
      <c r="DM962" s="34"/>
      <c r="DN962" s="12">
        <v>5406094</v>
      </c>
      <c r="DS962" s="21"/>
      <c r="DT962" s="21"/>
      <c r="DU962" s="21"/>
    </row>
    <row r="963" spans="72:125" ht="13.5" customHeight="1">
      <c r="BT963" s="12">
        <v>5205094</v>
      </c>
      <c r="BU963" s="3">
        <f>[1]monsters!$N963</f>
        <v>0</v>
      </c>
      <c r="BV963" s="3">
        <f>[1]monsters!$O963</f>
        <v>0</v>
      </c>
      <c r="BW963" s="3">
        <f>[1]monsters!$P963</f>
        <v>0</v>
      </c>
      <c r="BX963" s="3">
        <f>[1]monsters!$Q963</f>
        <v>0</v>
      </c>
      <c r="BY963" s="3">
        <f>[1]monsters!$R963</f>
        <v>0</v>
      </c>
      <c r="BZ963" s="3">
        <f>[1]monsters!$S963</f>
        <v>0</v>
      </c>
      <c r="CA963" s="3">
        <f>[1]monsters!$K963</f>
        <v>0</v>
      </c>
      <c r="CB963" s="12">
        <f>[1]monsters!$D963</f>
        <v>0</v>
      </c>
      <c r="CC963" s="12">
        <f t="shared" ca="1" si="70"/>
        <v>0.1</v>
      </c>
      <c r="CD963" s="12">
        <f t="shared" ca="1" si="71"/>
        <v>144.28056565656601</v>
      </c>
      <c r="CE963" s="12">
        <f t="shared" ca="1" si="72"/>
        <v>14.4280565656566</v>
      </c>
      <c r="CS963" s="33"/>
      <c r="CT963" s="33"/>
      <c r="CU963" s="33"/>
      <c r="CV963" s="32"/>
      <c r="CW963" s="32"/>
      <c r="CX963" s="32"/>
      <c r="CY963" s="34"/>
      <c r="CZ963" s="34"/>
      <c r="DA963" s="34"/>
      <c r="DB963" s="33"/>
      <c r="DC963" s="33"/>
      <c r="DD963" s="33"/>
      <c r="DE963" s="33"/>
      <c r="DF963" s="33"/>
      <c r="DG963" s="33"/>
      <c r="DH963" s="34"/>
      <c r="DI963" s="34"/>
      <c r="DJ963" s="34"/>
      <c r="DK963" s="34"/>
      <c r="DL963" s="34"/>
      <c r="DM963" s="34"/>
      <c r="DN963" s="12">
        <v>5205094</v>
      </c>
      <c r="DS963" s="21"/>
      <c r="DT963" s="21"/>
      <c r="DU963" s="21"/>
    </row>
    <row r="964" spans="72:125" ht="13.5" customHeight="1">
      <c r="BT964" s="12">
        <v>5405094</v>
      </c>
      <c r="BU964" s="3">
        <f>[1]monsters!$N964</f>
        <v>0</v>
      </c>
      <c r="BV964" s="3">
        <f>[1]monsters!$O964</f>
        <v>0</v>
      </c>
      <c r="BW964" s="3">
        <f>[1]monsters!$P964</f>
        <v>0</v>
      </c>
      <c r="BX964" s="3">
        <f>[1]monsters!$Q964</f>
        <v>0</v>
      </c>
      <c r="BY964" s="3">
        <f>[1]monsters!$R964</f>
        <v>0</v>
      </c>
      <c r="BZ964" s="3">
        <f>[1]monsters!$S964</f>
        <v>0</v>
      </c>
      <c r="CA964" s="3">
        <f>[1]monsters!$K964</f>
        <v>0</v>
      </c>
      <c r="CB964" s="12">
        <f>[1]monsters!$D964</f>
        <v>0</v>
      </c>
      <c r="CC964" s="12">
        <f t="shared" ref="CC964:CC988" ca="1" si="73">INDEX($CK$5:$CK$10,MATCH($CC964,$CJ$5:$CJ$10))</f>
        <v>0.1</v>
      </c>
      <c r="CD964" s="12">
        <f t="shared" ca="1" si="71"/>
        <v>128.831229568411</v>
      </c>
      <c r="CE964" s="12">
        <f t="shared" ca="1" si="72"/>
        <v>12.883122956841101</v>
      </c>
      <c r="CS964" s="33"/>
      <c r="CT964" s="33"/>
      <c r="CU964" s="33"/>
      <c r="CV964" s="32"/>
      <c r="CW964" s="32"/>
      <c r="CX964" s="32"/>
      <c r="CY964" s="34"/>
      <c r="CZ964" s="34"/>
      <c r="DA964" s="34"/>
      <c r="DB964" s="33"/>
      <c r="DC964" s="33"/>
      <c r="DD964" s="33"/>
      <c r="DE964" s="33"/>
      <c r="DF964" s="33"/>
      <c r="DG964" s="33"/>
      <c r="DH964" s="34"/>
      <c r="DI964" s="34"/>
      <c r="DJ964" s="34"/>
      <c r="DK964" s="34"/>
      <c r="DL964" s="34"/>
      <c r="DM964" s="34"/>
      <c r="DN964" s="12">
        <v>5405094</v>
      </c>
      <c r="DS964" s="21"/>
      <c r="DT964" s="21"/>
      <c r="DU964" s="21"/>
    </row>
    <row r="965" spans="72:125" ht="13.5" customHeight="1">
      <c r="BT965" s="12">
        <v>5203094</v>
      </c>
      <c r="BU965" s="3">
        <f>[1]monsters!$N965</f>
        <v>0</v>
      </c>
      <c r="BV965" s="3">
        <f>[1]monsters!$O965</f>
        <v>0</v>
      </c>
      <c r="BW965" s="3">
        <f>[1]monsters!$P965</f>
        <v>0</v>
      </c>
      <c r="BX965" s="3">
        <f>[1]monsters!$Q965</f>
        <v>0</v>
      </c>
      <c r="BY965" s="3">
        <f>[1]monsters!$R965</f>
        <v>0</v>
      </c>
      <c r="BZ965" s="3">
        <f>[1]monsters!$S965</f>
        <v>0</v>
      </c>
      <c r="CA965" s="3">
        <f>[1]monsters!$K965</f>
        <v>0</v>
      </c>
      <c r="CB965" s="12">
        <f>[1]monsters!$D965</f>
        <v>0</v>
      </c>
      <c r="CC965" s="12">
        <f t="shared" ca="1" si="73"/>
        <v>0.1</v>
      </c>
      <c r="CD965" s="12">
        <f t="shared" ref="CD965:CD988" ca="1" si="74">(BW965/33/(1-CC965)/(1-0)+BU965*(1+0.5*0.1)*0.9)</f>
        <v>116.762165656566</v>
      </c>
      <c r="CE965" s="12">
        <f t="shared" ref="CE965:CE988" ca="1" si="75">(BW965/33/(1-CC965)/(1-0)+BU965*(1+0.5*0.1)*0.9)*0.1</f>
        <v>11.676216565656601</v>
      </c>
      <c r="CS965" s="33"/>
      <c r="CT965" s="33"/>
      <c r="CU965" s="33"/>
      <c r="CV965" s="32"/>
      <c r="CW965" s="32"/>
      <c r="CX965" s="32"/>
      <c r="CY965" s="34"/>
      <c r="CZ965" s="34"/>
      <c r="DA965" s="34"/>
      <c r="DB965" s="33"/>
      <c r="DC965" s="33"/>
      <c r="DD965" s="33"/>
      <c r="DE965" s="33"/>
      <c r="DF965" s="33"/>
      <c r="DG965" s="33"/>
      <c r="DH965" s="34"/>
      <c r="DI965" s="34"/>
      <c r="DJ965" s="34"/>
      <c r="DK965" s="34"/>
      <c r="DL965" s="34"/>
      <c r="DM965" s="34"/>
      <c r="DN965" s="12">
        <v>5203094</v>
      </c>
      <c r="DS965" s="21"/>
      <c r="DT965" s="21"/>
      <c r="DU965" s="21"/>
    </row>
    <row r="966" spans="72:125" ht="13.5" customHeight="1">
      <c r="BT966" s="12">
        <v>5403094</v>
      </c>
      <c r="BU966" s="3">
        <f>[1]monsters!$N966</f>
        <v>0</v>
      </c>
      <c r="BV966" s="3">
        <f>[1]monsters!$O966</f>
        <v>0</v>
      </c>
      <c r="BW966" s="3">
        <f>[1]monsters!$P966</f>
        <v>0</v>
      </c>
      <c r="BX966" s="3">
        <f>[1]monsters!$Q966</f>
        <v>0</v>
      </c>
      <c r="BY966" s="3">
        <f>[1]monsters!$R966</f>
        <v>0</v>
      </c>
      <c r="BZ966" s="3">
        <f>[1]monsters!$S966</f>
        <v>0</v>
      </c>
      <c r="CA966" s="3">
        <f>[1]monsters!$K966</f>
        <v>0</v>
      </c>
      <c r="CB966" s="12">
        <f>[1]monsters!$D966</f>
        <v>0</v>
      </c>
      <c r="CC966" s="12">
        <f t="shared" ca="1" si="73"/>
        <v>0.1</v>
      </c>
      <c r="CD966" s="12">
        <f t="shared" ca="1" si="74"/>
        <v>107.209629568411</v>
      </c>
      <c r="CE966" s="12">
        <f t="shared" ca="1" si="75"/>
        <v>10.720962956841101</v>
      </c>
      <c r="CS966" s="33"/>
      <c r="CT966" s="33"/>
      <c r="CU966" s="33"/>
      <c r="CV966" s="32"/>
      <c r="CW966" s="32"/>
      <c r="CX966" s="32"/>
      <c r="CY966" s="34"/>
      <c r="CZ966" s="34"/>
      <c r="DA966" s="34"/>
      <c r="DB966" s="33"/>
      <c r="DC966" s="33"/>
      <c r="DD966" s="33"/>
      <c r="DE966" s="33"/>
      <c r="DF966" s="33"/>
      <c r="DG966" s="33"/>
      <c r="DH966" s="34"/>
      <c r="DI966" s="34"/>
      <c r="DJ966" s="34"/>
      <c r="DK966" s="34"/>
      <c r="DL966" s="34"/>
      <c r="DM966" s="34"/>
      <c r="DN966" s="12">
        <v>5403094</v>
      </c>
      <c r="DS966" s="21"/>
      <c r="DT966" s="21"/>
      <c r="DU966" s="21"/>
    </row>
    <row r="967" spans="72:125" ht="13.5" customHeight="1">
      <c r="BT967" s="12">
        <v>5204094</v>
      </c>
      <c r="BU967" s="3">
        <f>[1]monsters!$N967</f>
        <v>0</v>
      </c>
      <c r="BV967" s="3">
        <f>[1]monsters!$O967</f>
        <v>0</v>
      </c>
      <c r="BW967" s="3">
        <f>[1]monsters!$P967</f>
        <v>0</v>
      </c>
      <c r="BX967" s="3">
        <f>[1]monsters!$Q967</f>
        <v>0</v>
      </c>
      <c r="BY967" s="3">
        <f>[1]monsters!$R967</f>
        <v>0</v>
      </c>
      <c r="BZ967" s="3">
        <f>[1]monsters!$S967</f>
        <v>0</v>
      </c>
      <c r="CA967" s="3">
        <f>[1]monsters!$K967</f>
        <v>0</v>
      </c>
      <c r="CB967" s="12">
        <f>[1]monsters!$D967</f>
        <v>0</v>
      </c>
      <c r="CC967" s="12">
        <f t="shared" ca="1" si="73"/>
        <v>0.1</v>
      </c>
      <c r="CD967" s="12">
        <f t="shared" ca="1" si="74"/>
        <v>120.693365656566</v>
      </c>
      <c r="CE967" s="12">
        <f t="shared" ca="1" si="75"/>
        <v>12.069336565656601</v>
      </c>
      <c r="CS967" s="33"/>
      <c r="CT967" s="33"/>
      <c r="CU967" s="33"/>
      <c r="CV967" s="32"/>
      <c r="CW967" s="32"/>
      <c r="CX967" s="32"/>
      <c r="CY967" s="34"/>
      <c r="CZ967" s="34"/>
      <c r="DA967" s="34"/>
      <c r="DB967" s="33"/>
      <c r="DC967" s="33"/>
      <c r="DD967" s="33"/>
      <c r="DE967" s="33"/>
      <c r="DF967" s="33"/>
      <c r="DG967" s="33"/>
      <c r="DH967" s="34"/>
      <c r="DI967" s="34"/>
      <c r="DJ967" s="34"/>
      <c r="DK967" s="34"/>
      <c r="DL967" s="34"/>
      <c r="DM967" s="34"/>
      <c r="DN967" s="12">
        <v>5204094</v>
      </c>
      <c r="DS967" s="21"/>
      <c r="DT967" s="21"/>
      <c r="DU967" s="21"/>
    </row>
    <row r="968" spans="72:125" ht="13.5" customHeight="1">
      <c r="BT968" s="12">
        <v>5404094</v>
      </c>
      <c r="BU968" s="3">
        <f>[1]monsters!$N968</f>
        <v>0</v>
      </c>
      <c r="BV968" s="3">
        <f>[1]monsters!$O968</f>
        <v>0</v>
      </c>
      <c r="BW968" s="3">
        <f>[1]monsters!$P968</f>
        <v>0</v>
      </c>
      <c r="BX968" s="3">
        <f>[1]monsters!$Q968</f>
        <v>0</v>
      </c>
      <c r="BY968" s="3">
        <f>[1]monsters!$R968</f>
        <v>0</v>
      </c>
      <c r="BZ968" s="3">
        <f>[1]monsters!$S968</f>
        <v>0</v>
      </c>
      <c r="CA968" s="3">
        <f>[1]monsters!$K968</f>
        <v>0</v>
      </c>
      <c r="CB968" s="12">
        <f>[1]monsters!$D968</f>
        <v>0</v>
      </c>
      <c r="CC968" s="12">
        <f t="shared" ca="1" si="73"/>
        <v>0.1</v>
      </c>
      <c r="CD968" s="12">
        <f t="shared" ca="1" si="74"/>
        <v>128.831229568411</v>
      </c>
      <c r="CE968" s="12">
        <f t="shared" ca="1" si="75"/>
        <v>12.883122956841101</v>
      </c>
      <c r="CS968" s="33"/>
      <c r="CT968" s="33"/>
      <c r="CU968" s="33"/>
      <c r="CV968" s="32"/>
      <c r="CW968" s="32"/>
      <c r="CX968" s="32"/>
      <c r="CY968" s="34"/>
      <c r="CZ968" s="34"/>
      <c r="DA968" s="34"/>
      <c r="DB968" s="33"/>
      <c r="DC968" s="33"/>
      <c r="DD968" s="33"/>
      <c r="DE968" s="33"/>
      <c r="DF968" s="33"/>
      <c r="DG968" s="33"/>
      <c r="DH968" s="34"/>
      <c r="DI968" s="34"/>
      <c r="DJ968" s="34"/>
      <c r="DK968" s="34"/>
      <c r="DL968" s="34"/>
      <c r="DM968" s="34"/>
      <c r="DN968" s="12">
        <v>5404094</v>
      </c>
      <c r="DS968" s="21"/>
      <c r="DT968" s="21"/>
      <c r="DU968" s="21"/>
    </row>
    <row r="969" spans="72:125" ht="13.5" customHeight="1">
      <c r="BT969" s="12">
        <v>5303094</v>
      </c>
      <c r="BU969" s="3">
        <f>[1]monsters!$N969</f>
        <v>0</v>
      </c>
      <c r="BV969" s="3">
        <f>[1]monsters!$O969</f>
        <v>0</v>
      </c>
      <c r="BW969" s="3">
        <f>[1]monsters!$P969</f>
        <v>0</v>
      </c>
      <c r="BX969" s="3">
        <f>[1]monsters!$Q969</f>
        <v>0</v>
      </c>
      <c r="BY969" s="3">
        <f>[1]monsters!$R969</f>
        <v>0</v>
      </c>
      <c r="BZ969" s="3">
        <f>[1]monsters!$S969</f>
        <v>0</v>
      </c>
      <c r="CA969" s="3">
        <f>[1]monsters!$K969</f>
        <v>0</v>
      </c>
      <c r="CB969" s="12">
        <f>[1]monsters!$D969</f>
        <v>0</v>
      </c>
      <c r="CC969" s="12">
        <f t="shared" ca="1" si="73"/>
        <v>0.1</v>
      </c>
      <c r="CD969" s="12">
        <f t="shared" ca="1" si="74"/>
        <v>115.85519169472499</v>
      </c>
      <c r="CE969" s="12">
        <f t="shared" ca="1" si="75"/>
        <v>11.5855191694725</v>
      </c>
      <c r="CS969" s="33"/>
      <c r="CT969" s="33"/>
      <c r="CU969" s="33"/>
      <c r="CV969" s="32"/>
      <c r="CW969" s="32"/>
      <c r="CX969" s="32"/>
      <c r="CY969" s="34"/>
      <c r="CZ969" s="34"/>
      <c r="DA969" s="34"/>
      <c r="DB969" s="33"/>
      <c r="DC969" s="33"/>
      <c r="DD969" s="33"/>
      <c r="DE969" s="33"/>
      <c r="DF969" s="33"/>
      <c r="DG969" s="33"/>
      <c r="DH969" s="34"/>
      <c r="DI969" s="34"/>
      <c r="DJ969" s="34"/>
      <c r="DK969" s="34"/>
      <c r="DL969" s="34"/>
      <c r="DM969" s="34"/>
      <c r="DN969" s="12">
        <v>5303094</v>
      </c>
      <c r="DS969" s="21"/>
      <c r="DT969" s="21"/>
      <c r="DU969" s="21"/>
    </row>
    <row r="970" spans="72:125" ht="13.5" customHeight="1">
      <c r="BT970" s="12">
        <v>5304094</v>
      </c>
      <c r="BU970" s="3">
        <f>[1]monsters!$N970</f>
        <v>0</v>
      </c>
      <c r="BV970" s="3">
        <f>[1]monsters!$O970</f>
        <v>0</v>
      </c>
      <c r="BW970" s="3">
        <f>[1]monsters!$P970</f>
        <v>0</v>
      </c>
      <c r="BX970" s="3">
        <f>[1]monsters!$Q970</f>
        <v>0</v>
      </c>
      <c r="BY970" s="3">
        <f>[1]monsters!$R970</f>
        <v>0</v>
      </c>
      <c r="BZ970" s="3">
        <f>[1]monsters!$S970</f>
        <v>0</v>
      </c>
      <c r="CA970" s="3">
        <f>[1]monsters!$K970</f>
        <v>0</v>
      </c>
      <c r="CB970" s="12">
        <f>[1]monsters!$D970</f>
        <v>0</v>
      </c>
      <c r="CC970" s="12">
        <f t="shared" ca="1" si="73"/>
        <v>0.1</v>
      </c>
      <c r="CD970" s="12">
        <f t="shared" ca="1" si="74"/>
        <v>120.277791694725</v>
      </c>
      <c r="CE970" s="12">
        <f t="shared" ca="1" si="75"/>
        <v>12.027779169472501</v>
      </c>
      <c r="CS970" s="33"/>
      <c r="CT970" s="33"/>
      <c r="CU970" s="33"/>
      <c r="CV970" s="32"/>
      <c r="CW970" s="32"/>
      <c r="CX970" s="32"/>
      <c r="CY970" s="34"/>
      <c r="CZ970" s="34"/>
      <c r="DA970" s="34"/>
      <c r="DB970" s="33"/>
      <c r="DC970" s="33"/>
      <c r="DD970" s="33"/>
      <c r="DE970" s="33"/>
      <c r="DF970" s="33"/>
      <c r="DG970" s="33"/>
      <c r="DH970" s="34"/>
      <c r="DI970" s="34"/>
      <c r="DJ970" s="34"/>
      <c r="DK970" s="34"/>
      <c r="DL970" s="34"/>
      <c r="DM970" s="34"/>
      <c r="DN970" s="12">
        <v>5304094</v>
      </c>
      <c r="DS970" s="21"/>
      <c r="DT970" s="21"/>
      <c r="DU970" s="21"/>
    </row>
    <row r="971" spans="72:125" ht="13.5" customHeight="1">
      <c r="BT971" s="12">
        <v>5503094</v>
      </c>
      <c r="BU971" s="3">
        <f>[1]monsters!$N971</f>
        <v>0</v>
      </c>
      <c r="BV971" s="3">
        <f>[1]monsters!$O971</f>
        <v>0</v>
      </c>
      <c r="BW971" s="3">
        <f>[1]monsters!$P971</f>
        <v>0</v>
      </c>
      <c r="BX971" s="3">
        <f>[1]monsters!$Q971</f>
        <v>0</v>
      </c>
      <c r="BY971" s="3">
        <f>[1]monsters!$R971</f>
        <v>0</v>
      </c>
      <c r="BZ971" s="3">
        <f>[1]monsters!$S971</f>
        <v>0</v>
      </c>
      <c r="CA971" s="3">
        <f>[1]monsters!$K971</f>
        <v>0</v>
      </c>
      <c r="CB971" s="12">
        <f>[1]monsters!$D971</f>
        <v>0</v>
      </c>
      <c r="CC971" s="12">
        <f t="shared" ca="1" si="73"/>
        <v>0.1</v>
      </c>
      <c r="CD971" s="12">
        <f t="shared" ca="1" si="74"/>
        <v>138.119843771044</v>
      </c>
      <c r="CE971" s="12">
        <f t="shared" ca="1" si="75"/>
        <v>13.8119843771044</v>
      </c>
      <c r="CS971" s="33"/>
      <c r="CT971" s="33"/>
      <c r="CU971" s="33"/>
      <c r="CV971" s="32"/>
      <c r="CW971" s="32"/>
      <c r="CX971" s="32"/>
      <c r="CY971" s="34"/>
      <c r="CZ971" s="34"/>
      <c r="DA971" s="34"/>
      <c r="DB971" s="33"/>
      <c r="DC971" s="33"/>
      <c r="DD971" s="33"/>
      <c r="DE971" s="33"/>
      <c r="DF971" s="33"/>
      <c r="DG971" s="33"/>
      <c r="DH971" s="34"/>
      <c r="DI971" s="34"/>
      <c r="DJ971" s="34"/>
      <c r="DK971" s="34"/>
      <c r="DL971" s="34"/>
      <c r="DM971" s="34"/>
      <c r="DN971" s="12">
        <v>5503094</v>
      </c>
      <c r="DS971" s="21"/>
      <c r="DT971" s="21"/>
      <c r="DU971" s="21"/>
    </row>
    <row r="972" spans="72:125" ht="13.5" customHeight="1">
      <c r="BT972" s="12">
        <v>5504094</v>
      </c>
      <c r="BU972" s="3">
        <f>[1]monsters!$N972</f>
        <v>0</v>
      </c>
      <c r="BV972" s="3">
        <f>[1]monsters!$O972</f>
        <v>0</v>
      </c>
      <c r="BW972" s="3">
        <f>[1]monsters!$P972</f>
        <v>0</v>
      </c>
      <c r="BX972" s="3">
        <f>[1]monsters!$Q972</f>
        <v>0</v>
      </c>
      <c r="BY972" s="3">
        <f>[1]monsters!$R972</f>
        <v>0</v>
      </c>
      <c r="BZ972" s="3">
        <f>[1]monsters!$S972</f>
        <v>0</v>
      </c>
      <c r="CA972" s="3">
        <f>[1]monsters!$K972</f>
        <v>0</v>
      </c>
      <c r="CB972" s="12">
        <f>[1]monsters!$D972</f>
        <v>0</v>
      </c>
      <c r="CC972" s="12">
        <f t="shared" ca="1" si="73"/>
        <v>0.1</v>
      </c>
      <c r="CD972" s="12">
        <f t="shared" ca="1" si="74"/>
        <v>149.913443771044</v>
      </c>
      <c r="CE972" s="12">
        <f t="shared" ca="1" si="75"/>
        <v>14.991344377104401</v>
      </c>
      <c r="CS972" s="33"/>
      <c r="CT972" s="33"/>
      <c r="CU972" s="33"/>
      <c r="CV972" s="32"/>
      <c r="CW972" s="32"/>
      <c r="CX972" s="32"/>
      <c r="CY972" s="34"/>
      <c r="CZ972" s="34"/>
      <c r="DA972" s="34"/>
      <c r="DB972" s="33"/>
      <c r="DC972" s="33"/>
      <c r="DD972" s="33"/>
      <c r="DE972" s="33"/>
      <c r="DF972" s="33"/>
      <c r="DG972" s="33"/>
      <c r="DH972" s="34"/>
      <c r="DI972" s="34"/>
      <c r="DJ972" s="34"/>
      <c r="DK972" s="34"/>
      <c r="DL972" s="34"/>
      <c r="DM972" s="34"/>
      <c r="DN972" s="12">
        <v>5504094</v>
      </c>
      <c r="DS972" s="21"/>
      <c r="DT972" s="21"/>
      <c r="DU972" s="21"/>
    </row>
    <row r="973" spans="72:125" ht="13.5" customHeight="1">
      <c r="BT973" s="12">
        <v>5101094</v>
      </c>
      <c r="BU973" s="3">
        <f>[1]monsters!$N973</f>
        <v>0</v>
      </c>
      <c r="BV973" s="3">
        <f>[1]monsters!$O973</f>
        <v>0</v>
      </c>
      <c r="BW973" s="3">
        <f>[1]monsters!$P973</f>
        <v>0</v>
      </c>
      <c r="BX973" s="3">
        <f>[1]monsters!$Q973</f>
        <v>0</v>
      </c>
      <c r="BY973" s="3">
        <f>[1]monsters!$R973</f>
        <v>0</v>
      </c>
      <c r="BZ973" s="3">
        <f>[1]monsters!$S973</f>
        <v>0</v>
      </c>
      <c r="CA973" s="3">
        <f>[1]monsters!$K973</f>
        <v>0</v>
      </c>
      <c r="CB973" s="12">
        <f>[1]monsters!$D973</f>
        <v>0</v>
      </c>
      <c r="CC973" s="12">
        <f t="shared" ca="1" si="73"/>
        <v>0.1</v>
      </c>
      <c r="CD973" s="12">
        <f t="shared" ca="1" si="74"/>
        <v>131.14925252525299</v>
      </c>
      <c r="CE973" s="12">
        <f t="shared" ca="1" si="75"/>
        <v>13.1149252525253</v>
      </c>
      <c r="CS973" s="33"/>
      <c r="CT973" s="33"/>
      <c r="CU973" s="33"/>
      <c r="CV973" s="32"/>
      <c r="CW973" s="32"/>
      <c r="CX973" s="32"/>
      <c r="CY973" s="34"/>
      <c r="CZ973" s="34"/>
      <c r="DA973" s="34"/>
      <c r="DB973" s="33"/>
      <c r="DC973" s="33"/>
      <c r="DD973" s="33"/>
      <c r="DE973" s="33"/>
      <c r="DF973" s="33"/>
      <c r="DG973" s="33"/>
      <c r="DH973" s="34"/>
      <c r="DI973" s="34"/>
      <c r="DJ973" s="34"/>
      <c r="DK973" s="34"/>
      <c r="DL973" s="34"/>
      <c r="DM973" s="34"/>
      <c r="DN973" s="12">
        <v>5101094</v>
      </c>
      <c r="DS973" s="21"/>
      <c r="DT973" s="21"/>
      <c r="DU973" s="21"/>
    </row>
    <row r="974" spans="72:125" ht="13.5" customHeight="1">
      <c r="BT974" s="12">
        <v>5102094</v>
      </c>
      <c r="BU974" s="3">
        <f>[1]monsters!$N974</f>
        <v>0</v>
      </c>
      <c r="BV974" s="3">
        <f>[1]monsters!$O974</f>
        <v>0</v>
      </c>
      <c r="BW974" s="3">
        <f>[1]monsters!$P974</f>
        <v>0</v>
      </c>
      <c r="BX974" s="3">
        <f>[1]monsters!$Q974</f>
        <v>0</v>
      </c>
      <c r="BY974" s="3">
        <f>[1]monsters!$R974</f>
        <v>0</v>
      </c>
      <c r="BZ974" s="3">
        <f>[1]monsters!$S974</f>
        <v>0</v>
      </c>
      <c r="CA974" s="3">
        <f>[1]monsters!$K974</f>
        <v>0</v>
      </c>
      <c r="CB974" s="12">
        <f>[1]monsters!$D974</f>
        <v>0</v>
      </c>
      <c r="CC974" s="12">
        <f t="shared" ca="1" si="73"/>
        <v>0.1</v>
      </c>
      <c r="CD974" s="12">
        <f t="shared" ca="1" si="74"/>
        <v>121.321252525253</v>
      </c>
      <c r="CE974" s="12">
        <f t="shared" ca="1" si="75"/>
        <v>12.1321252525253</v>
      </c>
      <c r="CS974" s="33"/>
      <c r="CT974" s="33"/>
      <c r="CU974" s="33"/>
      <c r="CV974" s="32"/>
      <c r="CW974" s="32"/>
      <c r="CX974" s="32"/>
      <c r="CY974" s="34"/>
      <c r="CZ974" s="34"/>
      <c r="DA974" s="34"/>
      <c r="DB974" s="33"/>
      <c r="DC974" s="33"/>
      <c r="DD974" s="33"/>
      <c r="DE974" s="33"/>
      <c r="DF974" s="33"/>
      <c r="DG974" s="33"/>
      <c r="DH974" s="34"/>
      <c r="DI974" s="34"/>
      <c r="DJ974" s="34"/>
      <c r="DK974" s="34"/>
      <c r="DL974" s="34"/>
      <c r="DM974" s="34"/>
      <c r="DN974" s="12">
        <v>5102094</v>
      </c>
      <c r="DS974" s="21"/>
      <c r="DT974" s="21"/>
      <c r="DU974" s="21"/>
    </row>
    <row r="975" spans="72:125" ht="13.5" customHeight="1">
      <c r="BT975" s="12">
        <v>5206095</v>
      </c>
      <c r="BU975" s="3">
        <f>[1]monsters!$N975</f>
        <v>0</v>
      </c>
      <c r="BV975" s="3">
        <f>[1]monsters!$O975</f>
        <v>0</v>
      </c>
      <c r="BW975" s="3">
        <f>[1]monsters!$P975</f>
        <v>0</v>
      </c>
      <c r="BX975" s="3">
        <f>[1]monsters!$Q975</f>
        <v>0</v>
      </c>
      <c r="BY975" s="3">
        <f>[1]monsters!$R975</f>
        <v>0</v>
      </c>
      <c r="BZ975" s="3">
        <f>[1]monsters!$S975</f>
        <v>0</v>
      </c>
      <c r="CA975" s="3">
        <f>[1]monsters!$K975</f>
        <v>0</v>
      </c>
      <c r="CB975" s="12">
        <f>[1]monsters!$D975</f>
        <v>0</v>
      </c>
      <c r="CC975" s="12">
        <f t="shared" ca="1" si="73"/>
        <v>0.1</v>
      </c>
      <c r="CD975" s="12">
        <f t="shared" ca="1" si="74"/>
        <v>132.48696565656601</v>
      </c>
      <c r="CE975" s="12">
        <f t="shared" ca="1" si="75"/>
        <v>13.2486965656566</v>
      </c>
      <c r="CS975" s="33"/>
      <c r="CT975" s="33"/>
      <c r="CU975" s="33"/>
      <c r="CV975" s="32"/>
      <c r="CW975" s="32"/>
      <c r="CX975" s="32"/>
      <c r="CY975" s="34"/>
      <c r="CZ975" s="34"/>
      <c r="DA975" s="34"/>
      <c r="DB975" s="33"/>
      <c r="DC975" s="33"/>
      <c r="DD975" s="33"/>
      <c r="DE975" s="33"/>
      <c r="DF975" s="33"/>
      <c r="DG975" s="33"/>
      <c r="DH975" s="34"/>
      <c r="DI975" s="34"/>
      <c r="DJ975" s="34"/>
      <c r="DK975" s="34"/>
      <c r="DL975" s="34"/>
      <c r="DM975" s="34"/>
      <c r="DN975" s="12">
        <v>5206095</v>
      </c>
      <c r="DS975" s="21"/>
      <c r="DT975" s="21"/>
      <c r="DU975" s="21"/>
    </row>
    <row r="976" spans="72:125" ht="13.5" customHeight="1">
      <c r="BT976" s="12">
        <v>5406095</v>
      </c>
      <c r="BU976" s="3">
        <f>[1]monsters!$N976</f>
        <v>0</v>
      </c>
      <c r="BV976" s="3">
        <f>[1]monsters!$O976</f>
        <v>0</v>
      </c>
      <c r="BW976" s="3">
        <f>[1]monsters!$P976</f>
        <v>0</v>
      </c>
      <c r="BX976" s="3">
        <f>[1]monsters!$Q976</f>
        <v>0</v>
      </c>
      <c r="BY976" s="3">
        <f>[1]monsters!$R976</f>
        <v>0</v>
      </c>
      <c r="BZ976" s="3">
        <f>[1]monsters!$S976</f>
        <v>0</v>
      </c>
      <c r="CA976" s="3">
        <f>[1]monsters!$K976</f>
        <v>0</v>
      </c>
      <c r="CB976" s="12">
        <f>[1]monsters!$D976</f>
        <v>0</v>
      </c>
      <c r="CC976" s="12">
        <f t="shared" ca="1" si="73"/>
        <v>0.1</v>
      </c>
      <c r="CD976" s="12">
        <f t="shared" ca="1" si="74"/>
        <v>123.425829568411</v>
      </c>
      <c r="CE976" s="12">
        <f t="shared" ca="1" si="75"/>
        <v>12.342582956841101</v>
      </c>
      <c r="CS976" s="33"/>
      <c r="CT976" s="33"/>
      <c r="CU976" s="33"/>
      <c r="CV976" s="32"/>
      <c r="CW976" s="32"/>
      <c r="CX976" s="32"/>
      <c r="CY976" s="34"/>
      <c r="CZ976" s="34"/>
      <c r="DA976" s="34"/>
      <c r="DB976" s="33"/>
      <c r="DC976" s="33"/>
      <c r="DD976" s="33"/>
      <c r="DE976" s="33"/>
      <c r="DF976" s="33"/>
      <c r="DG976" s="33"/>
      <c r="DH976" s="34"/>
      <c r="DI976" s="34"/>
      <c r="DJ976" s="34"/>
      <c r="DK976" s="34"/>
      <c r="DL976" s="34"/>
      <c r="DM976" s="34"/>
      <c r="DN976" s="12">
        <v>5406095</v>
      </c>
      <c r="DS976" s="21"/>
      <c r="DT976" s="21"/>
      <c r="DU976" s="21"/>
    </row>
    <row r="977" spans="72:125" ht="13.5" customHeight="1">
      <c r="BT977" s="12">
        <v>5205095</v>
      </c>
      <c r="BU977" s="3">
        <f>[1]monsters!$N977</f>
        <v>0</v>
      </c>
      <c r="BV977" s="3">
        <f>[1]monsters!$O977</f>
        <v>0</v>
      </c>
      <c r="BW977" s="3">
        <f>[1]monsters!$P977</f>
        <v>0</v>
      </c>
      <c r="BX977" s="3">
        <f>[1]monsters!$Q977</f>
        <v>0</v>
      </c>
      <c r="BY977" s="3">
        <f>[1]monsters!$R977</f>
        <v>0</v>
      </c>
      <c r="BZ977" s="3">
        <f>[1]monsters!$S977</f>
        <v>0</v>
      </c>
      <c r="CA977" s="3">
        <f>[1]monsters!$K977</f>
        <v>0</v>
      </c>
      <c r="CB977" s="12">
        <f>[1]monsters!$D977</f>
        <v>0</v>
      </c>
      <c r="CC977" s="12">
        <f t="shared" ca="1" si="73"/>
        <v>0.1</v>
      </c>
      <c r="CD977" s="12">
        <f t="shared" ca="1" si="74"/>
        <v>144.28056565656601</v>
      </c>
      <c r="CE977" s="12">
        <f t="shared" ca="1" si="75"/>
        <v>14.4280565656566</v>
      </c>
      <c r="CS977" s="33"/>
      <c r="CT977" s="33"/>
      <c r="CU977" s="33"/>
      <c r="CV977" s="32"/>
      <c r="CW977" s="32"/>
      <c r="CX977" s="32"/>
      <c r="CY977" s="34"/>
      <c r="CZ977" s="34"/>
      <c r="DA977" s="34"/>
      <c r="DB977" s="33"/>
      <c r="DC977" s="33"/>
      <c r="DD977" s="33"/>
      <c r="DE977" s="33"/>
      <c r="DF977" s="33"/>
      <c r="DG977" s="33"/>
      <c r="DH977" s="34"/>
      <c r="DI977" s="34"/>
      <c r="DJ977" s="34"/>
      <c r="DK977" s="34"/>
      <c r="DL977" s="34"/>
      <c r="DM977" s="34"/>
      <c r="DN977" s="12">
        <v>5205095</v>
      </c>
      <c r="DS977" s="21"/>
      <c r="DT977" s="21"/>
      <c r="DU977" s="21"/>
    </row>
    <row r="978" spans="72:125" ht="13.5" customHeight="1">
      <c r="BT978" s="12">
        <v>5405095</v>
      </c>
      <c r="BU978" s="3">
        <f>[1]monsters!$N978</f>
        <v>0</v>
      </c>
      <c r="BV978" s="3">
        <f>[1]monsters!$O978</f>
        <v>0</v>
      </c>
      <c r="BW978" s="3">
        <f>[1]monsters!$P978</f>
        <v>0</v>
      </c>
      <c r="BX978" s="3">
        <f>[1]monsters!$Q978</f>
        <v>0</v>
      </c>
      <c r="BY978" s="3">
        <f>[1]monsters!$R978</f>
        <v>0</v>
      </c>
      <c r="BZ978" s="3">
        <f>[1]monsters!$S978</f>
        <v>0</v>
      </c>
      <c r="CA978" s="3">
        <f>[1]monsters!$K978</f>
        <v>0</v>
      </c>
      <c r="CB978" s="12">
        <f>[1]monsters!$D978</f>
        <v>0</v>
      </c>
      <c r="CC978" s="12">
        <f t="shared" ca="1" si="73"/>
        <v>0.1</v>
      </c>
      <c r="CD978" s="12">
        <f t="shared" ca="1" si="74"/>
        <v>128.831229568411</v>
      </c>
      <c r="CE978" s="12">
        <f t="shared" ca="1" si="75"/>
        <v>12.883122956841101</v>
      </c>
      <c r="CS978" s="33"/>
      <c r="CT978" s="33"/>
      <c r="CU978" s="33"/>
      <c r="CV978" s="32"/>
      <c r="CW978" s="32"/>
      <c r="CX978" s="32"/>
      <c r="CY978" s="34"/>
      <c r="CZ978" s="34"/>
      <c r="DA978" s="34"/>
      <c r="DB978" s="33"/>
      <c r="DC978" s="33"/>
      <c r="DD978" s="33"/>
      <c r="DE978" s="33"/>
      <c r="DF978" s="33"/>
      <c r="DG978" s="33"/>
      <c r="DH978" s="34"/>
      <c r="DI978" s="34"/>
      <c r="DJ978" s="34"/>
      <c r="DK978" s="34"/>
      <c r="DL978" s="34"/>
      <c r="DM978" s="34"/>
      <c r="DN978" s="12">
        <v>5405095</v>
      </c>
      <c r="DS978" s="21"/>
      <c r="DT978" s="21"/>
      <c r="DU978" s="21"/>
    </row>
    <row r="979" spans="72:125" ht="13.5" customHeight="1">
      <c r="BT979" s="12">
        <v>5203095</v>
      </c>
      <c r="BU979" s="3">
        <f>[1]monsters!$N979</f>
        <v>0</v>
      </c>
      <c r="BV979" s="3">
        <f>[1]monsters!$O979</f>
        <v>0</v>
      </c>
      <c r="BW979" s="3">
        <f>[1]monsters!$P979</f>
        <v>0</v>
      </c>
      <c r="BX979" s="3">
        <f>[1]monsters!$Q979</f>
        <v>0</v>
      </c>
      <c r="BY979" s="3">
        <f>[1]monsters!$R979</f>
        <v>0</v>
      </c>
      <c r="BZ979" s="3">
        <f>[1]monsters!$S979</f>
        <v>0</v>
      </c>
      <c r="CA979" s="3">
        <f>[1]monsters!$K979</f>
        <v>0</v>
      </c>
      <c r="CB979" s="12">
        <f>[1]monsters!$D979</f>
        <v>0</v>
      </c>
      <c r="CC979" s="12">
        <f t="shared" ca="1" si="73"/>
        <v>0.1</v>
      </c>
      <c r="CD979" s="12">
        <f t="shared" ca="1" si="74"/>
        <v>116.762165656566</v>
      </c>
      <c r="CE979" s="12">
        <f t="shared" ca="1" si="75"/>
        <v>11.676216565656601</v>
      </c>
      <c r="CS979" s="33"/>
      <c r="CT979" s="33"/>
      <c r="CU979" s="33"/>
      <c r="CV979" s="32"/>
      <c r="CW979" s="32"/>
      <c r="CX979" s="32"/>
      <c r="CY979" s="34"/>
      <c r="CZ979" s="34"/>
      <c r="DA979" s="34"/>
      <c r="DB979" s="33"/>
      <c r="DC979" s="33"/>
      <c r="DD979" s="33"/>
      <c r="DE979" s="33"/>
      <c r="DF979" s="33"/>
      <c r="DG979" s="33"/>
      <c r="DH979" s="34"/>
      <c r="DI979" s="34"/>
      <c r="DJ979" s="34"/>
      <c r="DK979" s="34"/>
      <c r="DL979" s="34"/>
      <c r="DM979" s="34"/>
      <c r="DN979" s="12">
        <v>5203095</v>
      </c>
      <c r="DS979" s="21"/>
      <c r="DT979" s="21"/>
      <c r="DU979" s="21"/>
    </row>
    <row r="980" spans="72:125" ht="13.5" customHeight="1">
      <c r="BT980" s="12">
        <v>5403095</v>
      </c>
      <c r="BU980" s="3">
        <f>[1]monsters!$N980</f>
        <v>0</v>
      </c>
      <c r="BV980" s="3">
        <f>[1]monsters!$O980</f>
        <v>0</v>
      </c>
      <c r="BW980" s="3">
        <f>[1]monsters!$P980</f>
        <v>0</v>
      </c>
      <c r="BX980" s="3">
        <f>[1]monsters!$Q980</f>
        <v>0</v>
      </c>
      <c r="BY980" s="3">
        <f>[1]monsters!$R980</f>
        <v>0</v>
      </c>
      <c r="BZ980" s="3">
        <f>[1]monsters!$S980</f>
        <v>0</v>
      </c>
      <c r="CA980" s="3">
        <f>[1]monsters!$K980</f>
        <v>0</v>
      </c>
      <c r="CB980" s="12">
        <f>[1]monsters!$D980</f>
        <v>0</v>
      </c>
      <c r="CC980" s="12">
        <f t="shared" ca="1" si="73"/>
        <v>0.1</v>
      </c>
      <c r="CD980" s="12">
        <f t="shared" ca="1" si="74"/>
        <v>107.209629568411</v>
      </c>
      <c r="CE980" s="12">
        <f t="shared" ca="1" si="75"/>
        <v>10.720962956841101</v>
      </c>
      <c r="CS980" s="33"/>
      <c r="CT980" s="33"/>
      <c r="CU980" s="33"/>
      <c r="CV980" s="32"/>
      <c r="CW980" s="32"/>
      <c r="CX980" s="32"/>
      <c r="CY980" s="34"/>
      <c r="CZ980" s="34"/>
      <c r="DA980" s="34"/>
      <c r="DB980" s="33"/>
      <c r="DC980" s="33"/>
      <c r="DD980" s="33"/>
      <c r="DE980" s="33"/>
      <c r="DF980" s="33"/>
      <c r="DG980" s="33"/>
      <c r="DH980" s="34"/>
      <c r="DI980" s="34"/>
      <c r="DJ980" s="34"/>
      <c r="DK980" s="34"/>
      <c r="DL980" s="34"/>
      <c r="DM980" s="34"/>
      <c r="DN980" s="12">
        <v>5403095</v>
      </c>
      <c r="DS980" s="21"/>
      <c r="DT980" s="21"/>
      <c r="DU980" s="21"/>
    </row>
    <row r="981" spans="72:125" ht="13.5" customHeight="1">
      <c r="BT981" s="12">
        <v>5204095</v>
      </c>
      <c r="BU981" s="3">
        <f>[1]monsters!$N981</f>
        <v>0</v>
      </c>
      <c r="BV981" s="3">
        <f>[1]monsters!$O981</f>
        <v>0</v>
      </c>
      <c r="BW981" s="3">
        <f>[1]monsters!$P981</f>
        <v>0</v>
      </c>
      <c r="BX981" s="3">
        <f>[1]monsters!$Q981</f>
        <v>0</v>
      </c>
      <c r="BY981" s="3">
        <f>[1]monsters!$R981</f>
        <v>0</v>
      </c>
      <c r="BZ981" s="3">
        <f>[1]monsters!$S981</f>
        <v>0</v>
      </c>
      <c r="CA981" s="3">
        <f>[1]monsters!$K981</f>
        <v>0</v>
      </c>
      <c r="CB981" s="12">
        <f>[1]monsters!$D981</f>
        <v>0</v>
      </c>
      <c r="CC981" s="12">
        <f t="shared" ca="1" si="73"/>
        <v>0.1</v>
      </c>
      <c r="CD981" s="12">
        <f t="shared" ca="1" si="74"/>
        <v>120.693365656566</v>
      </c>
      <c r="CE981" s="12">
        <f t="shared" ca="1" si="75"/>
        <v>12.069336565656601</v>
      </c>
      <c r="CS981" s="33"/>
      <c r="CT981" s="33"/>
      <c r="CU981" s="33"/>
      <c r="CV981" s="32"/>
      <c r="CW981" s="32"/>
      <c r="CX981" s="32"/>
      <c r="CY981" s="34"/>
      <c r="CZ981" s="34"/>
      <c r="DA981" s="34"/>
      <c r="DB981" s="33"/>
      <c r="DC981" s="33"/>
      <c r="DD981" s="33"/>
      <c r="DE981" s="33"/>
      <c r="DF981" s="33"/>
      <c r="DG981" s="33"/>
      <c r="DH981" s="34"/>
      <c r="DI981" s="34"/>
      <c r="DJ981" s="34"/>
      <c r="DK981" s="34"/>
      <c r="DL981" s="34"/>
      <c r="DM981" s="34"/>
      <c r="DN981" s="12">
        <v>5204095</v>
      </c>
      <c r="DS981" s="21"/>
      <c r="DT981" s="21"/>
      <c r="DU981" s="21"/>
    </row>
    <row r="982" spans="72:125" ht="13.5" customHeight="1">
      <c r="BT982" s="12">
        <v>5404095</v>
      </c>
      <c r="BU982" s="3">
        <f>[1]monsters!$N982</f>
        <v>0</v>
      </c>
      <c r="BV982" s="3">
        <f>[1]monsters!$O982</f>
        <v>0</v>
      </c>
      <c r="BW982" s="3">
        <f>[1]monsters!$P982</f>
        <v>0</v>
      </c>
      <c r="BX982" s="3">
        <f>[1]monsters!$Q982</f>
        <v>0</v>
      </c>
      <c r="BY982" s="3">
        <f>[1]monsters!$R982</f>
        <v>0</v>
      </c>
      <c r="BZ982" s="3">
        <f>[1]monsters!$S982</f>
        <v>0</v>
      </c>
      <c r="CA982" s="3">
        <f>[1]monsters!$K982</f>
        <v>0</v>
      </c>
      <c r="CB982" s="12">
        <f>[1]monsters!$D982</f>
        <v>0</v>
      </c>
      <c r="CC982" s="12">
        <f t="shared" ca="1" si="73"/>
        <v>0.1</v>
      </c>
      <c r="CD982" s="12">
        <f t="shared" ca="1" si="74"/>
        <v>128.831229568411</v>
      </c>
      <c r="CE982" s="12">
        <f t="shared" ca="1" si="75"/>
        <v>12.883122956841101</v>
      </c>
      <c r="CS982" s="33"/>
      <c r="CT982" s="33"/>
      <c r="CU982" s="33"/>
      <c r="CV982" s="32"/>
      <c r="CW982" s="32"/>
      <c r="CX982" s="32"/>
      <c r="CY982" s="34"/>
      <c r="CZ982" s="34"/>
      <c r="DA982" s="34"/>
      <c r="DB982" s="33"/>
      <c r="DC982" s="33"/>
      <c r="DD982" s="33"/>
      <c r="DE982" s="33"/>
      <c r="DF982" s="33"/>
      <c r="DG982" s="33"/>
      <c r="DH982" s="34"/>
      <c r="DI982" s="34"/>
      <c r="DJ982" s="34"/>
      <c r="DK982" s="34"/>
      <c r="DL982" s="34"/>
      <c r="DM982" s="34"/>
      <c r="DN982" s="12">
        <v>5404095</v>
      </c>
      <c r="DS982" s="21"/>
      <c r="DT982" s="21"/>
      <c r="DU982" s="21"/>
    </row>
    <row r="983" spans="72:125" ht="13.5" customHeight="1">
      <c r="BT983" s="12">
        <v>5303095</v>
      </c>
      <c r="BU983" s="3">
        <f>[1]monsters!$N983</f>
        <v>0</v>
      </c>
      <c r="BV983" s="3">
        <f>[1]monsters!$O983</f>
        <v>0</v>
      </c>
      <c r="BW983" s="3">
        <f>[1]monsters!$P983</f>
        <v>0</v>
      </c>
      <c r="BX983" s="3">
        <f>[1]monsters!$Q983</f>
        <v>0</v>
      </c>
      <c r="BY983" s="3">
        <f>[1]monsters!$R983</f>
        <v>0</v>
      </c>
      <c r="BZ983" s="3">
        <f>[1]monsters!$S983</f>
        <v>0</v>
      </c>
      <c r="CA983" s="3">
        <f>[1]monsters!$K983</f>
        <v>0</v>
      </c>
      <c r="CB983" s="12">
        <f>[1]monsters!$D983</f>
        <v>0</v>
      </c>
      <c r="CC983" s="12">
        <f t="shared" ca="1" si="73"/>
        <v>0.1</v>
      </c>
      <c r="CD983" s="12">
        <f t="shared" ca="1" si="74"/>
        <v>115.85519169472499</v>
      </c>
      <c r="CE983" s="12">
        <f t="shared" ca="1" si="75"/>
        <v>11.5855191694725</v>
      </c>
      <c r="CS983" s="33"/>
      <c r="CT983" s="33"/>
      <c r="CU983" s="33"/>
      <c r="CV983" s="32"/>
      <c r="CW983" s="32"/>
      <c r="CX983" s="32"/>
      <c r="CY983" s="34"/>
      <c r="CZ983" s="34"/>
      <c r="DA983" s="34"/>
      <c r="DB983" s="33"/>
      <c r="DC983" s="33"/>
      <c r="DD983" s="33"/>
      <c r="DE983" s="33"/>
      <c r="DF983" s="33"/>
      <c r="DG983" s="33"/>
      <c r="DH983" s="34"/>
      <c r="DI983" s="34"/>
      <c r="DJ983" s="34"/>
      <c r="DK983" s="34"/>
      <c r="DL983" s="34"/>
      <c r="DM983" s="34"/>
      <c r="DN983" s="12">
        <v>5303095</v>
      </c>
      <c r="DS983" s="21"/>
      <c r="DT983" s="21"/>
      <c r="DU983" s="21"/>
    </row>
    <row r="984" spans="72:125" ht="13.5" customHeight="1">
      <c r="BT984" s="12">
        <v>5304095</v>
      </c>
      <c r="BU984" s="3">
        <f>[1]monsters!$N984</f>
        <v>0</v>
      </c>
      <c r="BV984" s="3">
        <f>[1]monsters!$O984</f>
        <v>0</v>
      </c>
      <c r="BW984" s="3">
        <f>[1]monsters!$P984</f>
        <v>0</v>
      </c>
      <c r="BX984" s="3">
        <f>[1]monsters!$Q984</f>
        <v>0</v>
      </c>
      <c r="BY984" s="3">
        <f>[1]monsters!$R984</f>
        <v>0</v>
      </c>
      <c r="BZ984" s="3">
        <f>[1]monsters!$S984</f>
        <v>0</v>
      </c>
      <c r="CA984" s="3">
        <f>[1]monsters!$K984</f>
        <v>0</v>
      </c>
      <c r="CB984" s="12">
        <f>[1]monsters!$D984</f>
        <v>0</v>
      </c>
      <c r="CC984" s="12">
        <f t="shared" ca="1" si="73"/>
        <v>0.1</v>
      </c>
      <c r="CD984" s="12">
        <f t="shared" ca="1" si="74"/>
        <v>120.277791694725</v>
      </c>
      <c r="CE984" s="12">
        <f t="shared" ca="1" si="75"/>
        <v>12.027779169472501</v>
      </c>
      <c r="CS984" s="33"/>
      <c r="CT984" s="33"/>
      <c r="CU984" s="33"/>
      <c r="CV984" s="33"/>
      <c r="CW984" s="33"/>
      <c r="CX984" s="33"/>
      <c r="CY984" s="33"/>
      <c r="CZ984" s="33"/>
      <c r="DA984" s="33"/>
      <c r="DB984" s="33"/>
      <c r="DC984" s="33"/>
      <c r="DD984" s="33"/>
      <c r="DE984" s="33"/>
      <c r="DF984" s="33"/>
      <c r="DG984" s="33"/>
      <c r="DH984" s="33"/>
      <c r="DI984" s="33"/>
      <c r="DJ984" s="33"/>
      <c r="DK984" s="33"/>
      <c r="DL984" s="33"/>
      <c r="DM984" s="33"/>
      <c r="DN984" s="12">
        <v>5304095</v>
      </c>
    </row>
    <row r="985" spans="72:125" ht="13.5" customHeight="1">
      <c r="BT985" s="12">
        <v>5503095</v>
      </c>
      <c r="BU985" s="3">
        <f>[1]monsters!$N985</f>
        <v>0</v>
      </c>
      <c r="BV985" s="3">
        <f>[1]monsters!$O985</f>
        <v>0</v>
      </c>
      <c r="BW985" s="3">
        <f>[1]monsters!$P985</f>
        <v>0</v>
      </c>
      <c r="BX985" s="3">
        <f>[1]monsters!$Q985</f>
        <v>0</v>
      </c>
      <c r="BY985" s="3">
        <f>[1]monsters!$R985</f>
        <v>0</v>
      </c>
      <c r="BZ985" s="3">
        <f>[1]monsters!$S985</f>
        <v>0</v>
      </c>
      <c r="CA985" s="3">
        <f>[1]monsters!$K985</f>
        <v>0</v>
      </c>
      <c r="CB985" s="12">
        <f>[1]monsters!$D985</f>
        <v>0</v>
      </c>
      <c r="CC985" s="12">
        <f t="shared" ca="1" si="73"/>
        <v>0.1</v>
      </c>
      <c r="CD985" s="12">
        <f t="shared" ca="1" si="74"/>
        <v>138.119843771044</v>
      </c>
      <c r="CE985" s="12">
        <f t="shared" ca="1" si="75"/>
        <v>13.8119843771044</v>
      </c>
      <c r="DN985" s="12">
        <v>5503095</v>
      </c>
    </row>
    <row r="986" spans="72:125" ht="13.5" customHeight="1">
      <c r="BT986" s="12">
        <v>5504095</v>
      </c>
      <c r="BU986" s="3">
        <f>[1]monsters!$N986</f>
        <v>0</v>
      </c>
      <c r="BV986" s="3">
        <f>[1]monsters!$O986</f>
        <v>0</v>
      </c>
      <c r="BW986" s="3">
        <f>[1]monsters!$P986</f>
        <v>0</v>
      </c>
      <c r="BX986" s="3">
        <f>[1]monsters!$Q986</f>
        <v>0</v>
      </c>
      <c r="BY986" s="3">
        <f>[1]monsters!$R986</f>
        <v>0</v>
      </c>
      <c r="BZ986" s="3">
        <f>[1]monsters!$S986</f>
        <v>0</v>
      </c>
      <c r="CA986" s="3">
        <f>[1]monsters!$K986</f>
        <v>0</v>
      </c>
      <c r="CB986" s="12">
        <f>[1]monsters!$D986</f>
        <v>0</v>
      </c>
      <c r="CC986" s="12">
        <f t="shared" ca="1" si="73"/>
        <v>0.1</v>
      </c>
      <c r="CD986" s="12">
        <f t="shared" ca="1" si="74"/>
        <v>149.913443771044</v>
      </c>
      <c r="CE986" s="12">
        <f t="shared" ca="1" si="75"/>
        <v>14.991344377104401</v>
      </c>
      <c r="DN986" s="12">
        <v>5504095</v>
      </c>
    </row>
    <row r="987" spans="72:125" ht="13.5" customHeight="1">
      <c r="BT987" s="12">
        <v>5101095</v>
      </c>
      <c r="BU987" s="3">
        <f>[1]monsters!$N987</f>
        <v>0</v>
      </c>
      <c r="BV987" s="3">
        <f>[1]monsters!$O987</f>
        <v>0</v>
      </c>
      <c r="BW987" s="3">
        <f>[1]monsters!$P987</f>
        <v>0</v>
      </c>
      <c r="BX987" s="3">
        <f>[1]monsters!$Q987</f>
        <v>0</v>
      </c>
      <c r="BY987" s="3">
        <f>[1]monsters!$R987</f>
        <v>0</v>
      </c>
      <c r="BZ987" s="3">
        <f>[1]monsters!$S987</f>
        <v>0</v>
      </c>
      <c r="CA987" s="3">
        <f>[1]monsters!$K987</f>
        <v>0</v>
      </c>
      <c r="CB987" s="12">
        <f>[1]monsters!$D987</f>
        <v>0</v>
      </c>
      <c r="CC987" s="12">
        <f t="shared" ca="1" si="73"/>
        <v>0.1</v>
      </c>
      <c r="CD987" s="12">
        <f t="shared" ca="1" si="74"/>
        <v>131.14925252525299</v>
      </c>
      <c r="CE987" s="12">
        <f t="shared" ca="1" si="75"/>
        <v>13.1149252525253</v>
      </c>
      <c r="DN987" s="12">
        <v>5101095</v>
      </c>
    </row>
    <row r="988" spans="72:125" ht="13.5" customHeight="1">
      <c r="BT988" s="12">
        <v>5102095</v>
      </c>
      <c r="BU988" s="3">
        <f>[1]monsters!$N988</f>
        <v>0</v>
      </c>
      <c r="BV988" s="3">
        <f>[1]monsters!$O988</f>
        <v>0</v>
      </c>
      <c r="BW988" s="3">
        <f>[1]monsters!$P988</f>
        <v>0</v>
      </c>
      <c r="BX988" s="3">
        <f>[1]monsters!$Q988</f>
        <v>0</v>
      </c>
      <c r="BY988" s="3">
        <f>[1]monsters!$R988</f>
        <v>0</v>
      </c>
      <c r="BZ988" s="3">
        <f>[1]monsters!$S988</f>
        <v>0</v>
      </c>
      <c r="CA988" s="3">
        <f>[1]monsters!$K988</f>
        <v>0</v>
      </c>
      <c r="CB988" s="12">
        <f>[1]monsters!$D988</f>
        <v>0</v>
      </c>
      <c r="CC988" s="12">
        <f t="shared" ca="1" si="73"/>
        <v>0.1</v>
      </c>
      <c r="CD988" s="12">
        <f t="shared" ca="1" si="74"/>
        <v>121.321252525253</v>
      </c>
      <c r="CE988" s="12">
        <f t="shared" ca="1" si="75"/>
        <v>12.1321252525253</v>
      </c>
      <c r="DN988" s="12">
        <v>5102095</v>
      </c>
    </row>
  </sheetData>
  <phoneticPr fontId="8" type="noConversion"/>
  <conditionalFormatting sqref="BT4:BT988">
    <cfRule type="duplicateValues" dxfId="1" priority="2"/>
  </conditionalFormatting>
  <conditionalFormatting sqref="DN4:DN988">
    <cfRule type="duplicateValues" dxfId="0" priority="1"/>
  </conditionalFormatting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5"/>
  <sheetViews>
    <sheetView workbookViewId="0">
      <selection activeCell="D18" sqref="D18"/>
    </sheetView>
  </sheetViews>
  <sheetFormatPr defaultColWidth="9" defaultRowHeight="13.5"/>
  <sheetData>
    <row r="1" spans="1:12">
      <c r="A1" s="1" t="s">
        <v>0</v>
      </c>
      <c r="B1" s="2" t="s">
        <v>1</v>
      </c>
      <c r="C1" s="2" t="s">
        <v>3</v>
      </c>
      <c r="D1" s="2" t="s">
        <v>5</v>
      </c>
      <c r="E1" s="2" t="s">
        <v>6</v>
      </c>
      <c r="F1" s="3" t="s">
        <v>7</v>
      </c>
      <c r="G1" s="3" t="s">
        <v>8</v>
      </c>
      <c r="H1" s="2" t="s">
        <v>10</v>
      </c>
      <c r="I1" s="2" t="s">
        <v>11</v>
      </c>
      <c r="J1" s="2" t="s">
        <v>12</v>
      </c>
      <c r="K1" s="2" t="s">
        <v>13</v>
      </c>
      <c r="L1" s="2" t="s">
        <v>14</v>
      </c>
    </row>
    <row r="2" spans="1:12">
      <c r="A2" s="1" t="s">
        <v>15</v>
      </c>
      <c r="B2" s="2" t="s">
        <v>16</v>
      </c>
      <c r="C2" s="4" t="s">
        <v>16</v>
      </c>
      <c r="D2" s="4" t="s">
        <v>16</v>
      </c>
      <c r="E2" s="4" t="s">
        <v>18</v>
      </c>
      <c r="F2" s="3" t="s">
        <v>19</v>
      </c>
      <c r="G2" s="3" t="s">
        <v>19</v>
      </c>
      <c r="H2" s="4" t="s">
        <v>18</v>
      </c>
      <c r="I2" s="5" t="s">
        <v>19</v>
      </c>
      <c r="J2" s="5" t="s">
        <v>19</v>
      </c>
      <c r="K2" s="5" t="s">
        <v>19</v>
      </c>
      <c r="L2" s="5" t="s">
        <v>19</v>
      </c>
    </row>
    <row r="3" spans="1:12">
      <c r="A3" s="5" t="s">
        <v>20</v>
      </c>
      <c r="B3" s="2" t="s">
        <v>21</v>
      </c>
      <c r="C3" s="2" t="s">
        <v>23</v>
      </c>
      <c r="D3" s="2" t="s">
        <v>25</v>
      </c>
      <c r="E3" s="2" t="s">
        <v>26</v>
      </c>
      <c r="F3" s="3" t="s">
        <v>27</v>
      </c>
      <c r="G3" s="3" t="s">
        <v>28</v>
      </c>
      <c r="H3" s="2" t="s">
        <v>30</v>
      </c>
      <c r="I3" s="2" t="s">
        <v>31</v>
      </c>
      <c r="J3" s="2" t="s">
        <v>31</v>
      </c>
      <c r="K3" s="2" t="s">
        <v>31</v>
      </c>
      <c r="L3" s="2" t="s">
        <v>32</v>
      </c>
    </row>
    <row r="4" spans="1:12">
      <c r="A4" s="6">
        <v>1</v>
      </c>
      <c r="B4" s="6">
        <v>1</v>
      </c>
      <c r="C4" s="6">
        <v>20</v>
      </c>
      <c r="D4" s="6">
        <v>17</v>
      </c>
      <c r="E4" s="7">
        <v>100</v>
      </c>
      <c r="F4" s="7"/>
      <c r="G4" s="7"/>
      <c r="H4" s="8">
        <v>1</v>
      </c>
      <c r="I4" s="6">
        <v>0</v>
      </c>
      <c r="J4" s="6">
        <v>0</v>
      </c>
      <c r="K4" s="6">
        <v>0</v>
      </c>
      <c r="L4" s="6">
        <v>0</v>
      </c>
    </row>
    <row r="5" spans="1:12">
      <c r="A5" s="6"/>
      <c r="B5" s="6">
        <v>1</v>
      </c>
      <c r="C5" s="6">
        <v>40</v>
      </c>
      <c r="D5" s="6">
        <v>17</v>
      </c>
      <c r="E5" s="2"/>
      <c r="F5" s="2"/>
      <c r="G5" s="2"/>
      <c r="H5" s="8"/>
      <c r="I5" s="6"/>
      <c r="J5" s="6"/>
      <c r="K5" s="6"/>
      <c r="L5" s="6"/>
    </row>
    <row r="6" spans="1:12">
      <c r="A6" s="6"/>
      <c r="B6" s="6">
        <v>1</v>
      </c>
      <c r="C6" s="6">
        <v>60</v>
      </c>
      <c r="D6" s="6">
        <v>17</v>
      </c>
      <c r="E6" s="2"/>
      <c r="F6" s="2"/>
      <c r="G6" s="2"/>
      <c r="H6" s="8"/>
      <c r="I6" s="6"/>
      <c r="J6" s="6"/>
      <c r="K6" s="6"/>
      <c r="L6" s="6"/>
    </row>
    <row r="7" spans="1:12">
      <c r="A7" s="6"/>
      <c r="B7" s="6">
        <v>1</v>
      </c>
      <c r="C7" s="6">
        <v>75</v>
      </c>
      <c r="D7" s="6">
        <v>17</v>
      </c>
      <c r="E7" s="2"/>
      <c r="F7" s="2"/>
      <c r="G7" s="2"/>
      <c r="H7" s="8"/>
      <c r="I7" s="7"/>
      <c r="J7" s="7"/>
      <c r="K7" s="7"/>
      <c r="L7" s="7"/>
    </row>
    <row r="8" spans="1:12">
      <c r="A8" s="6"/>
      <c r="B8" s="6">
        <v>1</v>
      </c>
      <c r="C8" s="9">
        <v>90</v>
      </c>
      <c r="D8" s="6">
        <v>17</v>
      </c>
      <c r="E8" s="2"/>
      <c r="F8" s="2"/>
      <c r="G8" s="2"/>
      <c r="H8" s="8"/>
      <c r="I8" s="7"/>
      <c r="J8" s="7"/>
      <c r="K8" s="7"/>
      <c r="L8" s="7"/>
    </row>
    <row r="9" spans="1:12">
      <c r="A9" s="6"/>
      <c r="B9" s="6">
        <v>1</v>
      </c>
      <c r="C9" s="9">
        <v>105</v>
      </c>
      <c r="D9" s="6">
        <v>17</v>
      </c>
      <c r="E9" s="2"/>
      <c r="F9" s="2"/>
      <c r="G9" s="2"/>
      <c r="H9" s="8"/>
      <c r="I9" s="2"/>
      <c r="J9" s="2"/>
      <c r="K9" s="2"/>
      <c r="L9" s="2"/>
    </row>
    <row r="10" spans="1:12">
      <c r="A10" s="6"/>
      <c r="B10" s="6">
        <v>1</v>
      </c>
      <c r="C10" s="9">
        <v>120</v>
      </c>
      <c r="D10" s="6">
        <v>17</v>
      </c>
      <c r="E10" s="9"/>
      <c r="F10" s="9"/>
      <c r="G10" s="9"/>
      <c r="H10" s="9"/>
      <c r="I10" s="9"/>
      <c r="J10" s="9"/>
      <c r="K10" s="9"/>
      <c r="L10" s="9"/>
    </row>
    <row r="11" spans="1:12">
      <c r="A11" s="6"/>
      <c r="B11" s="6">
        <v>1</v>
      </c>
      <c r="C11" s="9">
        <v>150</v>
      </c>
      <c r="D11" s="6">
        <v>17</v>
      </c>
      <c r="E11" s="9"/>
      <c r="F11" s="9"/>
      <c r="G11" s="9"/>
      <c r="H11" s="9"/>
      <c r="I11" s="9"/>
      <c r="J11" s="9"/>
      <c r="K11" s="9"/>
      <c r="L11" s="9"/>
    </row>
    <row r="12" spans="1:12">
      <c r="A12" s="6"/>
      <c r="B12" s="6">
        <v>2</v>
      </c>
      <c r="C12" s="9">
        <v>25</v>
      </c>
      <c r="D12" s="6">
        <v>17</v>
      </c>
      <c r="E12" s="9"/>
      <c r="F12" s="9"/>
      <c r="G12" s="9"/>
      <c r="H12" s="9"/>
      <c r="I12" s="9"/>
      <c r="J12" s="9"/>
      <c r="K12" s="9"/>
      <c r="L12" s="9"/>
    </row>
    <row r="13" spans="1:12">
      <c r="A13" s="6"/>
      <c r="B13" s="7">
        <v>2</v>
      </c>
      <c r="C13" s="9">
        <v>45</v>
      </c>
      <c r="D13" s="6">
        <v>17</v>
      </c>
      <c r="E13" s="9"/>
      <c r="F13" s="9"/>
      <c r="G13" s="9"/>
      <c r="H13" s="9"/>
      <c r="I13" s="9"/>
      <c r="J13" s="9"/>
      <c r="K13" s="9"/>
      <c r="L13" s="9"/>
    </row>
    <row r="14" spans="1:12">
      <c r="A14" s="6"/>
      <c r="B14" s="7">
        <v>2</v>
      </c>
      <c r="C14" s="10">
        <v>65</v>
      </c>
      <c r="D14" s="6">
        <v>17</v>
      </c>
      <c r="E14" s="9"/>
      <c r="F14" s="9"/>
      <c r="G14" s="9"/>
      <c r="H14" s="9"/>
      <c r="I14" s="9"/>
      <c r="J14" s="9"/>
      <c r="K14" s="9"/>
      <c r="L14" s="9"/>
    </row>
    <row r="15" spans="1:12">
      <c r="A15" s="6"/>
      <c r="B15" s="7">
        <v>2</v>
      </c>
      <c r="C15" s="10">
        <v>80</v>
      </c>
      <c r="D15" s="6">
        <v>17</v>
      </c>
      <c r="E15" s="9"/>
      <c r="F15" s="9"/>
      <c r="G15" s="9"/>
      <c r="H15" s="9"/>
      <c r="I15" s="9"/>
      <c r="J15" s="9"/>
      <c r="K15" s="9"/>
      <c r="L15" s="9"/>
    </row>
    <row r="16" spans="1:12">
      <c r="A16" s="6"/>
      <c r="B16" s="7">
        <v>2</v>
      </c>
      <c r="C16" s="10">
        <v>95</v>
      </c>
      <c r="D16" s="6">
        <v>17</v>
      </c>
      <c r="E16" s="9"/>
      <c r="F16" s="9"/>
      <c r="G16" s="9"/>
      <c r="H16" s="9"/>
      <c r="I16" s="9"/>
      <c r="J16" s="9"/>
      <c r="K16" s="9"/>
      <c r="L16" s="9"/>
    </row>
    <row r="17" spans="1:12">
      <c r="A17" s="6"/>
      <c r="B17" s="11">
        <v>2</v>
      </c>
      <c r="C17" s="11">
        <v>110</v>
      </c>
      <c r="D17" s="6">
        <v>17</v>
      </c>
      <c r="E17" s="9"/>
      <c r="F17" s="9"/>
      <c r="G17" s="9"/>
      <c r="H17" s="9"/>
      <c r="I17" s="9"/>
      <c r="J17" s="9"/>
      <c r="K17" s="9"/>
      <c r="L17" s="9"/>
    </row>
    <row r="18" spans="1:12">
      <c r="A18" s="6"/>
      <c r="B18" s="11">
        <v>2</v>
      </c>
      <c r="C18" s="11">
        <v>125</v>
      </c>
      <c r="D18" s="6">
        <v>17</v>
      </c>
      <c r="E18" s="9"/>
      <c r="F18" s="9"/>
      <c r="G18" s="9"/>
      <c r="H18" s="9"/>
      <c r="I18" s="9"/>
      <c r="J18" s="9"/>
      <c r="K18" s="9"/>
      <c r="L18" s="9"/>
    </row>
    <row r="19" spans="1:12">
      <c r="A19" s="6"/>
      <c r="B19" s="11">
        <v>2</v>
      </c>
      <c r="C19" s="11">
        <v>155</v>
      </c>
      <c r="D19" s="6">
        <v>17</v>
      </c>
      <c r="E19" s="9"/>
      <c r="F19" s="9"/>
      <c r="G19" s="9"/>
      <c r="H19" s="9"/>
      <c r="I19" s="9"/>
      <c r="J19" s="9"/>
      <c r="K19" s="9"/>
      <c r="L19" s="9"/>
    </row>
    <row r="20" spans="1:12">
      <c r="A20" s="7"/>
      <c r="B20" s="11">
        <v>3</v>
      </c>
      <c r="C20" s="11">
        <v>30</v>
      </c>
      <c r="D20" s="6">
        <v>17</v>
      </c>
      <c r="E20" s="9"/>
      <c r="F20" s="9"/>
      <c r="G20" s="9"/>
      <c r="H20" s="9"/>
      <c r="I20" s="9"/>
      <c r="J20" s="9"/>
      <c r="K20" s="9"/>
      <c r="L20" s="9"/>
    </row>
    <row r="21" spans="1:12">
      <c r="A21" s="6"/>
      <c r="B21" s="11">
        <v>3</v>
      </c>
      <c r="C21" s="11">
        <v>50</v>
      </c>
      <c r="D21" s="6">
        <v>17</v>
      </c>
      <c r="E21" s="10"/>
      <c r="F21" s="10"/>
      <c r="G21" s="10"/>
      <c r="H21" s="10"/>
      <c r="I21" s="10"/>
      <c r="J21" s="10"/>
      <c r="K21" s="10"/>
      <c r="L21" s="10"/>
    </row>
    <row r="22" spans="1:12">
      <c r="A22" s="6"/>
      <c r="B22" s="11">
        <v>3</v>
      </c>
      <c r="C22" s="11">
        <v>70</v>
      </c>
      <c r="D22" s="6">
        <v>17</v>
      </c>
      <c r="E22" s="10"/>
      <c r="F22" s="10"/>
      <c r="G22" s="10"/>
      <c r="H22" s="10"/>
      <c r="I22" s="10"/>
      <c r="J22" s="10"/>
      <c r="K22" s="10"/>
      <c r="L22" s="10"/>
    </row>
    <row r="23" spans="1:12">
      <c r="A23" s="6"/>
      <c r="B23" s="11">
        <v>3</v>
      </c>
      <c r="C23" s="11">
        <v>85</v>
      </c>
      <c r="D23" s="6">
        <v>17</v>
      </c>
      <c r="E23" s="10"/>
      <c r="F23" s="10"/>
      <c r="G23" s="10"/>
      <c r="H23" s="10"/>
      <c r="I23" s="10"/>
      <c r="J23" s="10"/>
      <c r="K23" s="10"/>
      <c r="L23" s="10"/>
    </row>
    <row r="24" spans="1:12">
      <c r="A24" s="11"/>
      <c r="B24" s="11">
        <v>3</v>
      </c>
      <c r="C24" s="11">
        <v>100</v>
      </c>
      <c r="D24" s="6">
        <v>17</v>
      </c>
      <c r="E24" s="11"/>
      <c r="F24" s="11"/>
      <c r="G24" s="11"/>
      <c r="H24" s="11"/>
      <c r="I24" s="11"/>
      <c r="J24" s="11"/>
      <c r="K24" s="11"/>
      <c r="L24" s="11"/>
    </row>
    <row r="25" spans="1:12">
      <c r="A25" s="11"/>
      <c r="B25" s="11">
        <v>3</v>
      </c>
      <c r="C25" s="11">
        <v>115</v>
      </c>
      <c r="D25" s="6">
        <v>17</v>
      </c>
      <c r="E25" s="11"/>
      <c r="F25" s="11"/>
      <c r="G25" s="11"/>
      <c r="H25" s="11"/>
      <c r="I25" s="11"/>
      <c r="J25" s="11"/>
      <c r="K25" s="11"/>
      <c r="L25" s="11"/>
    </row>
    <row r="26" spans="1:12">
      <c r="A26" s="11"/>
      <c r="B26" s="11">
        <v>3</v>
      </c>
      <c r="C26" s="11">
        <v>130</v>
      </c>
      <c r="D26" s="6">
        <v>17</v>
      </c>
      <c r="E26" s="11"/>
      <c r="F26" s="11"/>
      <c r="G26" s="11"/>
      <c r="H26" s="11"/>
      <c r="I26" s="11"/>
      <c r="J26" s="11"/>
      <c r="K26" s="11"/>
      <c r="L26" s="11"/>
    </row>
    <row r="27" spans="1:12">
      <c r="A27" s="11"/>
      <c r="B27" s="11">
        <v>3</v>
      </c>
      <c r="C27" s="11">
        <v>160</v>
      </c>
      <c r="D27" s="6">
        <v>17</v>
      </c>
      <c r="E27" s="11"/>
      <c r="F27" s="11"/>
      <c r="G27" s="11"/>
      <c r="H27" s="11"/>
      <c r="I27" s="11"/>
      <c r="J27" s="11"/>
      <c r="K27" s="11"/>
      <c r="L27" s="11"/>
    </row>
    <row r="28" spans="1:12">
      <c r="A28" s="11"/>
      <c r="B28" s="11">
        <v>4</v>
      </c>
      <c r="C28" s="11">
        <v>15</v>
      </c>
      <c r="D28" s="6">
        <v>17</v>
      </c>
      <c r="E28" s="11"/>
      <c r="F28" s="11"/>
      <c r="G28" s="11"/>
      <c r="H28" s="11"/>
      <c r="I28" s="11"/>
      <c r="J28" s="11"/>
      <c r="K28" s="11"/>
      <c r="L28" s="11"/>
    </row>
    <row r="29" spans="1:12">
      <c r="A29" s="11"/>
      <c r="B29" s="11">
        <v>4</v>
      </c>
      <c r="C29" s="11">
        <v>35</v>
      </c>
      <c r="D29" s="6">
        <v>17</v>
      </c>
      <c r="E29" s="11"/>
      <c r="F29" s="11"/>
      <c r="G29" s="11"/>
      <c r="H29" s="11"/>
      <c r="I29" s="11"/>
      <c r="J29" s="11"/>
      <c r="K29" s="11"/>
      <c r="L29" s="11"/>
    </row>
    <row r="30" spans="1:12">
      <c r="A30" s="11"/>
      <c r="B30" s="11">
        <v>4</v>
      </c>
      <c r="C30" s="11">
        <v>55</v>
      </c>
      <c r="D30" s="6">
        <v>17</v>
      </c>
      <c r="E30" s="11"/>
      <c r="F30" s="11"/>
      <c r="G30" s="11"/>
      <c r="H30" s="11"/>
      <c r="I30" s="11"/>
      <c r="J30" s="11"/>
      <c r="K30" s="11"/>
      <c r="L30" s="11"/>
    </row>
    <row r="31" spans="1:12">
      <c r="A31" s="11"/>
      <c r="B31" s="11">
        <v>4</v>
      </c>
      <c r="C31" s="11">
        <v>75</v>
      </c>
      <c r="D31" s="6">
        <v>17</v>
      </c>
      <c r="E31" s="11"/>
      <c r="F31" s="11"/>
      <c r="G31" s="11"/>
      <c r="H31" s="11"/>
      <c r="I31" s="11"/>
      <c r="J31" s="11"/>
      <c r="K31" s="11"/>
      <c r="L31" s="11"/>
    </row>
    <row r="32" spans="1:12">
      <c r="A32" s="11"/>
      <c r="B32" s="11">
        <v>4</v>
      </c>
      <c r="C32" s="11">
        <v>100</v>
      </c>
      <c r="D32" s="6">
        <v>17</v>
      </c>
      <c r="E32" s="11"/>
      <c r="F32" s="11"/>
      <c r="G32" s="11"/>
      <c r="H32" s="11"/>
      <c r="I32" s="11"/>
      <c r="J32" s="11"/>
      <c r="K32" s="11"/>
      <c r="L32" s="11"/>
    </row>
    <row r="33" spans="1:12">
      <c r="A33" s="11"/>
      <c r="B33" s="11">
        <v>4</v>
      </c>
      <c r="C33" s="11">
        <v>115</v>
      </c>
      <c r="D33" s="6">
        <v>17</v>
      </c>
      <c r="E33" s="11"/>
      <c r="F33" s="11"/>
      <c r="G33" s="11"/>
      <c r="H33" s="11"/>
      <c r="I33" s="11"/>
      <c r="J33" s="11"/>
      <c r="K33" s="11"/>
      <c r="L33" s="11"/>
    </row>
    <row r="34" spans="1:12">
      <c r="A34" s="11"/>
      <c r="B34" s="11">
        <v>4</v>
      </c>
      <c r="C34" s="11">
        <v>130</v>
      </c>
      <c r="D34" s="6">
        <v>17</v>
      </c>
      <c r="E34" s="11"/>
      <c r="F34" s="11"/>
      <c r="G34" s="11"/>
      <c r="H34" s="11"/>
      <c r="I34" s="11"/>
      <c r="J34" s="11"/>
      <c r="K34" s="11"/>
      <c r="L34" s="11"/>
    </row>
    <row r="35" spans="1:12">
      <c r="A35" s="11"/>
      <c r="B35" s="11">
        <v>4</v>
      </c>
      <c r="C35" s="11">
        <v>160</v>
      </c>
      <c r="D35" s="6">
        <v>17</v>
      </c>
      <c r="E35" s="11"/>
      <c r="F35" s="11"/>
      <c r="G35" s="11"/>
      <c r="H35" s="11"/>
      <c r="I35" s="11"/>
      <c r="J35" s="11"/>
      <c r="K35" s="11"/>
      <c r="L35" s="11"/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event_copy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2021-01-07T01:47:52Z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