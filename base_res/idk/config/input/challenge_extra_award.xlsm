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D:\KnightRes\config\input\"/>
    </mc:Choice>
  </mc:AlternateContent>
  <xr:revisionPtr revIDLastSave="0" documentId="13_ncr:1_{07C2C583-A004-4F0E-829E-F42491554831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challenge_extra_award" sheetId="1" r:id="rId1"/>
    <sheet name="Sheet1" sheetId="2" r:id="rId2"/>
  </sheets>
  <definedNames>
    <definedName name="_xlnm._FilterDatabase" localSheetId="0" hidden="1">challenge_extra_award!$A$3:$IN$163</definedName>
  </definedNames>
  <calcPr calcId="181029"/>
</workbook>
</file>

<file path=xl/calcChain.xml><?xml version="1.0" encoding="utf-8"?>
<calcChain xmlns="http://schemas.openxmlformats.org/spreadsheetml/2006/main">
  <c r="R44" i="1" l="1"/>
  <c r="R45" i="1"/>
  <c r="R46" i="1"/>
  <c r="R47" i="1"/>
  <c r="R57" i="1" s="1"/>
  <c r="R48" i="1"/>
  <c r="R49" i="1"/>
  <c r="R50" i="1"/>
  <c r="R60" i="1" s="1"/>
  <c r="R51" i="1"/>
  <c r="R61" i="1" s="1"/>
  <c r="R52" i="1"/>
  <c r="R62" i="1" s="1"/>
  <c r="R53" i="1"/>
  <c r="R54" i="1"/>
  <c r="R55" i="1"/>
  <c r="R56" i="1"/>
  <c r="R58" i="1"/>
  <c r="R59" i="1"/>
  <c r="R63" i="1"/>
  <c r="C124" i="1"/>
  <c r="D124" i="1"/>
  <c r="E124" i="1"/>
  <c r="F124" i="1"/>
  <c r="C125" i="1"/>
  <c r="D125" i="1"/>
  <c r="E125" i="1"/>
  <c r="F125" i="1"/>
  <c r="C126" i="1"/>
  <c r="D126" i="1"/>
  <c r="E126" i="1"/>
  <c r="F126" i="1"/>
  <c r="C127" i="1"/>
  <c r="D127" i="1"/>
  <c r="E127" i="1"/>
  <c r="F127" i="1"/>
  <c r="C128" i="1"/>
  <c r="D128" i="1"/>
  <c r="E128" i="1"/>
  <c r="F128" i="1"/>
  <c r="C129" i="1"/>
  <c r="D129" i="1"/>
  <c r="E129" i="1"/>
  <c r="F129" i="1"/>
  <c r="C130" i="1"/>
  <c r="D130" i="1"/>
  <c r="E130" i="1"/>
  <c r="F130" i="1"/>
  <c r="C131" i="1"/>
  <c r="D131" i="1"/>
  <c r="E131" i="1"/>
  <c r="F131" i="1"/>
  <c r="C132" i="1"/>
  <c r="D132" i="1"/>
  <c r="E132" i="1"/>
  <c r="F132" i="1"/>
  <c r="C133" i="1"/>
  <c r="D133" i="1"/>
  <c r="E133" i="1"/>
  <c r="F133" i="1"/>
  <c r="C134" i="1"/>
  <c r="D134" i="1"/>
  <c r="E134" i="1"/>
  <c r="F134" i="1"/>
  <c r="C135" i="1"/>
  <c r="D135" i="1"/>
  <c r="E135" i="1"/>
  <c r="F135" i="1"/>
  <c r="C136" i="1"/>
  <c r="D136" i="1"/>
  <c r="E136" i="1"/>
  <c r="F136" i="1"/>
  <c r="C137" i="1"/>
  <c r="D137" i="1"/>
  <c r="E137" i="1"/>
  <c r="F137" i="1"/>
  <c r="C138" i="1"/>
  <c r="D138" i="1"/>
  <c r="E138" i="1"/>
  <c r="F138" i="1"/>
  <c r="C139" i="1"/>
  <c r="D139" i="1"/>
  <c r="E139" i="1"/>
  <c r="F139" i="1"/>
  <c r="C140" i="1"/>
  <c r="D140" i="1"/>
  <c r="E140" i="1"/>
  <c r="F140" i="1"/>
  <c r="C141" i="1"/>
  <c r="D141" i="1"/>
  <c r="E141" i="1"/>
  <c r="F141" i="1"/>
  <c r="C142" i="1"/>
  <c r="D142" i="1"/>
  <c r="E142" i="1"/>
  <c r="F142" i="1"/>
  <c r="C143" i="1"/>
  <c r="D143" i="1"/>
  <c r="E143" i="1"/>
  <c r="F143" i="1"/>
  <c r="C144" i="1"/>
  <c r="D144" i="1"/>
  <c r="E144" i="1"/>
  <c r="F144" i="1"/>
  <c r="C145" i="1"/>
  <c r="D145" i="1"/>
  <c r="E145" i="1"/>
  <c r="F145" i="1"/>
  <c r="C146" i="1"/>
  <c r="D146" i="1"/>
  <c r="E146" i="1"/>
  <c r="F146" i="1"/>
  <c r="C147" i="1"/>
  <c r="D147" i="1"/>
  <c r="E147" i="1"/>
  <c r="F147" i="1"/>
  <c r="C148" i="1"/>
  <c r="D148" i="1"/>
  <c r="E148" i="1"/>
  <c r="F148" i="1"/>
  <c r="C149" i="1"/>
  <c r="D149" i="1"/>
  <c r="E149" i="1"/>
  <c r="F149" i="1"/>
  <c r="C150" i="1"/>
  <c r="D150" i="1"/>
  <c r="E150" i="1"/>
  <c r="F150" i="1"/>
  <c r="C151" i="1"/>
  <c r="D151" i="1"/>
  <c r="E151" i="1"/>
  <c r="F151" i="1"/>
  <c r="C152" i="1"/>
  <c r="D152" i="1"/>
  <c r="E152" i="1"/>
  <c r="F152" i="1"/>
  <c r="C153" i="1"/>
  <c r="D153" i="1"/>
  <c r="E153" i="1"/>
  <c r="F153" i="1"/>
  <c r="C154" i="1"/>
  <c r="D154" i="1"/>
  <c r="E154" i="1"/>
  <c r="F154" i="1"/>
  <c r="C155" i="1"/>
  <c r="D155" i="1"/>
  <c r="E155" i="1"/>
  <c r="F155" i="1"/>
  <c r="C156" i="1"/>
  <c r="D156" i="1"/>
  <c r="E156" i="1"/>
  <c r="F156" i="1"/>
  <c r="C157" i="1"/>
  <c r="D157" i="1"/>
  <c r="E157" i="1"/>
  <c r="F157" i="1"/>
  <c r="C158" i="1"/>
  <c r="D158" i="1"/>
  <c r="E158" i="1"/>
  <c r="F158" i="1"/>
  <c r="C159" i="1"/>
  <c r="D159" i="1"/>
  <c r="E159" i="1"/>
  <c r="F159" i="1"/>
  <c r="C160" i="1"/>
  <c r="D160" i="1"/>
  <c r="E160" i="1"/>
  <c r="F160" i="1"/>
  <c r="C161" i="1"/>
  <c r="D161" i="1"/>
  <c r="E161" i="1"/>
  <c r="F161" i="1"/>
  <c r="C162" i="1"/>
  <c r="D162" i="1"/>
  <c r="E162" i="1"/>
  <c r="F162" i="1"/>
  <c r="C163" i="1"/>
  <c r="D163" i="1"/>
  <c r="E163" i="1"/>
  <c r="F163" i="1"/>
  <c r="R15" i="1" l="1"/>
  <c r="R16" i="1"/>
  <c r="R17" i="1"/>
  <c r="R27" i="1" s="1"/>
  <c r="R37" i="1" s="1"/>
  <c r="R18" i="1"/>
  <c r="R28" i="1" s="1"/>
  <c r="R38" i="1" s="1"/>
  <c r="R19" i="1"/>
  <c r="R29" i="1" s="1"/>
  <c r="R39" i="1" s="1"/>
  <c r="R20" i="1"/>
  <c r="R30" i="1" s="1"/>
  <c r="R40" i="1" s="1"/>
  <c r="R21" i="1"/>
  <c r="R31" i="1" s="1"/>
  <c r="R41" i="1" s="1"/>
  <c r="R22" i="1"/>
  <c r="R32" i="1" s="1"/>
  <c r="R42" i="1" s="1"/>
  <c r="R23" i="1"/>
  <c r="R33" i="1" s="1"/>
  <c r="R43" i="1" s="1"/>
  <c r="R25" i="1"/>
  <c r="R35" i="1" s="1"/>
  <c r="R26" i="1"/>
  <c r="R36" i="1" s="1"/>
  <c r="R14" i="1"/>
  <c r="R24" i="1" s="1"/>
  <c r="R34" i="1" s="1"/>
  <c r="C7" i="1"/>
  <c r="D7" i="1"/>
  <c r="E7" i="1"/>
  <c r="F7" i="1"/>
  <c r="G7" i="1"/>
  <c r="G127" i="1" l="1"/>
  <c r="G132" i="1"/>
  <c r="G131" i="1"/>
  <c r="G125" i="1"/>
  <c r="G130" i="1"/>
  <c r="G124" i="1"/>
  <c r="G128" i="1"/>
  <c r="G126" i="1"/>
  <c r="G133" i="1"/>
  <c r="G129" i="1"/>
  <c r="H2" i="2"/>
  <c r="I2" i="2"/>
  <c r="J2" i="2"/>
  <c r="K2" i="2"/>
  <c r="L2" i="2"/>
  <c r="M2" i="2"/>
  <c r="N2" i="2"/>
  <c r="T17" i="2"/>
  <c r="T18" i="2"/>
  <c r="T19" i="2"/>
  <c r="T20" i="2"/>
  <c r="G134" i="1" l="1"/>
  <c r="G142" i="1"/>
  <c r="G139" i="1"/>
  <c r="G136" i="1"/>
  <c r="G143" i="1"/>
  <c r="G135" i="1"/>
  <c r="G138" i="1"/>
  <c r="G140" i="1"/>
  <c r="G141" i="1"/>
  <c r="G137" i="1"/>
  <c r="G47" i="1"/>
  <c r="G44" i="1"/>
  <c r="G48" i="1"/>
  <c r="G56" i="1"/>
  <c r="G45" i="1"/>
  <c r="C5" i="1"/>
  <c r="D5" i="1"/>
  <c r="E5" i="1"/>
  <c r="F5" i="1"/>
  <c r="G5" i="1"/>
  <c r="C6" i="1"/>
  <c r="D6" i="1"/>
  <c r="E6" i="1"/>
  <c r="F6" i="1"/>
  <c r="G6" i="1"/>
  <c r="C8" i="1"/>
  <c r="D8" i="1"/>
  <c r="E8" i="1"/>
  <c r="F8" i="1"/>
  <c r="G8" i="1"/>
  <c r="C9" i="1"/>
  <c r="D9" i="1"/>
  <c r="E9" i="1"/>
  <c r="F9" i="1"/>
  <c r="G9" i="1"/>
  <c r="C10" i="1"/>
  <c r="D10" i="1"/>
  <c r="E10" i="1"/>
  <c r="F10" i="1"/>
  <c r="G10" i="1"/>
  <c r="C11" i="1"/>
  <c r="D11" i="1"/>
  <c r="E11" i="1"/>
  <c r="F11" i="1"/>
  <c r="G11" i="1"/>
  <c r="C12" i="1"/>
  <c r="D12" i="1"/>
  <c r="E12" i="1"/>
  <c r="F12" i="1"/>
  <c r="G12" i="1"/>
  <c r="C13" i="1"/>
  <c r="D13" i="1"/>
  <c r="E13" i="1"/>
  <c r="F13" i="1"/>
  <c r="G13" i="1"/>
  <c r="C14" i="1"/>
  <c r="D14" i="1"/>
  <c r="E14" i="1"/>
  <c r="F14" i="1"/>
  <c r="G14" i="1"/>
  <c r="C15" i="1"/>
  <c r="D15" i="1"/>
  <c r="E15" i="1"/>
  <c r="F15" i="1"/>
  <c r="G15" i="1"/>
  <c r="C16" i="1"/>
  <c r="D16" i="1"/>
  <c r="E16" i="1"/>
  <c r="F16" i="1"/>
  <c r="G16" i="1"/>
  <c r="C17" i="1"/>
  <c r="D17" i="1"/>
  <c r="E17" i="1"/>
  <c r="F17" i="1"/>
  <c r="G17" i="1"/>
  <c r="C18" i="1"/>
  <c r="D18" i="1"/>
  <c r="E18" i="1"/>
  <c r="F18" i="1"/>
  <c r="G18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C25" i="1"/>
  <c r="D25" i="1"/>
  <c r="E25" i="1"/>
  <c r="F25" i="1"/>
  <c r="G25" i="1"/>
  <c r="C26" i="1"/>
  <c r="D26" i="1"/>
  <c r="E26" i="1"/>
  <c r="F26" i="1"/>
  <c r="G26" i="1"/>
  <c r="C27" i="1"/>
  <c r="D27" i="1"/>
  <c r="E27" i="1"/>
  <c r="F27" i="1"/>
  <c r="G27" i="1"/>
  <c r="C28" i="1"/>
  <c r="D28" i="1"/>
  <c r="E28" i="1"/>
  <c r="F28" i="1"/>
  <c r="G28" i="1"/>
  <c r="C29" i="1"/>
  <c r="D29" i="1"/>
  <c r="E29" i="1"/>
  <c r="F29" i="1"/>
  <c r="G29" i="1"/>
  <c r="C30" i="1"/>
  <c r="D30" i="1"/>
  <c r="E30" i="1"/>
  <c r="F30" i="1"/>
  <c r="G30" i="1"/>
  <c r="C31" i="1"/>
  <c r="D31" i="1"/>
  <c r="E31" i="1"/>
  <c r="F31" i="1"/>
  <c r="G31" i="1"/>
  <c r="C32" i="1"/>
  <c r="D32" i="1"/>
  <c r="E32" i="1"/>
  <c r="F32" i="1"/>
  <c r="G32" i="1"/>
  <c r="C33" i="1"/>
  <c r="D33" i="1"/>
  <c r="E33" i="1"/>
  <c r="F33" i="1"/>
  <c r="G33" i="1"/>
  <c r="C34" i="1"/>
  <c r="D34" i="1"/>
  <c r="E34" i="1"/>
  <c r="F34" i="1"/>
  <c r="G34" i="1"/>
  <c r="C35" i="1"/>
  <c r="D35" i="1"/>
  <c r="E35" i="1"/>
  <c r="F35" i="1"/>
  <c r="G35" i="1"/>
  <c r="C36" i="1"/>
  <c r="D36" i="1"/>
  <c r="E36" i="1"/>
  <c r="F36" i="1"/>
  <c r="G36" i="1"/>
  <c r="C37" i="1"/>
  <c r="D37" i="1"/>
  <c r="E37" i="1"/>
  <c r="F37" i="1"/>
  <c r="C38" i="1"/>
  <c r="D38" i="1"/>
  <c r="E38" i="1"/>
  <c r="F38" i="1"/>
  <c r="G38" i="1"/>
  <c r="C39" i="1"/>
  <c r="D39" i="1"/>
  <c r="E39" i="1"/>
  <c r="F39" i="1"/>
  <c r="G39" i="1"/>
  <c r="C40" i="1"/>
  <c r="D40" i="1"/>
  <c r="E40" i="1"/>
  <c r="F40" i="1"/>
  <c r="G40" i="1"/>
  <c r="C41" i="1"/>
  <c r="D41" i="1"/>
  <c r="E41" i="1"/>
  <c r="F41" i="1"/>
  <c r="G41" i="1"/>
  <c r="C42" i="1"/>
  <c r="D42" i="1"/>
  <c r="E42" i="1"/>
  <c r="F42" i="1"/>
  <c r="G42" i="1"/>
  <c r="C43" i="1"/>
  <c r="D43" i="1"/>
  <c r="E43" i="1"/>
  <c r="F43" i="1"/>
  <c r="G43" i="1"/>
  <c r="C44" i="1"/>
  <c r="D44" i="1"/>
  <c r="E44" i="1"/>
  <c r="F44" i="1"/>
  <c r="C45" i="1"/>
  <c r="D45" i="1"/>
  <c r="E45" i="1"/>
  <c r="F45" i="1"/>
  <c r="C46" i="1"/>
  <c r="D46" i="1"/>
  <c r="E46" i="1"/>
  <c r="F46" i="1"/>
  <c r="G46" i="1"/>
  <c r="C47" i="1"/>
  <c r="D47" i="1"/>
  <c r="E47" i="1"/>
  <c r="F47" i="1"/>
  <c r="C48" i="1"/>
  <c r="D48" i="1"/>
  <c r="E48" i="1"/>
  <c r="F48" i="1"/>
  <c r="C49" i="1"/>
  <c r="D49" i="1"/>
  <c r="E49" i="1"/>
  <c r="F49" i="1"/>
  <c r="C50" i="1"/>
  <c r="D50" i="1"/>
  <c r="E50" i="1"/>
  <c r="F50" i="1"/>
  <c r="G50" i="1"/>
  <c r="C51" i="1"/>
  <c r="D51" i="1"/>
  <c r="E51" i="1"/>
  <c r="F51" i="1"/>
  <c r="G51" i="1"/>
  <c r="C52" i="1"/>
  <c r="D52" i="1"/>
  <c r="E52" i="1"/>
  <c r="F52" i="1"/>
  <c r="G52" i="1"/>
  <c r="C53" i="1"/>
  <c r="D53" i="1"/>
  <c r="E53" i="1"/>
  <c r="F53" i="1"/>
  <c r="C54" i="1"/>
  <c r="D54" i="1"/>
  <c r="E54" i="1"/>
  <c r="F54" i="1"/>
  <c r="C55" i="1"/>
  <c r="D55" i="1"/>
  <c r="E55" i="1"/>
  <c r="F55" i="1"/>
  <c r="C56" i="1"/>
  <c r="D56" i="1"/>
  <c r="E56" i="1"/>
  <c r="F56" i="1"/>
  <c r="C57" i="1"/>
  <c r="D57" i="1"/>
  <c r="E57" i="1"/>
  <c r="F57" i="1"/>
  <c r="C58" i="1"/>
  <c r="D58" i="1"/>
  <c r="E58" i="1"/>
  <c r="F58" i="1"/>
  <c r="C59" i="1"/>
  <c r="D59" i="1"/>
  <c r="E59" i="1"/>
  <c r="F59" i="1"/>
  <c r="C60" i="1"/>
  <c r="D60" i="1"/>
  <c r="E60" i="1"/>
  <c r="F60" i="1"/>
  <c r="G60" i="1"/>
  <c r="C61" i="1"/>
  <c r="D61" i="1"/>
  <c r="E61" i="1"/>
  <c r="F61" i="1"/>
  <c r="C62" i="1"/>
  <c r="D62" i="1"/>
  <c r="E62" i="1"/>
  <c r="F62" i="1"/>
  <c r="C63" i="1"/>
  <c r="D63" i="1"/>
  <c r="E63" i="1"/>
  <c r="F63" i="1"/>
  <c r="C64" i="1"/>
  <c r="D64" i="1"/>
  <c r="E64" i="1"/>
  <c r="F64" i="1"/>
  <c r="C65" i="1"/>
  <c r="D65" i="1"/>
  <c r="E65" i="1"/>
  <c r="F65" i="1"/>
  <c r="C66" i="1"/>
  <c r="D66" i="1"/>
  <c r="E66" i="1"/>
  <c r="F66" i="1"/>
  <c r="C67" i="1"/>
  <c r="D67" i="1"/>
  <c r="E67" i="1"/>
  <c r="F67" i="1"/>
  <c r="C68" i="1"/>
  <c r="D68" i="1"/>
  <c r="E68" i="1"/>
  <c r="F68" i="1"/>
  <c r="C69" i="1"/>
  <c r="D69" i="1"/>
  <c r="E69" i="1"/>
  <c r="F69" i="1"/>
  <c r="C70" i="1"/>
  <c r="D70" i="1"/>
  <c r="E70" i="1"/>
  <c r="F70" i="1"/>
  <c r="C71" i="1"/>
  <c r="D71" i="1"/>
  <c r="E71" i="1"/>
  <c r="F71" i="1"/>
  <c r="C72" i="1"/>
  <c r="D72" i="1"/>
  <c r="E72" i="1"/>
  <c r="F72" i="1"/>
  <c r="C73" i="1"/>
  <c r="D73" i="1"/>
  <c r="E73" i="1"/>
  <c r="F73" i="1"/>
  <c r="C74" i="1"/>
  <c r="D74" i="1"/>
  <c r="E74" i="1"/>
  <c r="F74" i="1"/>
  <c r="C75" i="1"/>
  <c r="D75" i="1"/>
  <c r="E75" i="1"/>
  <c r="F75" i="1"/>
  <c r="C76" i="1"/>
  <c r="D76" i="1"/>
  <c r="E76" i="1"/>
  <c r="F76" i="1"/>
  <c r="C77" i="1"/>
  <c r="D77" i="1"/>
  <c r="E77" i="1"/>
  <c r="F77" i="1"/>
  <c r="C78" i="1"/>
  <c r="D78" i="1"/>
  <c r="E78" i="1"/>
  <c r="F78" i="1"/>
  <c r="C79" i="1"/>
  <c r="D79" i="1"/>
  <c r="E79" i="1"/>
  <c r="F79" i="1"/>
  <c r="C80" i="1"/>
  <c r="D80" i="1"/>
  <c r="E80" i="1"/>
  <c r="F80" i="1"/>
  <c r="C81" i="1"/>
  <c r="D81" i="1"/>
  <c r="E81" i="1"/>
  <c r="F81" i="1"/>
  <c r="C82" i="1"/>
  <c r="D82" i="1"/>
  <c r="E82" i="1"/>
  <c r="F82" i="1"/>
  <c r="C83" i="1"/>
  <c r="D83" i="1"/>
  <c r="E83" i="1"/>
  <c r="F83" i="1"/>
  <c r="C84" i="1"/>
  <c r="D84" i="1"/>
  <c r="E84" i="1"/>
  <c r="F84" i="1"/>
  <c r="C85" i="1"/>
  <c r="D85" i="1"/>
  <c r="E85" i="1"/>
  <c r="F85" i="1"/>
  <c r="C86" i="1"/>
  <c r="D86" i="1"/>
  <c r="E86" i="1"/>
  <c r="F86" i="1"/>
  <c r="C87" i="1"/>
  <c r="D87" i="1"/>
  <c r="E87" i="1"/>
  <c r="F87" i="1"/>
  <c r="C88" i="1"/>
  <c r="D88" i="1"/>
  <c r="E88" i="1"/>
  <c r="F88" i="1"/>
  <c r="C89" i="1"/>
  <c r="D89" i="1"/>
  <c r="E89" i="1"/>
  <c r="F89" i="1"/>
  <c r="C90" i="1"/>
  <c r="D90" i="1"/>
  <c r="E90" i="1"/>
  <c r="F90" i="1"/>
  <c r="C91" i="1"/>
  <c r="D91" i="1"/>
  <c r="E91" i="1"/>
  <c r="F91" i="1"/>
  <c r="C92" i="1"/>
  <c r="D92" i="1"/>
  <c r="E92" i="1"/>
  <c r="F92" i="1"/>
  <c r="C93" i="1"/>
  <c r="D93" i="1"/>
  <c r="E93" i="1"/>
  <c r="F93" i="1"/>
  <c r="C94" i="1"/>
  <c r="D94" i="1"/>
  <c r="E94" i="1"/>
  <c r="F94" i="1"/>
  <c r="C95" i="1"/>
  <c r="D95" i="1"/>
  <c r="E95" i="1"/>
  <c r="F95" i="1"/>
  <c r="C96" i="1"/>
  <c r="D96" i="1"/>
  <c r="E96" i="1"/>
  <c r="F96" i="1"/>
  <c r="C97" i="1"/>
  <c r="D97" i="1"/>
  <c r="E97" i="1"/>
  <c r="F97" i="1"/>
  <c r="C98" i="1"/>
  <c r="D98" i="1"/>
  <c r="E98" i="1"/>
  <c r="F98" i="1"/>
  <c r="C99" i="1"/>
  <c r="D99" i="1"/>
  <c r="E99" i="1"/>
  <c r="F99" i="1"/>
  <c r="C100" i="1"/>
  <c r="D100" i="1"/>
  <c r="E100" i="1"/>
  <c r="F100" i="1"/>
  <c r="C101" i="1"/>
  <c r="D101" i="1"/>
  <c r="E101" i="1"/>
  <c r="F101" i="1"/>
  <c r="C102" i="1"/>
  <c r="D102" i="1"/>
  <c r="E102" i="1"/>
  <c r="F102" i="1"/>
  <c r="C103" i="1"/>
  <c r="D103" i="1"/>
  <c r="E103" i="1"/>
  <c r="F103" i="1"/>
  <c r="C104" i="1"/>
  <c r="D104" i="1"/>
  <c r="E104" i="1"/>
  <c r="F104" i="1"/>
  <c r="C105" i="1"/>
  <c r="D105" i="1"/>
  <c r="E105" i="1"/>
  <c r="F105" i="1"/>
  <c r="C106" i="1"/>
  <c r="D106" i="1"/>
  <c r="E106" i="1"/>
  <c r="F106" i="1"/>
  <c r="C107" i="1"/>
  <c r="D107" i="1"/>
  <c r="E107" i="1"/>
  <c r="F107" i="1"/>
  <c r="C108" i="1"/>
  <c r="D108" i="1"/>
  <c r="E108" i="1"/>
  <c r="F108" i="1"/>
  <c r="C109" i="1"/>
  <c r="D109" i="1"/>
  <c r="E109" i="1"/>
  <c r="F109" i="1"/>
  <c r="C110" i="1"/>
  <c r="D110" i="1"/>
  <c r="E110" i="1"/>
  <c r="F110" i="1"/>
  <c r="C111" i="1"/>
  <c r="D111" i="1"/>
  <c r="E111" i="1"/>
  <c r="F111" i="1"/>
  <c r="C112" i="1"/>
  <c r="D112" i="1"/>
  <c r="E112" i="1"/>
  <c r="F112" i="1"/>
  <c r="C113" i="1"/>
  <c r="D113" i="1"/>
  <c r="E113" i="1"/>
  <c r="F113" i="1"/>
  <c r="C114" i="1"/>
  <c r="D114" i="1"/>
  <c r="E114" i="1"/>
  <c r="F114" i="1"/>
  <c r="C115" i="1"/>
  <c r="D115" i="1"/>
  <c r="E115" i="1"/>
  <c r="F115" i="1"/>
  <c r="C116" i="1"/>
  <c r="D116" i="1"/>
  <c r="E116" i="1"/>
  <c r="F116" i="1"/>
  <c r="C117" i="1"/>
  <c r="D117" i="1"/>
  <c r="E117" i="1"/>
  <c r="F117" i="1"/>
  <c r="C118" i="1"/>
  <c r="D118" i="1"/>
  <c r="E118" i="1"/>
  <c r="F118" i="1"/>
  <c r="C119" i="1"/>
  <c r="D119" i="1"/>
  <c r="E119" i="1"/>
  <c r="F119" i="1"/>
  <c r="C120" i="1"/>
  <c r="D120" i="1"/>
  <c r="E120" i="1"/>
  <c r="F120" i="1"/>
  <c r="C121" i="1"/>
  <c r="D121" i="1"/>
  <c r="E121" i="1"/>
  <c r="F121" i="1"/>
  <c r="C122" i="1"/>
  <c r="D122" i="1"/>
  <c r="E122" i="1"/>
  <c r="F122" i="1"/>
  <c r="C123" i="1"/>
  <c r="D123" i="1"/>
  <c r="E123" i="1"/>
  <c r="F123" i="1"/>
  <c r="G160" i="1" l="1"/>
  <c r="G150" i="1"/>
  <c r="G156" i="1"/>
  <c r="G146" i="1"/>
  <c r="G157" i="1"/>
  <c r="G147" i="1"/>
  <c r="G155" i="1"/>
  <c r="G145" i="1"/>
  <c r="G162" i="1"/>
  <c r="G152" i="1"/>
  <c r="G163" i="1"/>
  <c r="G153" i="1"/>
  <c r="G159" i="1"/>
  <c r="G149" i="1"/>
  <c r="G161" i="1"/>
  <c r="G151" i="1"/>
  <c r="G158" i="1"/>
  <c r="G148" i="1"/>
  <c r="G154" i="1"/>
  <c r="G144" i="1"/>
  <c r="G37" i="1"/>
  <c r="G55" i="1"/>
  <c r="G53" i="1"/>
  <c r="G61" i="1"/>
  <c r="G49" i="1"/>
  <c r="G57" i="1"/>
  <c r="C4" i="1"/>
  <c r="D4" i="1"/>
  <c r="E4" i="1"/>
  <c r="F4" i="1"/>
  <c r="G4" i="1"/>
  <c r="G54" i="1" l="1"/>
  <c r="G65" i="1"/>
  <c r="G63" i="1"/>
  <c r="G62" i="1"/>
  <c r="G71" i="1"/>
  <c r="G70" i="1"/>
  <c r="G59" i="1"/>
  <c r="G58" i="1"/>
  <c r="G67" i="1"/>
  <c r="G66" i="1"/>
  <c r="G64" i="1" l="1"/>
  <c r="G73" i="1"/>
  <c r="G72" i="1"/>
  <c r="G81" i="1"/>
  <c r="G80" i="1"/>
  <c r="G69" i="1"/>
  <c r="G68" i="1"/>
  <c r="G77" i="1"/>
  <c r="G76" i="1"/>
  <c r="G75" i="1"/>
  <c r="G74" i="1"/>
  <c r="G83" i="1" l="1"/>
  <c r="G82" i="1"/>
  <c r="G91" i="1"/>
  <c r="G90" i="1"/>
  <c r="G79" i="1"/>
  <c r="G78" i="1"/>
  <c r="G87" i="1"/>
  <c r="G86" i="1"/>
  <c r="G85" i="1"/>
  <c r="G84" i="1"/>
  <c r="G93" i="1" l="1"/>
  <c r="G92" i="1"/>
  <c r="G101" i="1"/>
  <c r="G100" i="1"/>
  <c r="G89" i="1"/>
  <c r="G88" i="1"/>
  <c r="G97" i="1"/>
  <c r="G96" i="1"/>
  <c r="G95" i="1"/>
  <c r="G94" i="1"/>
  <c r="G103" i="1" l="1"/>
  <c r="G102" i="1"/>
  <c r="G111" i="1"/>
  <c r="G110" i="1"/>
  <c r="G99" i="1"/>
  <c r="G98" i="1"/>
  <c r="G107" i="1"/>
  <c r="G106" i="1"/>
  <c r="G105" i="1"/>
  <c r="G104" i="1"/>
  <c r="G113" i="1" l="1"/>
  <c r="G112" i="1"/>
  <c r="G121" i="1"/>
  <c r="G120" i="1"/>
  <c r="G109" i="1"/>
  <c r="G108" i="1"/>
  <c r="G117" i="1"/>
  <c r="G116" i="1"/>
  <c r="G115" i="1"/>
  <c r="G114" i="1"/>
  <c r="G123" i="1" l="1"/>
  <c r="G122" i="1"/>
  <c r="G119" i="1"/>
  <c r="G118" i="1"/>
</calcChain>
</file>

<file path=xl/sharedStrings.xml><?xml version="1.0" encoding="utf-8"?>
<sst xmlns="http://schemas.openxmlformats.org/spreadsheetml/2006/main" count="438" uniqueCount="368">
  <si>
    <t>id</t>
  </si>
  <si>
    <t>copy_id</t>
  </si>
  <si>
    <r>
      <rPr>
        <sz val="11"/>
        <color indexed="8"/>
        <rFont val="宋体"/>
        <family val="3"/>
        <charset val="134"/>
      </rPr>
      <t>a</t>
    </r>
    <r>
      <rPr>
        <sz val="11"/>
        <color indexed="8"/>
        <rFont val="宋体"/>
        <family val="3"/>
        <charset val="134"/>
      </rPr>
      <t>ward_type</t>
    </r>
  </si>
  <si>
    <t>award_param1</t>
  </si>
  <si>
    <t>award_param2</t>
  </si>
  <si>
    <t>award_param3</t>
  </si>
  <si>
    <t>award_num</t>
  </si>
  <si>
    <r>
      <rPr>
        <sz val="11"/>
        <color indexed="8"/>
        <rFont val="宋体"/>
        <family val="3"/>
        <charset val="134"/>
      </rPr>
      <t>int32</t>
    </r>
  </si>
  <si>
    <t>int32</t>
  </si>
  <si>
    <r>
      <rPr>
        <sz val="11"/>
        <color indexed="8"/>
        <rFont val="宋体"/>
        <family val="3"/>
        <charset val="134"/>
      </rPr>
      <t>l</t>
    </r>
    <r>
      <rPr>
        <sz val="11"/>
        <color indexed="8"/>
        <rFont val="宋体"/>
        <family val="3"/>
        <charset val="134"/>
      </rPr>
      <t>ist&lt;int32&gt;</t>
    </r>
  </si>
  <si>
    <t>list&lt;int32&gt;</t>
  </si>
  <si>
    <r>
      <rPr>
        <sz val="11"/>
        <color indexed="8"/>
        <rFont val="宋体"/>
        <family val="3"/>
        <charset val="134"/>
      </rPr>
      <t>ID</t>
    </r>
  </si>
  <si>
    <t>副本ID</t>
  </si>
  <si>
    <t>奖励物品类型</t>
  </si>
  <si>
    <t>奖励物品参数</t>
  </si>
  <si>
    <t>奖励物品数量</t>
  </si>
  <si>
    <r>
      <rPr>
        <sz val="11"/>
        <color indexed="8"/>
        <rFont val="宋体"/>
        <family val="3"/>
        <charset val="134"/>
      </rPr>
      <t>n</t>
    </r>
    <r>
      <rPr>
        <sz val="11"/>
        <color indexed="8"/>
        <rFont val="宋体"/>
        <family val="3"/>
        <charset val="134"/>
      </rPr>
      <t>ame</t>
    </r>
  </si>
  <si>
    <r>
      <rPr>
        <sz val="11"/>
        <color indexed="8"/>
        <rFont val="宋体"/>
        <family val="3"/>
        <charset val="134"/>
      </rPr>
      <t>r</t>
    </r>
    <r>
      <rPr>
        <sz val="11"/>
        <color indexed="8"/>
        <rFont val="宋体"/>
        <family val="3"/>
        <charset val="134"/>
      </rPr>
      <t>eputation</t>
    </r>
  </si>
  <si>
    <r>
      <rPr>
        <sz val="11"/>
        <color indexed="8"/>
        <rFont val="宋体"/>
        <family val="3"/>
        <charset val="134"/>
      </rPr>
      <t>m</t>
    </r>
    <r>
      <rPr>
        <sz val="11"/>
        <color indexed="8"/>
        <rFont val="宋体"/>
        <family val="3"/>
        <charset val="134"/>
      </rPr>
      <t>oney</t>
    </r>
  </si>
  <si>
    <t>level</t>
  </si>
  <si>
    <t>string</t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</si>
  <si>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nt32</t>
    </r>
  </si>
  <si>
    <t>描述</t>
  </si>
  <si>
    <t>升级所需声望</t>
  </si>
  <si>
    <t>升级所需金币</t>
  </si>
  <si>
    <t>升级需求等级</t>
  </si>
  <si>
    <t>DATA_Role_Title1</t>
  </si>
  <si>
    <t>DATA_Role_Title2</t>
  </si>
  <si>
    <t>DATA_Role_Title3</t>
  </si>
  <si>
    <t>DATA_Role_Title4</t>
  </si>
  <si>
    <t>DATA_Role_Title5</t>
  </si>
  <si>
    <t>DATA_Role_Title6</t>
  </si>
  <si>
    <t>DATA_Role_Title7</t>
  </si>
  <si>
    <t>DATA_Role_Title8</t>
  </si>
  <si>
    <t>DATA_Role_Title9</t>
  </si>
  <si>
    <t>DATA_Role_Title10</t>
  </si>
  <si>
    <t>DATA_Role_Title11</t>
  </si>
  <si>
    <t>DATA_Role_Title12</t>
  </si>
  <si>
    <t>205</t>
  </si>
  <si>
    <t>210</t>
  </si>
  <si>
    <t>305</t>
  </si>
  <si>
    <t>310</t>
  </si>
  <si>
    <t>315</t>
  </si>
  <si>
    <t>3</t>
  </si>
  <si>
    <t>4</t>
  </si>
  <si>
    <t>5</t>
  </si>
  <si>
    <t>6</t>
  </si>
  <si>
    <t>7</t>
  </si>
  <si>
    <t>8</t>
  </si>
  <si>
    <t>9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</si>
  <si>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</si>
  <si>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</si>
  <si>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</si>
  <si>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</si>
  <si>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</si>
  <si>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</si>
  <si>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</si>
  <si>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</si>
  <si>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</si>
  <si>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</si>
  <si>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</si>
  <si>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</si>
  <si>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</si>
  <si>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</si>
  <si>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</si>
  <si>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</si>
  <si>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</si>
  <si>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</si>
  <si>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</si>
  <si>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</si>
  <si>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</si>
  <si>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</si>
  <si>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</si>
  <si>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r>
      <t>t</t>
    </r>
    <r>
      <rPr>
        <sz val="11"/>
        <color indexed="8"/>
        <rFont val="宋体"/>
        <family val="3"/>
        <charset val="134"/>
      </rPr>
      <t>ype</t>
    </r>
    <phoneticPr fontId="3" type="noConversion"/>
  </si>
  <si>
    <r>
      <t>p</t>
    </r>
    <r>
      <rPr>
        <sz val="11"/>
        <color indexed="8"/>
        <rFont val="宋体"/>
        <family val="3"/>
        <charset val="134"/>
      </rPr>
      <t>aram1</t>
    </r>
    <phoneticPr fontId="3" type="noConversion"/>
  </si>
  <si>
    <r>
      <t>p</t>
    </r>
    <r>
      <rPr>
        <sz val="11"/>
        <color indexed="8"/>
        <rFont val="宋体"/>
        <family val="3"/>
        <charset val="134"/>
      </rPr>
      <t>aram2</t>
    </r>
    <r>
      <rPr>
        <sz val="11"/>
        <color theme="1"/>
        <rFont val="Helvetica Neue"/>
        <family val="2"/>
        <charset val="134"/>
        <scheme val="minor"/>
      </rPr>
      <t/>
    </r>
  </si>
  <si>
    <r>
      <t>p</t>
    </r>
    <r>
      <rPr>
        <sz val="11"/>
        <color indexed="8"/>
        <rFont val="宋体"/>
        <family val="3"/>
        <charset val="134"/>
      </rPr>
      <t>aram3</t>
    </r>
    <r>
      <rPr>
        <sz val="11"/>
        <color theme="1"/>
        <rFont val="Helvetica Neue"/>
        <family val="2"/>
        <charset val="134"/>
        <scheme val="minor"/>
      </rPr>
      <t/>
    </r>
  </si>
  <si>
    <r>
      <t>n</t>
    </r>
    <r>
      <rPr>
        <sz val="11"/>
        <color indexed="8"/>
        <rFont val="宋体"/>
        <family val="3"/>
        <charset val="134"/>
      </rPr>
      <t>um</t>
    </r>
    <phoneticPr fontId="3" type="noConversion"/>
  </si>
  <si>
    <t>39</t>
  </si>
  <si>
    <t xml:space="preserve">阶段奖励 </t>
    <phoneticPr fontId="3" type="noConversion"/>
  </si>
  <si>
    <t>关卡数</t>
    <phoneticPr fontId="3" type="noConversion"/>
  </si>
  <si>
    <t>统计：</t>
    <phoneticPr fontId="3" type="noConversion"/>
  </si>
  <si>
    <t>高抽</t>
    <phoneticPr fontId="3" type="noConversion"/>
  </si>
  <si>
    <t>普抽</t>
    <phoneticPr fontId="3" type="noConversion"/>
  </si>
  <si>
    <t>五星碎片</t>
    <phoneticPr fontId="3" type="noConversion"/>
  </si>
  <si>
    <t>四星碎片</t>
    <phoneticPr fontId="3" type="noConversion"/>
  </si>
  <si>
    <t>装备</t>
    <phoneticPr fontId="3" type="noConversion"/>
  </si>
  <si>
    <t>奖励1（按顺序填）</t>
    <phoneticPr fontId="3" type="noConversion"/>
  </si>
  <si>
    <t>奖励2（按顺序填）</t>
  </si>
  <si>
    <t>奖励3（按顺序填）</t>
  </si>
  <si>
    <t>界面最多支持3个奖励</t>
    <phoneticPr fontId="3" type="noConversion"/>
  </si>
  <si>
    <t>104</t>
    <phoneticPr fontId="3" type="noConversion"/>
  </si>
  <si>
    <r>
      <t>1</t>
    </r>
    <r>
      <rPr>
        <sz val="11"/>
        <color indexed="8"/>
        <rFont val="宋体"/>
        <family val="3"/>
        <charset val="134"/>
      </rPr>
      <t>08</t>
    </r>
    <phoneticPr fontId="3" type="noConversion"/>
  </si>
  <si>
    <t>106</t>
    <phoneticPr fontId="3" type="noConversion"/>
  </si>
  <si>
    <t>40</t>
  </si>
  <si>
    <t>1</t>
    <phoneticPr fontId="3" type="noConversion"/>
  </si>
  <si>
    <t>2</t>
  </si>
  <si>
    <t>202</t>
    <phoneticPr fontId="3" type="noConversion"/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</si>
  <si>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</si>
  <si>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</si>
  <si>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</si>
  <si>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</si>
  <si>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</si>
  <si>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</si>
  <si>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</si>
  <si>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</si>
  <si>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</si>
  <si>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</si>
  <si>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</si>
  <si>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</si>
  <si>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</si>
  <si>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</si>
  <si>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</si>
  <si>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</si>
  <si>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</si>
  <si>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</si>
  <si>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</si>
  <si>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</si>
  <si>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</si>
  <si>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</si>
  <si>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</si>
  <si>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</si>
  <si>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</si>
  <si>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</si>
  <si>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</si>
  <si>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</si>
  <si>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</si>
  <si>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</si>
  <si>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</si>
  <si>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</si>
  <si>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</si>
  <si>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</si>
  <si>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</si>
  <si>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</si>
  <si>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</si>
  <si>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</si>
  <si>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</si>
  <si>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</si>
  <si>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</si>
  <si>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</si>
  <si>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</si>
  <si>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</si>
  <si>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</si>
  <si>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</si>
  <si>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</si>
  <si>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</si>
  <si>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</si>
  <si>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</si>
  <si>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</si>
  <si>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</si>
  <si>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</si>
  <si>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</si>
  <si>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</si>
  <si>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</si>
  <si>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</si>
  <si>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</si>
  <si>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</si>
  <si>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</si>
  <si>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</si>
  <si>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</si>
  <si>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</si>
  <si>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</si>
  <si>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</si>
  <si>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</si>
  <si>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</si>
  <si>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</si>
  <si>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</si>
  <si>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</si>
  <si>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</si>
  <si>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</si>
  <si>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</si>
  <si>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</si>
  <si>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</si>
  <si>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</si>
  <si>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</si>
  <si>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</si>
  <si>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</si>
  <si>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</si>
  <si>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125</t>
  </si>
  <si>
    <t>130</t>
  </si>
  <si>
    <t>135</t>
  </si>
  <si>
    <t>140</t>
  </si>
  <si>
    <t>145</t>
  </si>
  <si>
    <t>150</t>
  </si>
  <si>
    <t>155</t>
  </si>
  <si>
    <t>160</t>
  </si>
  <si>
    <t>165</t>
  </si>
  <si>
    <t>170</t>
  </si>
  <si>
    <t>175</t>
  </si>
  <si>
    <t>180</t>
  </si>
  <si>
    <t>185</t>
  </si>
  <si>
    <t>190</t>
  </si>
  <si>
    <t>195</t>
  </si>
  <si>
    <t>200</t>
  </si>
  <si>
    <t>215</t>
  </si>
  <si>
    <t>220</t>
  </si>
  <si>
    <t>225</t>
  </si>
  <si>
    <t>230</t>
  </si>
  <si>
    <t>235</t>
  </si>
  <si>
    <t>240</t>
  </si>
  <si>
    <t>245</t>
  </si>
  <si>
    <t>250</t>
  </si>
  <si>
    <t>255</t>
  </si>
  <si>
    <t>260</t>
  </si>
  <si>
    <t>265</t>
  </si>
  <si>
    <t>270</t>
  </si>
  <si>
    <t>275</t>
  </si>
  <si>
    <t>280</t>
  </si>
  <si>
    <t>285</t>
  </si>
  <si>
    <t>290</t>
  </si>
  <si>
    <t>295</t>
  </si>
  <si>
    <t>300</t>
  </si>
  <si>
    <t>320</t>
  </si>
  <si>
    <t>325</t>
  </si>
  <si>
    <t>330</t>
  </si>
  <si>
    <t>335</t>
  </si>
  <si>
    <t>340</t>
  </si>
  <si>
    <t>345</t>
  </si>
  <si>
    <t>350</t>
  </si>
  <si>
    <t>355</t>
  </si>
  <si>
    <t>206</t>
    <phoneticPr fontId="3" type="noConversion"/>
  </si>
  <si>
    <t>204</t>
    <phoneticPr fontId="3" type="noConversion"/>
  </si>
  <si>
    <t>208</t>
    <phoneticPr fontId="3" type="noConversion"/>
  </si>
  <si>
    <t>105</t>
    <phoneticPr fontId="3" type="noConversion"/>
  </si>
  <si>
    <t>107</t>
    <phoneticPr fontId="3" type="noConversion"/>
  </si>
  <si>
    <t>303</t>
    <phoneticPr fontId="3" type="noConversion"/>
  </si>
  <si>
    <t>306</t>
    <phoneticPr fontId="3" type="noConversion"/>
  </si>
  <si>
    <t>309</t>
    <phoneticPr fontId="3" type="noConversion"/>
  </si>
  <si>
    <t>312</t>
    <phoneticPr fontId="3" type="noConversion"/>
  </si>
  <si>
    <t>404</t>
    <phoneticPr fontId="3" type="noConversion"/>
  </si>
  <si>
    <t>408</t>
    <phoneticPr fontId="3" type="noConversion"/>
  </si>
  <si>
    <t>412</t>
    <phoneticPr fontId="3" type="noConversion"/>
  </si>
  <si>
    <t>416</t>
    <phoneticPr fontId="3" type="noConversion"/>
  </si>
  <si>
    <t>420</t>
    <phoneticPr fontId="3" type="noConversion"/>
  </si>
  <si>
    <t>360</t>
  </si>
  <si>
    <t>碎片*50</t>
    <phoneticPr fontId="3" type="noConversion"/>
  </si>
  <si>
    <t>抽卡</t>
    <phoneticPr fontId="3" type="noConversion"/>
  </si>
  <si>
    <t>钻石</t>
    <phoneticPr fontId="3" type="noConversion"/>
  </si>
  <si>
    <t>装备</t>
    <phoneticPr fontId="3" type="noConversion"/>
  </si>
  <si>
    <t>碎片</t>
    <phoneticPr fontId="3" type="noConversion"/>
  </si>
  <si>
    <t>5</t>
    <phoneticPr fontId="3" type="noConversion"/>
  </si>
  <si>
    <t>10</t>
    <phoneticPr fontId="3" type="noConversion"/>
  </si>
  <si>
    <t>15</t>
  </si>
  <si>
    <t>365</t>
  </si>
  <si>
    <t>370</t>
  </si>
  <si>
    <t>375</t>
  </si>
  <si>
    <t>380</t>
  </si>
  <si>
    <t>385</t>
  </si>
  <si>
    <t>390</t>
  </si>
  <si>
    <t>395</t>
  </si>
  <si>
    <t>400</t>
  </si>
  <si>
    <t>405</t>
  </si>
  <si>
    <t>410</t>
  </si>
  <si>
    <t>415</t>
  </si>
  <si>
    <t>420</t>
  </si>
  <si>
    <t>425</t>
  </si>
  <si>
    <t>430</t>
  </si>
  <si>
    <t>435</t>
  </si>
  <si>
    <t>440</t>
  </si>
  <si>
    <t>445</t>
  </si>
  <si>
    <t>450</t>
  </si>
  <si>
    <t>455</t>
  </si>
  <si>
    <t>460</t>
  </si>
  <si>
    <t>465</t>
  </si>
  <si>
    <t>470</t>
  </si>
  <si>
    <t>475</t>
  </si>
  <si>
    <t>480</t>
  </si>
  <si>
    <t>485</t>
  </si>
  <si>
    <t>490</t>
  </si>
  <si>
    <t>495</t>
  </si>
  <si>
    <t>500</t>
  </si>
  <si>
    <t>505</t>
  </si>
  <si>
    <t>510</t>
  </si>
  <si>
    <t>515</t>
  </si>
  <si>
    <t>520</t>
  </si>
  <si>
    <t>525</t>
  </si>
  <si>
    <t>530</t>
  </si>
  <si>
    <t>535</t>
  </si>
  <si>
    <t>540</t>
  </si>
  <si>
    <t>545</t>
  </si>
  <si>
    <t>550</t>
  </si>
  <si>
    <t>555</t>
  </si>
  <si>
    <t>560</t>
  </si>
  <si>
    <t>565</t>
  </si>
  <si>
    <t>570</t>
  </si>
  <si>
    <t>575</t>
  </si>
  <si>
    <t>580</t>
  </si>
  <si>
    <t>585</t>
  </si>
  <si>
    <t>590</t>
  </si>
  <si>
    <t>595</t>
  </si>
  <si>
    <t>600</t>
  </si>
  <si>
    <t>10</t>
  </si>
  <si>
    <t>11</t>
  </si>
  <si>
    <t>12</t>
  </si>
  <si>
    <t>13</t>
  </si>
  <si>
    <t>14</t>
  </si>
  <si>
    <t>605</t>
  </si>
  <si>
    <t>610</t>
  </si>
  <si>
    <t>615</t>
  </si>
  <si>
    <t>620</t>
  </si>
  <si>
    <t>625</t>
  </si>
  <si>
    <t>630</t>
  </si>
  <si>
    <t>635</t>
  </si>
  <si>
    <t>640</t>
  </si>
  <si>
    <t>645</t>
  </si>
  <si>
    <t>650</t>
  </si>
  <si>
    <t>655</t>
  </si>
  <si>
    <t>660</t>
  </si>
  <si>
    <t>665</t>
  </si>
  <si>
    <t>670</t>
  </si>
  <si>
    <t>675</t>
  </si>
  <si>
    <t>680</t>
  </si>
  <si>
    <t>685</t>
  </si>
  <si>
    <t>690</t>
  </si>
  <si>
    <t>695</t>
  </si>
  <si>
    <t>700</t>
  </si>
  <si>
    <t>705</t>
  </si>
  <si>
    <t>710</t>
  </si>
  <si>
    <t>715</t>
  </si>
  <si>
    <t>720</t>
  </si>
  <si>
    <t>725</t>
  </si>
  <si>
    <t>730</t>
  </si>
  <si>
    <t>735</t>
  </si>
  <si>
    <t>740</t>
  </si>
  <si>
    <t>745</t>
  </si>
  <si>
    <t>750</t>
  </si>
  <si>
    <t>755</t>
  </si>
  <si>
    <t>760</t>
  </si>
  <si>
    <t>765</t>
  </si>
  <si>
    <t>770</t>
  </si>
  <si>
    <t>775</t>
  </si>
  <si>
    <t>780</t>
  </si>
  <si>
    <t>785</t>
  </si>
  <si>
    <t>790</t>
  </si>
  <si>
    <t>795</t>
  </si>
  <si>
    <t>800</t>
  </si>
  <si>
    <t>121</t>
  </si>
  <si>
    <t>122</t>
  </si>
  <si>
    <t>123</t>
  </si>
  <si>
    <t>124</t>
  </si>
  <si>
    <t>126</t>
  </si>
  <si>
    <t>127</t>
  </si>
  <si>
    <t>128</t>
  </si>
  <si>
    <t>129</t>
  </si>
  <si>
    <t>131</t>
  </si>
  <si>
    <t>132</t>
  </si>
  <si>
    <t>133</t>
  </si>
  <si>
    <t>134</t>
  </si>
  <si>
    <t>136</t>
  </si>
  <si>
    <t>137</t>
  </si>
  <si>
    <t>138</t>
  </si>
  <si>
    <t>139</t>
  </si>
  <si>
    <t>141</t>
  </si>
  <si>
    <t>142</t>
  </si>
  <si>
    <t>143</t>
  </si>
  <si>
    <t>144</t>
  </si>
  <si>
    <t>146</t>
  </si>
  <si>
    <t>147</t>
  </si>
  <si>
    <t>148</t>
  </si>
  <si>
    <t>149</t>
  </si>
  <si>
    <t>151</t>
  </si>
  <si>
    <t>152</t>
  </si>
  <si>
    <t>153</t>
  </si>
  <si>
    <t>154</t>
  </si>
  <si>
    <t>156</t>
  </si>
  <si>
    <t>157</t>
  </si>
  <si>
    <t>158</t>
  </si>
  <si>
    <t>159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</si>
</sst>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indexed="8"/>
      <name val="宋体"/>
      <charset val="134"/>
    </font>
    <font>
      <sz val="11"/>
      <color theme="1"/>
      <name val="Helvetica Neue"/>
      <family val="2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b/>
      <sz val="11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center"/>
    </xf>
  </cellStyleXfs>
  <cellXfs count="20">
    <xf numFmtId="0" fontId="0" fillId="0" borderId="0" xfId="0" applyFont="1" applyAlignment="1">
      <alignment vertical="center"/>
    </xf>
    <xf numFmtId="49" fontId="0" fillId="2" borderId="1" xfId="0" applyNumberFormat="1" applyFont="1" applyFill="1" applyBorder="1" applyAlignment="1"/>
    <xf numFmtId="0" fontId="0" fillId="2" borderId="1" xfId="0" applyFont="1" applyFill="1" applyBorder="1" applyAlignment="1"/>
    <xf numFmtId="0" fontId="0" fillId="0" borderId="1" xfId="0" applyFont="1" applyBorder="1" applyAlignment="1">
      <alignment vertical="center"/>
    </xf>
    <xf numFmtId="49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2" borderId="1" xfId="0" applyNumberFormat="1" applyFont="1" applyFill="1" applyBorder="1" applyAlignment="1"/>
    <xf numFmtId="49" fontId="2" fillId="2" borderId="1" xfId="0" applyNumberFormat="1" applyFont="1" applyFill="1" applyBorder="1" applyAlignment="1"/>
    <xf numFmtId="0" fontId="2" fillId="0" borderId="0" xfId="0" applyNumberFormat="1" applyFont="1" applyAlignment="1">
      <alignment vertical="center"/>
    </xf>
    <xf numFmtId="0" fontId="0" fillId="0" borderId="0" xfId="0">
      <alignment vertical="center"/>
    </xf>
    <xf numFmtId="0" fontId="0" fillId="0" borderId="3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2" borderId="1" xfId="0" applyNumberFormat="1" applyFont="1" applyFill="1" applyBorder="1" applyAlignment="1">
      <alignment horizontal="left"/>
    </xf>
    <xf numFmtId="0" fontId="0" fillId="0" borderId="0" xfId="0" applyNumberFormat="1">
      <alignment vertical="center"/>
    </xf>
    <xf numFmtId="0" fontId="0" fillId="0" borderId="0" xfId="0" applyFill="1" applyBorder="1">
      <alignment vertical="center"/>
    </xf>
    <xf numFmtId="0" fontId="2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0"/>
  <tableStyles count="0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AAAAA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 主题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主题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主题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N163"/>
  <sheetViews>
    <sheetView showGridLines="0" tabSelected="1" zoomScale="90" zoomScaleNormal="90" workbookViewId="0">
      <pane xSplit="2" ySplit="3" topLeftCell="C4" activePane="bottomRight" state="frozenSplit"/>
      <selection pane="topRight" activeCell="C1" sqref="C1"/>
      <selection pane="bottomLeft" activeCell="A4" sqref="A4"/>
      <selection pane="bottomRight"/>
    </sheetView>
  </sheetViews>
  <sheetFormatPr defaultColWidth="8.875" defaultRowHeight="13.5" customHeight="1"/>
  <cols>
    <col min="1" max="1" width="10.625" style="5" customWidth="1"/>
    <col min="2" max="2" width="17.5" style="5" customWidth="1"/>
    <col min="3" max="3" width="32" style="5" customWidth="1"/>
    <col min="4" max="4" width="24.5" style="5" customWidth="1"/>
    <col min="5" max="5" width="19.375" style="5" customWidth="1"/>
    <col min="6" max="7" width="14.125" style="5" customWidth="1"/>
    <col min="8" max="8" width="13" style="5" customWidth="1"/>
    <col min="9" max="248" width="8.875" style="5" customWidth="1"/>
  </cols>
  <sheetData>
    <row r="1" spans="1:33" ht="15.9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s="8" t="s">
        <v>90</v>
      </c>
    </row>
    <row r="2" spans="1:33" ht="15.95" customHeight="1">
      <c r="A2" s="1" t="s">
        <v>7</v>
      </c>
      <c r="B2" s="1" t="s">
        <v>8</v>
      </c>
      <c r="C2" s="1" t="s">
        <v>9</v>
      </c>
      <c r="D2" s="1" t="s">
        <v>10</v>
      </c>
      <c r="E2" s="1" t="s">
        <v>10</v>
      </c>
      <c r="F2" s="1" t="s">
        <v>10</v>
      </c>
      <c r="G2" s="1" t="s">
        <v>10</v>
      </c>
      <c r="I2" s="18" t="s">
        <v>87</v>
      </c>
      <c r="J2" s="19"/>
      <c r="K2" s="19"/>
      <c r="L2" s="19"/>
      <c r="M2" s="19"/>
      <c r="N2" s="18" t="s">
        <v>88</v>
      </c>
      <c r="O2" s="19"/>
      <c r="P2" s="19"/>
      <c r="Q2" s="19"/>
      <c r="R2" s="19"/>
      <c r="S2" s="18" t="s">
        <v>89</v>
      </c>
      <c r="T2" s="19"/>
      <c r="U2" s="19"/>
      <c r="V2" s="19"/>
      <c r="W2" s="19"/>
    </row>
    <row r="3" spans="1:33" ht="15.95" customHeight="1">
      <c r="A3" s="1" t="s">
        <v>11</v>
      </c>
      <c r="B3" s="1" t="s">
        <v>12</v>
      </c>
      <c r="C3" s="1" t="s">
        <v>13</v>
      </c>
      <c r="D3" s="1" t="s">
        <v>14</v>
      </c>
      <c r="E3" s="1" t="s">
        <v>14</v>
      </c>
      <c r="F3" s="1" t="s">
        <v>14</v>
      </c>
      <c r="G3" s="1" t="s">
        <v>15</v>
      </c>
      <c r="I3" s="8" t="s">
        <v>73</v>
      </c>
      <c r="J3" s="8" t="s">
        <v>74</v>
      </c>
      <c r="K3" s="8" t="s">
        <v>75</v>
      </c>
      <c r="L3" s="8" t="s">
        <v>76</v>
      </c>
      <c r="M3" s="8" t="s">
        <v>77</v>
      </c>
      <c r="N3" s="8" t="s">
        <v>73</v>
      </c>
      <c r="O3" s="8" t="s">
        <v>74</v>
      </c>
      <c r="P3" s="8" t="s">
        <v>75</v>
      </c>
      <c r="Q3" s="8" t="s">
        <v>76</v>
      </c>
      <c r="R3" s="8" t="s">
        <v>77</v>
      </c>
      <c r="S3" s="8" t="s">
        <v>73</v>
      </c>
      <c r="T3" s="8" t="s">
        <v>74</v>
      </c>
      <c r="U3" s="8" t="s">
        <v>75</v>
      </c>
      <c r="V3" s="8" t="s">
        <v>76</v>
      </c>
      <c r="W3" s="8" t="s">
        <v>77</v>
      </c>
    </row>
    <row r="4" spans="1:33" ht="15.95" customHeight="1">
      <c r="A4" s="7" t="s">
        <v>95</v>
      </c>
      <c r="B4" s="7" t="s">
        <v>240</v>
      </c>
      <c r="C4" s="15" t="str">
        <f t="shared" ref="C4" si="0">IF(AND(S4="",I4&lt;&gt;"",N4&lt;&gt;""),I4&amp;","&amp;N4,IF(AND(S4="",N4="",I4&lt;&gt;""),I4,IF(AND(S4="",N4="",I4=""),"",I4&amp;","&amp;N4&amp;","&amp;S4)))</f>
        <v>7,4</v>
      </c>
      <c r="D4" s="15" t="str">
        <f t="shared" ref="D4" si="1">IF(AND(T4="",J4&lt;&gt;"",O4&lt;&gt;""),J4&amp;","&amp;O4,IF(AND(T4="",O4="",J4&lt;&gt;""),J4,IF(AND(T4="",O4="",J4=""),"",J4&amp;","&amp;O4&amp;","&amp;T4)))</f>
        <v>21,0</v>
      </c>
      <c r="E4" s="15" t="str">
        <f t="shared" ref="E4" si="2">IF(AND(U4="",K4&lt;&gt;"",P4&lt;&gt;""),K4&amp;","&amp;P4,IF(AND(U4="",P4="",K4&lt;&gt;""),K4,IF(AND(U4="",P4="",K4=""),"",K4&amp;","&amp;P4&amp;","&amp;U4)))</f>
        <v>0,0</v>
      </c>
      <c r="F4" s="15" t="str">
        <f t="shared" ref="F4" si="3">IF(AND(V4="",L4&lt;&gt;"",Q4&lt;&gt;""),L4&amp;","&amp;Q4,IF(AND(V4="",Q4="",L4&lt;&gt;""),L4,IF(AND(V4="",Q4="",L4=""),"",L4&amp;","&amp;Q4&amp;","&amp;V4)))</f>
        <v>0,0</v>
      </c>
      <c r="G4" s="15" t="str">
        <f t="shared" ref="G4" si="4">IF(AND(W4="",M4&lt;&gt;"",R4&lt;&gt;""),M4&amp;","&amp;R4,IF(AND(W4="",R4="",M4&lt;&gt;""),M4,IF(AND(W4="",R4="",M4=""),"",M4&amp;","&amp;R4&amp;","&amp;W4)))</f>
        <v>1,50</v>
      </c>
      <c r="H4" s="8"/>
      <c r="I4" s="9">
        <v>7</v>
      </c>
      <c r="J4" s="9">
        <v>21</v>
      </c>
      <c r="K4" s="9">
        <v>0</v>
      </c>
      <c r="L4" s="9">
        <v>0</v>
      </c>
      <c r="M4" s="9">
        <v>1</v>
      </c>
      <c r="N4" s="16">
        <v>4</v>
      </c>
      <c r="O4" s="16">
        <v>0</v>
      </c>
      <c r="P4" s="16">
        <v>0</v>
      </c>
      <c r="Q4" s="16">
        <v>0</v>
      </c>
      <c r="R4" s="16">
        <v>50</v>
      </c>
      <c r="S4" s="16"/>
      <c r="T4" s="16"/>
      <c r="U4" s="16"/>
      <c r="V4" s="16"/>
      <c r="W4" s="16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15.95" customHeight="1">
      <c r="A5" s="7" t="s">
        <v>96</v>
      </c>
      <c r="B5" s="7" t="s">
        <v>241</v>
      </c>
      <c r="C5" s="15" t="str">
        <f t="shared" ref="C5:C68" si="5">IF(AND(S5="",I5&lt;&gt;"",N5&lt;&gt;""),I5&amp;","&amp;N5,IF(AND(S5="",N5="",I5&lt;&gt;""),I5,IF(AND(S5="",N5="",I5=""),"",I5&amp;","&amp;N5&amp;","&amp;S5)))</f>
        <v>6,4</v>
      </c>
      <c r="D5" s="15" t="str">
        <f t="shared" ref="D5:D68" si="6">IF(AND(T5="",J5&lt;&gt;"",O5&lt;&gt;""),J5&amp;","&amp;O5,IF(AND(T5="",O5="",J5&lt;&gt;""),J5,IF(AND(T5="",O5="",J5=""),"",J5&amp;","&amp;O5&amp;","&amp;T5)))</f>
        <v>1,0</v>
      </c>
      <c r="E5" s="15" t="str">
        <f t="shared" ref="E5:E68" si="7">IF(AND(U5="",K5&lt;&gt;"",P5&lt;&gt;""),K5&amp;","&amp;P5,IF(AND(U5="",P5="",K5&lt;&gt;""),K5,IF(AND(U5="",P5="",K5=""),"",K5&amp;","&amp;P5&amp;","&amp;U5)))</f>
        <v>0,0</v>
      </c>
      <c r="F5" s="15" t="str">
        <f t="shared" ref="F5:F68" si="8">IF(AND(V5="",L5&lt;&gt;"",Q5&lt;&gt;""),L5&amp;","&amp;Q5,IF(AND(V5="",Q5="",L5&lt;&gt;""),L5,IF(AND(V5="",Q5="",L5=""),"",L5&amp;","&amp;Q5&amp;","&amp;V5)))</f>
        <v>5,0</v>
      </c>
      <c r="G5" s="15" t="str">
        <f t="shared" ref="G5:G68" si="9">IF(AND(W5="",M5&lt;&gt;"",R5&lt;&gt;""),M5&amp;","&amp;R5,IF(AND(W5="",R5="",M5&lt;&gt;""),M5,IF(AND(W5="",R5="",M5=""),"",M5&amp;","&amp;R5&amp;","&amp;W5)))</f>
        <v>5,50</v>
      </c>
      <c r="H5" s="8"/>
      <c r="I5" s="9">
        <v>6</v>
      </c>
      <c r="J5" s="9">
        <v>1</v>
      </c>
      <c r="K5" s="9">
        <v>0</v>
      </c>
      <c r="L5" s="9">
        <v>5</v>
      </c>
      <c r="M5" s="9">
        <v>5</v>
      </c>
      <c r="N5" s="16">
        <v>4</v>
      </c>
      <c r="O5" s="16">
        <v>0</v>
      </c>
      <c r="P5" s="16">
        <v>0</v>
      </c>
      <c r="Q5" s="16">
        <v>0</v>
      </c>
      <c r="R5" s="16">
        <v>50</v>
      </c>
      <c r="S5" s="16"/>
      <c r="T5" s="16"/>
      <c r="U5" s="16"/>
      <c r="V5" s="16"/>
      <c r="W5" s="16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.95" customHeight="1">
      <c r="A6" s="7" t="s">
        <v>43</v>
      </c>
      <c r="B6" s="7" t="s">
        <v>242</v>
      </c>
      <c r="C6" s="15" t="str">
        <f t="shared" si="5"/>
        <v>7,4</v>
      </c>
      <c r="D6" s="15" t="str">
        <f t="shared" si="6"/>
        <v>22,0</v>
      </c>
      <c r="E6" s="15" t="str">
        <f t="shared" si="7"/>
        <v>0,0</v>
      </c>
      <c r="F6" s="15" t="str">
        <f t="shared" si="8"/>
        <v>0,0</v>
      </c>
      <c r="G6" s="15" t="str">
        <f t="shared" si="9"/>
        <v>1,50</v>
      </c>
      <c r="H6" s="8"/>
      <c r="I6" s="9">
        <v>7</v>
      </c>
      <c r="J6" s="9">
        <v>22</v>
      </c>
      <c r="K6" s="9">
        <v>0</v>
      </c>
      <c r="L6" s="9">
        <v>0</v>
      </c>
      <c r="M6" s="9">
        <v>1</v>
      </c>
      <c r="N6" s="16">
        <v>4</v>
      </c>
      <c r="O6" s="16">
        <v>0</v>
      </c>
      <c r="P6" s="16">
        <v>0</v>
      </c>
      <c r="Q6" s="16">
        <v>0</v>
      </c>
      <c r="R6" s="16">
        <v>50</v>
      </c>
      <c r="S6" s="16"/>
      <c r="T6" s="16"/>
      <c r="U6" s="16"/>
      <c r="V6" s="16"/>
      <c r="W6" s="16"/>
      <c r="X6" s="9"/>
      <c r="Y6" s="9"/>
      <c r="Z6" s="9"/>
      <c r="AA6" s="9"/>
      <c r="AB6" s="9"/>
      <c r="AC6" s="9"/>
      <c r="AD6" s="9"/>
      <c r="AE6" s="9"/>
      <c r="AF6" s="9"/>
      <c r="AG6" s="9"/>
    </row>
    <row r="7" spans="1:33" ht="15.95" customHeight="1">
      <c r="A7" s="7" t="s">
        <v>44</v>
      </c>
      <c r="B7" s="7" t="s">
        <v>54</v>
      </c>
      <c r="C7" s="15" t="str">
        <f t="shared" si="5"/>
        <v>6,4</v>
      </c>
      <c r="D7" s="15" t="str">
        <f t="shared" si="6"/>
        <v>1,0</v>
      </c>
      <c r="E7" s="15" t="str">
        <f t="shared" si="7"/>
        <v>0,0</v>
      </c>
      <c r="F7" s="15" t="str">
        <f t="shared" si="8"/>
        <v>5,0</v>
      </c>
      <c r="G7" s="15" t="str">
        <f t="shared" si="9"/>
        <v>5,50</v>
      </c>
      <c r="H7" s="8"/>
      <c r="I7" s="9">
        <v>6</v>
      </c>
      <c r="J7" s="9">
        <v>1</v>
      </c>
      <c r="K7" s="9">
        <v>0</v>
      </c>
      <c r="L7" s="9">
        <v>5</v>
      </c>
      <c r="M7" s="9">
        <v>5</v>
      </c>
      <c r="N7" s="16">
        <v>4</v>
      </c>
      <c r="O7" s="16">
        <v>0</v>
      </c>
      <c r="P7" s="16">
        <v>0</v>
      </c>
      <c r="Q7" s="16">
        <v>0</v>
      </c>
      <c r="R7" s="16">
        <v>50</v>
      </c>
      <c r="S7" s="16"/>
      <c r="T7" s="16"/>
      <c r="U7" s="16"/>
      <c r="V7" s="16"/>
      <c r="W7" s="16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5.75" customHeight="1">
      <c r="A8" s="7" t="s">
        <v>45</v>
      </c>
      <c r="B8" s="7" t="s">
        <v>59</v>
      </c>
      <c r="C8" s="15" t="str">
        <f t="shared" si="5"/>
        <v>7,4</v>
      </c>
      <c r="D8" s="15" t="str">
        <f t="shared" si="6"/>
        <v>23,0</v>
      </c>
      <c r="E8" s="15" t="str">
        <f t="shared" si="7"/>
        <v>0,0</v>
      </c>
      <c r="F8" s="15" t="str">
        <f t="shared" si="8"/>
        <v>0,0</v>
      </c>
      <c r="G8" s="15" t="str">
        <f t="shared" si="9"/>
        <v>1,50</v>
      </c>
      <c r="H8" s="8"/>
      <c r="I8" s="9">
        <v>7</v>
      </c>
      <c r="J8" s="9">
        <v>23</v>
      </c>
      <c r="K8" s="9">
        <v>0</v>
      </c>
      <c r="L8" s="9">
        <v>0</v>
      </c>
      <c r="M8" s="9">
        <v>1</v>
      </c>
      <c r="N8" s="16">
        <v>4</v>
      </c>
      <c r="O8" s="16">
        <v>0</v>
      </c>
      <c r="P8" s="16">
        <v>0</v>
      </c>
      <c r="Q8" s="16">
        <v>0</v>
      </c>
      <c r="R8" s="16">
        <v>50</v>
      </c>
      <c r="S8" s="16"/>
      <c r="T8" s="16"/>
      <c r="U8" s="16"/>
      <c r="V8" s="16"/>
      <c r="W8" s="16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15.95" customHeight="1">
      <c r="A9" s="7" t="s">
        <v>46</v>
      </c>
      <c r="B9" s="7" t="s">
        <v>64</v>
      </c>
      <c r="C9" s="15" t="str">
        <f t="shared" si="5"/>
        <v>6,4</v>
      </c>
      <c r="D9" s="15" t="str">
        <f t="shared" si="6"/>
        <v>1,0</v>
      </c>
      <c r="E9" s="15" t="str">
        <f t="shared" si="7"/>
        <v>0,0</v>
      </c>
      <c r="F9" s="15" t="str">
        <f t="shared" si="8"/>
        <v>5,0</v>
      </c>
      <c r="G9" s="15" t="str">
        <f t="shared" si="9"/>
        <v>5,50</v>
      </c>
      <c r="H9" s="8"/>
      <c r="I9" s="9">
        <v>6</v>
      </c>
      <c r="J9" s="9">
        <v>1</v>
      </c>
      <c r="K9" s="9">
        <v>0</v>
      </c>
      <c r="L9" s="9">
        <v>5</v>
      </c>
      <c r="M9" s="9">
        <v>5</v>
      </c>
      <c r="N9" s="16">
        <v>4</v>
      </c>
      <c r="O9" s="16">
        <v>0</v>
      </c>
      <c r="P9" s="16">
        <v>0</v>
      </c>
      <c r="Q9" s="16">
        <v>0</v>
      </c>
      <c r="R9" s="16">
        <v>50</v>
      </c>
      <c r="S9" s="16"/>
      <c r="T9" s="16"/>
      <c r="U9" s="16"/>
      <c r="V9" s="16"/>
      <c r="W9" s="16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5.95" customHeight="1">
      <c r="A10" s="7" t="s">
        <v>47</v>
      </c>
      <c r="B10" s="7" t="s">
        <v>69</v>
      </c>
      <c r="C10" s="15" t="str">
        <f t="shared" si="5"/>
        <v>7,4</v>
      </c>
      <c r="D10" s="15" t="str">
        <f t="shared" si="6"/>
        <v>24,0</v>
      </c>
      <c r="E10" s="15" t="str">
        <f t="shared" si="7"/>
        <v>0,0</v>
      </c>
      <c r="F10" s="15" t="str">
        <f t="shared" si="8"/>
        <v>0,0</v>
      </c>
      <c r="G10" s="15" t="str">
        <f t="shared" si="9"/>
        <v>1,50</v>
      </c>
      <c r="H10" s="8"/>
      <c r="I10" s="9">
        <v>7</v>
      </c>
      <c r="J10" s="9">
        <v>24</v>
      </c>
      <c r="K10" s="9">
        <v>0</v>
      </c>
      <c r="L10" s="9">
        <v>0</v>
      </c>
      <c r="M10" s="9">
        <v>1</v>
      </c>
      <c r="N10" s="16">
        <v>4</v>
      </c>
      <c r="O10" s="16">
        <v>0</v>
      </c>
      <c r="P10" s="16">
        <v>0</v>
      </c>
      <c r="Q10" s="16">
        <v>0</v>
      </c>
      <c r="R10" s="16">
        <v>50</v>
      </c>
      <c r="S10" s="16"/>
      <c r="T10" s="16"/>
      <c r="U10" s="16"/>
      <c r="V10" s="16"/>
      <c r="W10" s="16"/>
      <c r="X10" s="9"/>
      <c r="Y10" s="9"/>
      <c r="Z10" s="9"/>
      <c r="AA10" s="9"/>
      <c r="AB10" s="9"/>
      <c r="AC10" s="9"/>
      <c r="AD10" s="9"/>
      <c r="AE10" s="9"/>
      <c r="AF10" s="9"/>
      <c r="AG10" s="9"/>
    </row>
    <row r="11" spans="1:33" ht="15.95" customHeight="1">
      <c r="A11" s="7" t="s">
        <v>48</v>
      </c>
      <c r="B11" s="7" t="s">
        <v>94</v>
      </c>
      <c r="C11" s="15" t="str">
        <f t="shared" si="5"/>
        <v>6,4</v>
      </c>
      <c r="D11" s="15" t="str">
        <f t="shared" si="6"/>
        <v>1,0</v>
      </c>
      <c r="E11" s="15" t="str">
        <f t="shared" si="7"/>
        <v>0,0</v>
      </c>
      <c r="F11" s="15" t="str">
        <f t="shared" si="8"/>
        <v>5,0</v>
      </c>
      <c r="G11" s="15" t="str">
        <f t="shared" si="9"/>
        <v>5,50</v>
      </c>
      <c r="H11" s="8"/>
      <c r="I11" s="9">
        <v>6</v>
      </c>
      <c r="J11" s="9">
        <v>1</v>
      </c>
      <c r="K11" s="9">
        <v>0</v>
      </c>
      <c r="L11" s="9">
        <v>5</v>
      </c>
      <c r="M11" s="9">
        <v>5</v>
      </c>
      <c r="N11" s="16">
        <v>4</v>
      </c>
      <c r="O11" s="16">
        <v>0</v>
      </c>
      <c r="P11" s="16">
        <v>0</v>
      </c>
      <c r="Q11" s="16">
        <v>0</v>
      </c>
      <c r="R11" s="16">
        <v>50</v>
      </c>
      <c r="S11" s="16"/>
      <c r="T11" s="16"/>
      <c r="U11" s="16"/>
      <c r="V11" s="16"/>
      <c r="W11" s="16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5.95" customHeight="1">
      <c r="A12" s="7" t="s">
        <v>49</v>
      </c>
      <c r="B12" s="7" t="s">
        <v>102</v>
      </c>
      <c r="C12" s="15" t="str">
        <f t="shared" si="5"/>
        <v>7,4</v>
      </c>
      <c r="D12" s="15" t="str">
        <f t="shared" si="6"/>
        <v>25,0</v>
      </c>
      <c r="E12" s="15" t="str">
        <f t="shared" si="7"/>
        <v>0,0</v>
      </c>
      <c r="F12" s="15" t="str">
        <f t="shared" si="8"/>
        <v>0,0</v>
      </c>
      <c r="G12" s="15" t="str">
        <f t="shared" si="9"/>
        <v>1,50</v>
      </c>
      <c r="H12" s="8"/>
      <c r="I12" s="9">
        <v>7</v>
      </c>
      <c r="J12" s="9">
        <v>25</v>
      </c>
      <c r="K12" s="9">
        <v>0</v>
      </c>
      <c r="L12" s="9">
        <v>0</v>
      </c>
      <c r="M12" s="9">
        <v>1</v>
      </c>
      <c r="N12" s="16">
        <v>4</v>
      </c>
      <c r="O12" s="16">
        <v>0</v>
      </c>
      <c r="P12" s="16">
        <v>0</v>
      </c>
      <c r="Q12" s="16">
        <v>0</v>
      </c>
      <c r="R12" s="16">
        <v>50</v>
      </c>
      <c r="S12" s="16"/>
      <c r="T12" s="16"/>
      <c r="U12" s="16"/>
      <c r="V12" s="16"/>
      <c r="W12" s="16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5.95" customHeight="1">
      <c r="A13" s="7" t="s">
        <v>291</v>
      </c>
      <c r="B13" s="7" t="s">
        <v>107</v>
      </c>
      <c r="C13" s="15" t="str">
        <f t="shared" si="5"/>
        <v>6,4</v>
      </c>
      <c r="D13" s="15" t="str">
        <f t="shared" si="6"/>
        <v>1,0</v>
      </c>
      <c r="E13" s="15" t="str">
        <f t="shared" si="7"/>
        <v>0,0</v>
      </c>
      <c r="F13" s="15" t="str">
        <f t="shared" si="8"/>
        <v>5,0</v>
      </c>
      <c r="G13" s="15" t="str">
        <f t="shared" si="9"/>
        <v>5,50</v>
      </c>
      <c r="H13" s="8"/>
      <c r="I13" s="9">
        <v>6</v>
      </c>
      <c r="J13" s="9">
        <v>1</v>
      </c>
      <c r="K13" s="9">
        <v>0</v>
      </c>
      <c r="L13" s="9">
        <v>5</v>
      </c>
      <c r="M13" s="9">
        <v>5</v>
      </c>
      <c r="N13" s="16">
        <v>4</v>
      </c>
      <c r="O13" s="16">
        <v>0</v>
      </c>
      <c r="P13" s="16">
        <v>0</v>
      </c>
      <c r="Q13" s="16">
        <v>0</v>
      </c>
      <c r="R13" s="16">
        <v>50</v>
      </c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5.95" customHeight="1">
      <c r="A14" s="7" t="s">
        <v>292</v>
      </c>
      <c r="B14" s="7" t="s">
        <v>112</v>
      </c>
      <c r="C14" s="15" t="str">
        <f t="shared" si="5"/>
        <v>7,4</v>
      </c>
      <c r="D14" s="15" t="str">
        <f t="shared" si="6"/>
        <v>26,0</v>
      </c>
      <c r="E14" s="15" t="str">
        <f t="shared" si="7"/>
        <v>0,0</v>
      </c>
      <c r="F14" s="15" t="str">
        <f t="shared" si="8"/>
        <v>0,0</v>
      </c>
      <c r="G14" s="15" t="str">
        <f t="shared" si="9"/>
        <v>1,100</v>
      </c>
      <c r="H14" s="8"/>
      <c r="I14" s="9">
        <v>7</v>
      </c>
      <c r="J14" s="9">
        <v>26</v>
      </c>
      <c r="K14" s="9">
        <v>0</v>
      </c>
      <c r="L14" s="9">
        <v>0</v>
      </c>
      <c r="M14" s="17">
        <v>1</v>
      </c>
      <c r="N14" s="16">
        <v>4</v>
      </c>
      <c r="O14" s="16">
        <v>0</v>
      </c>
      <c r="P14" s="16">
        <v>0</v>
      </c>
      <c r="Q14" s="16">
        <v>0</v>
      </c>
      <c r="R14" s="16">
        <f>R4+50</f>
        <v>100</v>
      </c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5.95" customHeight="1">
      <c r="A15" s="7" t="s">
        <v>293</v>
      </c>
      <c r="B15" s="7" t="s">
        <v>117</v>
      </c>
      <c r="C15" s="15" t="str">
        <f t="shared" si="5"/>
        <v>6,4</v>
      </c>
      <c r="D15" s="15" t="str">
        <f t="shared" si="6"/>
        <v>1,0</v>
      </c>
      <c r="E15" s="15" t="str">
        <f t="shared" si="7"/>
        <v>0,0</v>
      </c>
      <c r="F15" s="15" t="str">
        <f t="shared" si="8"/>
        <v>5,0</v>
      </c>
      <c r="G15" s="15" t="str">
        <f t="shared" si="9"/>
        <v>10,100</v>
      </c>
      <c r="H15" s="8"/>
      <c r="I15" s="9">
        <v>6</v>
      </c>
      <c r="J15" s="9">
        <v>1</v>
      </c>
      <c r="K15" s="9">
        <v>0</v>
      </c>
      <c r="L15" s="9">
        <v>5</v>
      </c>
      <c r="M15" s="9">
        <v>10</v>
      </c>
      <c r="N15" s="16">
        <v>4</v>
      </c>
      <c r="O15" s="16">
        <v>0</v>
      </c>
      <c r="P15" s="16">
        <v>0</v>
      </c>
      <c r="Q15" s="16">
        <v>0</v>
      </c>
      <c r="R15" s="16">
        <f t="shared" ref="R15:R63" si="10">R5+50</f>
        <v>100</v>
      </c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5.95" customHeight="1">
      <c r="A16" s="7" t="s">
        <v>294</v>
      </c>
      <c r="B16" s="7" t="s">
        <v>122</v>
      </c>
      <c r="C16" s="15" t="str">
        <f t="shared" si="5"/>
        <v>7,4</v>
      </c>
      <c r="D16" s="15" t="str">
        <f t="shared" si="6"/>
        <v>27,0</v>
      </c>
      <c r="E16" s="15" t="str">
        <f t="shared" si="7"/>
        <v>0,0</v>
      </c>
      <c r="F16" s="15" t="str">
        <f t="shared" si="8"/>
        <v>0,0</v>
      </c>
      <c r="G16" s="15" t="str">
        <f t="shared" si="9"/>
        <v>1,100</v>
      </c>
      <c r="H16" s="8"/>
      <c r="I16" s="9">
        <v>7</v>
      </c>
      <c r="J16" s="9">
        <v>27</v>
      </c>
      <c r="K16" s="9">
        <v>0</v>
      </c>
      <c r="L16" s="9">
        <v>0</v>
      </c>
      <c r="M16" s="9">
        <v>1</v>
      </c>
      <c r="N16" s="16">
        <v>4</v>
      </c>
      <c r="O16" s="16">
        <v>0</v>
      </c>
      <c r="P16" s="16">
        <v>0</v>
      </c>
      <c r="Q16" s="16">
        <v>0</v>
      </c>
      <c r="R16" s="16">
        <f t="shared" si="10"/>
        <v>100</v>
      </c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5.95" customHeight="1">
      <c r="A17" s="7" t="s">
        <v>295</v>
      </c>
      <c r="B17" s="7" t="s">
        <v>127</v>
      </c>
      <c r="C17" s="15" t="str">
        <f t="shared" si="5"/>
        <v>6,4</v>
      </c>
      <c r="D17" s="15" t="str">
        <f t="shared" si="6"/>
        <v>1,0</v>
      </c>
      <c r="E17" s="15" t="str">
        <f t="shared" si="7"/>
        <v>0,0</v>
      </c>
      <c r="F17" s="15" t="str">
        <f t="shared" si="8"/>
        <v>5,0</v>
      </c>
      <c r="G17" s="15" t="str">
        <f t="shared" si="9"/>
        <v>10,100</v>
      </c>
      <c r="H17" s="8"/>
      <c r="I17" s="9">
        <v>6</v>
      </c>
      <c r="J17" s="9">
        <v>1</v>
      </c>
      <c r="K17" s="9">
        <v>0</v>
      </c>
      <c r="L17" s="9">
        <v>5</v>
      </c>
      <c r="M17" s="9">
        <v>10</v>
      </c>
      <c r="N17" s="16">
        <v>4</v>
      </c>
      <c r="O17" s="16">
        <v>0</v>
      </c>
      <c r="P17" s="16">
        <v>0</v>
      </c>
      <c r="Q17" s="16">
        <v>0</v>
      </c>
      <c r="R17" s="16">
        <f t="shared" si="10"/>
        <v>100</v>
      </c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13.5" customHeight="1">
      <c r="A18" s="7" t="s">
        <v>242</v>
      </c>
      <c r="B18" s="7" t="s">
        <v>132</v>
      </c>
      <c r="C18" s="15" t="str">
        <f t="shared" si="5"/>
        <v>7,4</v>
      </c>
      <c r="D18" s="15" t="str">
        <f t="shared" si="6"/>
        <v>28,0</v>
      </c>
      <c r="E18" s="15" t="str">
        <f t="shared" si="7"/>
        <v>0,0</v>
      </c>
      <c r="F18" s="15" t="str">
        <f t="shared" si="8"/>
        <v>0,0</v>
      </c>
      <c r="G18" s="15" t="str">
        <f t="shared" si="9"/>
        <v>1,100</v>
      </c>
      <c r="H18" s="8"/>
      <c r="I18" s="9">
        <v>7</v>
      </c>
      <c r="J18" s="9">
        <v>28</v>
      </c>
      <c r="K18" s="9">
        <v>0</v>
      </c>
      <c r="L18" s="9">
        <v>0</v>
      </c>
      <c r="M18" s="9">
        <v>1</v>
      </c>
      <c r="N18" s="16">
        <v>4</v>
      </c>
      <c r="O18" s="16">
        <v>0</v>
      </c>
      <c r="P18" s="16">
        <v>0</v>
      </c>
      <c r="Q18" s="16">
        <v>0</v>
      </c>
      <c r="R18" s="16">
        <f t="shared" si="10"/>
        <v>100</v>
      </c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3.5" customHeight="1">
      <c r="A19" s="7" t="s">
        <v>50</v>
      </c>
      <c r="B19" s="7" t="s">
        <v>137</v>
      </c>
      <c r="C19" s="15" t="str">
        <f t="shared" si="5"/>
        <v>6,4</v>
      </c>
      <c r="D19" s="15" t="str">
        <f t="shared" si="6"/>
        <v>1,0</v>
      </c>
      <c r="E19" s="15" t="str">
        <f t="shared" si="7"/>
        <v>0,0</v>
      </c>
      <c r="F19" s="15" t="str">
        <f t="shared" si="8"/>
        <v>5,0</v>
      </c>
      <c r="G19" s="15" t="str">
        <f t="shared" si="9"/>
        <v>10,100</v>
      </c>
      <c r="H19" s="8"/>
      <c r="I19" s="9">
        <v>6</v>
      </c>
      <c r="J19" s="9">
        <v>1</v>
      </c>
      <c r="K19" s="9">
        <v>0</v>
      </c>
      <c r="L19" s="9">
        <v>5</v>
      </c>
      <c r="M19" s="9">
        <v>10</v>
      </c>
      <c r="N19" s="16">
        <v>4</v>
      </c>
      <c r="O19" s="16">
        <v>0</v>
      </c>
      <c r="P19" s="16">
        <v>0</v>
      </c>
      <c r="Q19" s="16">
        <v>0</v>
      </c>
      <c r="R19" s="16">
        <f t="shared" si="10"/>
        <v>100</v>
      </c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3.5" customHeight="1">
      <c r="A20" s="7" t="s">
        <v>51</v>
      </c>
      <c r="B20" s="7" t="s">
        <v>142</v>
      </c>
      <c r="C20" s="15" t="str">
        <f t="shared" si="5"/>
        <v>7,4</v>
      </c>
      <c r="D20" s="15" t="str">
        <f t="shared" si="6"/>
        <v>29,0</v>
      </c>
      <c r="E20" s="15" t="str">
        <f t="shared" si="7"/>
        <v>0,0</v>
      </c>
      <c r="F20" s="15" t="str">
        <f t="shared" si="8"/>
        <v>0,0</v>
      </c>
      <c r="G20" s="15" t="str">
        <f t="shared" si="9"/>
        <v>1,100</v>
      </c>
      <c r="H20" s="8"/>
      <c r="I20" s="9">
        <v>7</v>
      </c>
      <c r="J20" s="9">
        <v>29</v>
      </c>
      <c r="K20" s="9">
        <v>0</v>
      </c>
      <c r="L20" s="9">
        <v>0</v>
      </c>
      <c r="M20" s="9">
        <v>1</v>
      </c>
      <c r="N20" s="16">
        <v>4</v>
      </c>
      <c r="O20" s="16">
        <v>0</v>
      </c>
      <c r="P20" s="16">
        <v>0</v>
      </c>
      <c r="Q20" s="16">
        <v>0</v>
      </c>
      <c r="R20" s="16">
        <f t="shared" si="10"/>
        <v>100</v>
      </c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3.5" customHeight="1">
      <c r="A21" s="7" t="s">
        <v>52</v>
      </c>
      <c r="B21" s="7" t="s">
        <v>147</v>
      </c>
      <c r="C21" s="15" t="str">
        <f t="shared" si="5"/>
        <v>6,4</v>
      </c>
      <c r="D21" s="15" t="str">
        <f t="shared" si="6"/>
        <v>1,0</v>
      </c>
      <c r="E21" s="15" t="str">
        <f t="shared" si="7"/>
        <v>0,0</v>
      </c>
      <c r="F21" s="15" t="str">
        <f t="shared" si="8"/>
        <v>5,0</v>
      </c>
      <c r="G21" s="15" t="str">
        <f t="shared" si="9"/>
        <v>10,100</v>
      </c>
      <c r="H21" s="8"/>
      <c r="I21" s="9">
        <v>6</v>
      </c>
      <c r="J21" s="9">
        <v>1</v>
      </c>
      <c r="K21" s="9">
        <v>0</v>
      </c>
      <c r="L21" s="9">
        <v>5</v>
      </c>
      <c r="M21" s="9">
        <v>10</v>
      </c>
      <c r="N21" s="16">
        <v>4</v>
      </c>
      <c r="O21" s="16">
        <v>0</v>
      </c>
      <c r="P21" s="16">
        <v>0</v>
      </c>
      <c r="Q21" s="16">
        <v>0</v>
      </c>
      <c r="R21" s="16">
        <f t="shared" si="10"/>
        <v>100</v>
      </c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3.5" customHeight="1">
      <c r="A22" s="7" t="s">
        <v>53</v>
      </c>
      <c r="B22" s="7" t="s">
        <v>152</v>
      </c>
      <c r="C22" s="15" t="str">
        <f t="shared" si="5"/>
        <v>7,4</v>
      </c>
      <c r="D22" s="15" t="str">
        <f t="shared" si="6"/>
        <v>30,0</v>
      </c>
      <c r="E22" s="15" t="str">
        <f t="shared" si="7"/>
        <v>0,0</v>
      </c>
      <c r="F22" s="15" t="str">
        <f t="shared" si="8"/>
        <v>0,0</v>
      </c>
      <c r="G22" s="15" t="str">
        <f t="shared" si="9"/>
        <v>1,100</v>
      </c>
      <c r="H22" s="8"/>
      <c r="I22" s="9">
        <v>7</v>
      </c>
      <c r="J22" s="9">
        <v>30</v>
      </c>
      <c r="K22" s="9">
        <v>0</v>
      </c>
      <c r="L22" s="9">
        <v>0</v>
      </c>
      <c r="M22" s="9">
        <v>1</v>
      </c>
      <c r="N22" s="16">
        <v>4</v>
      </c>
      <c r="O22" s="16">
        <v>0</v>
      </c>
      <c r="P22" s="16">
        <v>0</v>
      </c>
      <c r="Q22" s="16">
        <v>0</v>
      </c>
      <c r="R22" s="16">
        <f t="shared" si="10"/>
        <v>100</v>
      </c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3.5" customHeight="1">
      <c r="A23" s="7" t="s">
        <v>54</v>
      </c>
      <c r="B23" s="7" t="s">
        <v>157</v>
      </c>
      <c r="C23" s="15" t="str">
        <f t="shared" si="5"/>
        <v>6,4</v>
      </c>
      <c r="D23" s="15" t="str">
        <f t="shared" si="6"/>
        <v>1,0</v>
      </c>
      <c r="E23" s="15" t="str">
        <f t="shared" si="7"/>
        <v>0,0</v>
      </c>
      <c r="F23" s="15" t="str">
        <f t="shared" si="8"/>
        <v>5,0</v>
      </c>
      <c r="G23" s="15" t="str">
        <f t="shared" si="9"/>
        <v>10,100</v>
      </c>
      <c r="H23" s="8"/>
      <c r="I23" s="9">
        <v>6</v>
      </c>
      <c r="J23" s="9">
        <v>1</v>
      </c>
      <c r="K23" s="9">
        <v>0</v>
      </c>
      <c r="L23" s="9">
        <v>5</v>
      </c>
      <c r="M23" s="9">
        <v>10</v>
      </c>
      <c r="N23" s="16">
        <v>4</v>
      </c>
      <c r="O23" s="16">
        <v>0</v>
      </c>
      <c r="P23" s="16">
        <v>0</v>
      </c>
      <c r="Q23" s="16">
        <v>0</v>
      </c>
      <c r="R23" s="16">
        <f t="shared" si="10"/>
        <v>100</v>
      </c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3.5" customHeight="1">
      <c r="A24" s="7" t="s">
        <v>55</v>
      </c>
      <c r="B24" s="7" t="s">
        <v>162</v>
      </c>
      <c r="C24" s="15" t="str">
        <f t="shared" si="5"/>
        <v>7,4</v>
      </c>
      <c r="D24" s="15" t="str">
        <f t="shared" si="6"/>
        <v>31,0</v>
      </c>
      <c r="E24" s="15" t="str">
        <f t="shared" si="7"/>
        <v>0,0</v>
      </c>
      <c r="F24" s="15" t="str">
        <f t="shared" si="8"/>
        <v>0,0</v>
      </c>
      <c r="G24" s="15" t="str">
        <f t="shared" si="9"/>
        <v>1,150</v>
      </c>
      <c r="H24" s="8"/>
      <c r="I24" s="9">
        <v>7</v>
      </c>
      <c r="J24" s="9">
        <v>31</v>
      </c>
      <c r="K24" s="9">
        <v>0</v>
      </c>
      <c r="L24" s="9">
        <v>0</v>
      </c>
      <c r="M24" s="17">
        <v>1</v>
      </c>
      <c r="N24" s="16">
        <v>4</v>
      </c>
      <c r="O24" s="16">
        <v>0</v>
      </c>
      <c r="P24" s="16">
        <v>0</v>
      </c>
      <c r="Q24" s="16">
        <v>0</v>
      </c>
      <c r="R24" s="16">
        <f t="shared" si="10"/>
        <v>150</v>
      </c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3.5" customHeight="1">
      <c r="A25" s="7" t="s">
        <v>56</v>
      </c>
      <c r="B25" s="7" t="s">
        <v>167</v>
      </c>
      <c r="C25" s="15" t="str">
        <f t="shared" si="5"/>
        <v>6,4</v>
      </c>
      <c r="D25" s="15" t="str">
        <f t="shared" si="6"/>
        <v>1,0</v>
      </c>
      <c r="E25" s="15" t="str">
        <f t="shared" si="7"/>
        <v>0,0</v>
      </c>
      <c r="F25" s="15" t="str">
        <f t="shared" si="8"/>
        <v>5,0</v>
      </c>
      <c r="G25" s="15" t="str">
        <f t="shared" si="9"/>
        <v>15,150</v>
      </c>
      <c r="H25" s="8"/>
      <c r="I25" s="9">
        <v>6</v>
      </c>
      <c r="J25" s="9">
        <v>1</v>
      </c>
      <c r="K25" s="9">
        <v>0</v>
      </c>
      <c r="L25" s="9">
        <v>5</v>
      </c>
      <c r="M25" s="9">
        <v>15</v>
      </c>
      <c r="N25" s="16">
        <v>4</v>
      </c>
      <c r="O25" s="16">
        <v>0</v>
      </c>
      <c r="P25" s="16">
        <v>0</v>
      </c>
      <c r="Q25" s="16">
        <v>0</v>
      </c>
      <c r="R25" s="16">
        <f t="shared" si="10"/>
        <v>150</v>
      </c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3.5" customHeight="1">
      <c r="A26" s="7" t="s">
        <v>57</v>
      </c>
      <c r="B26" s="7" t="s">
        <v>172</v>
      </c>
      <c r="C26" s="15" t="str">
        <f t="shared" si="5"/>
        <v>7,4</v>
      </c>
      <c r="D26" s="15" t="str">
        <f t="shared" si="6"/>
        <v>32,0</v>
      </c>
      <c r="E26" s="15" t="str">
        <f t="shared" si="7"/>
        <v>0,0</v>
      </c>
      <c r="F26" s="15" t="str">
        <f t="shared" si="8"/>
        <v>0,0</v>
      </c>
      <c r="G26" s="15" t="str">
        <f t="shared" si="9"/>
        <v>1,150</v>
      </c>
      <c r="H26" s="8"/>
      <c r="I26" s="9">
        <v>7</v>
      </c>
      <c r="J26" s="9">
        <v>32</v>
      </c>
      <c r="K26" s="9">
        <v>0</v>
      </c>
      <c r="L26" s="9">
        <v>0</v>
      </c>
      <c r="M26" s="9">
        <v>1</v>
      </c>
      <c r="N26" s="16">
        <v>4</v>
      </c>
      <c r="O26" s="16">
        <v>0</v>
      </c>
      <c r="P26" s="16">
        <v>0</v>
      </c>
      <c r="Q26" s="16">
        <v>0</v>
      </c>
      <c r="R26" s="16">
        <f t="shared" si="10"/>
        <v>150</v>
      </c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3.5" customHeight="1">
      <c r="A27" s="7" t="s">
        <v>58</v>
      </c>
      <c r="B27" s="7" t="s">
        <v>177</v>
      </c>
      <c r="C27" s="15" t="str">
        <f t="shared" si="5"/>
        <v>6,4</v>
      </c>
      <c r="D27" s="15" t="str">
        <f t="shared" si="6"/>
        <v>1,0</v>
      </c>
      <c r="E27" s="15" t="str">
        <f t="shared" si="7"/>
        <v>0,0</v>
      </c>
      <c r="F27" s="15" t="str">
        <f t="shared" si="8"/>
        <v>5,0</v>
      </c>
      <c r="G27" s="15" t="str">
        <f t="shared" si="9"/>
        <v>15,150</v>
      </c>
      <c r="H27" s="8"/>
      <c r="I27" s="9">
        <v>6</v>
      </c>
      <c r="J27" s="9">
        <v>1</v>
      </c>
      <c r="K27" s="9">
        <v>0</v>
      </c>
      <c r="L27" s="9">
        <v>5</v>
      </c>
      <c r="M27" s="9">
        <v>15</v>
      </c>
      <c r="N27" s="16">
        <v>4</v>
      </c>
      <c r="O27" s="16">
        <v>0</v>
      </c>
      <c r="P27" s="16">
        <v>0</v>
      </c>
      <c r="Q27" s="16">
        <v>0</v>
      </c>
      <c r="R27" s="16">
        <f t="shared" si="10"/>
        <v>150</v>
      </c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3.5" customHeight="1">
      <c r="A28" s="7" t="s">
        <v>59</v>
      </c>
      <c r="B28" s="7" t="s">
        <v>178</v>
      </c>
      <c r="C28" s="15" t="str">
        <f t="shared" si="5"/>
        <v>7,4</v>
      </c>
      <c r="D28" s="15" t="str">
        <f t="shared" si="6"/>
        <v>33,0</v>
      </c>
      <c r="E28" s="15" t="str">
        <f t="shared" si="7"/>
        <v>0,0</v>
      </c>
      <c r="F28" s="15" t="str">
        <f t="shared" si="8"/>
        <v>0,0</v>
      </c>
      <c r="G28" s="15" t="str">
        <f t="shared" si="9"/>
        <v>1,150</v>
      </c>
      <c r="H28" s="8"/>
      <c r="I28" s="9">
        <v>7</v>
      </c>
      <c r="J28" s="9">
        <v>33</v>
      </c>
      <c r="K28" s="9">
        <v>0</v>
      </c>
      <c r="L28" s="9">
        <v>0</v>
      </c>
      <c r="M28" s="9">
        <v>1</v>
      </c>
      <c r="N28" s="16">
        <v>4</v>
      </c>
      <c r="O28" s="16">
        <v>0</v>
      </c>
      <c r="P28" s="16">
        <v>0</v>
      </c>
      <c r="Q28" s="16">
        <v>0</v>
      </c>
      <c r="R28" s="16">
        <f t="shared" si="10"/>
        <v>150</v>
      </c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3.5" customHeight="1">
      <c r="A29" s="7" t="s">
        <v>60</v>
      </c>
      <c r="B29" s="7" t="s">
        <v>179</v>
      </c>
      <c r="C29" s="15" t="str">
        <f t="shared" si="5"/>
        <v>6,4</v>
      </c>
      <c r="D29" s="15" t="str">
        <f t="shared" si="6"/>
        <v>1,0</v>
      </c>
      <c r="E29" s="15" t="str">
        <f t="shared" si="7"/>
        <v>0,0</v>
      </c>
      <c r="F29" s="15" t="str">
        <f t="shared" si="8"/>
        <v>5,0</v>
      </c>
      <c r="G29" s="15" t="str">
        <f t="shared" si="9"/>
        <v>15,150</v>
      </c>
      <c r="H29" s="8"/>
      <c r="I29" s="9">
        <v>6</v>
      </c>
      <c r="J29" s="9">
        <v>1</v>
      </c>
      <c r="K29" s="9">
        <v>0</v>
      </c>
      <c r="L29" s="9">
        <v>5</v>
      </c>
      <c r="M29" s="9">
        <v>15</v>
      </c>
      <c r="N29" s="16">
        <v>4</v>
      </c>
      <c r="O29" s="16">
        <v>0</v>
      </c>
      <c r="P29" s="16">
        <v>0</v>
      </c>
      <c r="Q29" s="16">
        <v>0</v>
      </c>
      <c r="R29" s="16">
        <f t="shared" si="10"/>
        <v>150</v>
      </c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3.5" customHeight="1">
      <c r="A30" s="7" t="s">
        <v>61</v>
      </c>
      <c r="B30" s="7" t="s">
        <v>180</v>
      </c>
      <c r="C30" s="15" t="str">
        <f t="shared" si="5"/>
        <v>7,4</v>
      </c>
      <c r="D30" s="15" t="str">
        <f t="shared" si="6"/>
        <v>34,0</v>
      </c>
      <c r="E30" s="15" t="str">
        <f t="shared" si="7"/>
        <v>0,0</v>
      </c>
      <c r="F30" s="15" t="str">
        <f t="shared" si="8"/>
        <v>0,0</v>
      </c>
      <c r="G30" s="15" t="str">
        <f t="shared" si="9"/>
        <v>1,150</v>
      </c>
      <c r="H30" s="8"/>
      <c r="I30" s="9">
        <v>7</v>
      </c>
      <c r="J30" s="9">
        <v>34</v>
      </c>
      <c r="K30" s="9">
        <v>0</v>
      </c>
      <c r="L30" s="9">
        <v>0</v>
      </c>
      <c r="M30" s="9">
        <v>1</v>
      </c>
      <c r="N30" s="16">
        <v>4</v>
      </c>
      <c r="O30" s="16">
        <v>0</v>
      </c>
      <c r="P30" s="16">
        <v>0</v>
      </c>
      <c r="Q30" s="16">
        <v>0</v>
      </c>
      <c r="R30" s="16">
        <f t="shared" si="10"/>
        <v>150</v>
      </c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3.5" customHeight="1">
      <c r="A31" s="7" t="s">
        <v>62</v>
      </c>
      <c r="B31" s="7" t="s">
        <v>181</v>
      </c>
      <c r="C31" s="15" t="str">
        <f t="shared" si="5"/>
        <v>6,4</v>
      </c>
      <c r="D31" s="15" t="str">
        <f t="shared" si="6"/>
        <v>1,0</v>
      </c>
      <c r="E31" s="15" t="str">
        <f t="shared" si="7"/>
        <v>0,0</v>
      </c>
      <c r="F31" s="15" t="str">
        <f t="shared" si="8"/>
        <v>5,0</v>
      </c>
      <c r="G31" s="15" t="str">
        <f t="shared" si="9"/>
        <v>15,150</v>
      </c>
      <c r="H31" s="8"/>
      <c r="I31" s="9">
        <v>6</v>
      </c>
      <c r="J31" s="9">
        <v>1</v>
      </c>
      <c r="K31" s="9">
        <v>0</v>
      </c>
      <c r="L31" s="9">
        <v>5</v>
      </c>
      <c r="M31" s="9">
        <v>15</v>
      </c>
      <c r="N31" s="16">
        <v>4</v>
      </c>
      <c r="O31" s="16">
        <v>0</v>
      </c>
      <c r="P31" s="16">
        <v>0</v>
      </c>
      <c r="Q31" s="16">
        <v>0</v>
      </c>
      <c r="R31" s="16">
        <f t="shared" si="10"/>
        <v>150</v>
      </c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3.5" customHeight="1">
      <c r="A32" s="7" t="s">
        <v>63</v>
      </c>
      <c r="B32" s="7" t="s">
        <v>182</v>
      </c>
      <c r="C32" s="15" t="str">
        <f t="shared" si="5"/>
        <v>7,4</v>
      </c>
      <c r="D32" s="15" t="str">
        <f t="shared" si="6"/>
        <v>35,0</v>
      </c>
      <c r="E32" s="15" t="str">
        <f t="shared" si="7"/>
        <v>0,0</v>
      </c>
      <c r="F32" s="15" t="str">
        <f t="shared" si="8"/>
        <v>0,0</v>
      </c>
      <c r="G32" s="15" t="str">
        <f t="shared" si="9"/>
        <v>1,150</v>
      </c>
      <c r="H32" s="8"/>
      <c r="I32" s="9">
        <v>7</v>
      </c>
      <c r="J32" s="9">
        <v>35</v>
      </c>
      <c r="K32" s="9">
        <v>0</v>
      </c>
      <c r="L32" s="9">
        <v>0</v>
      </c>
      <c r="M32" s="9">
        <v>1</v>
      </c>
      <c r="N32" s="16">
        <v>4</v>
      </c>
      <c r="O32" s="16">
        <v>0</v>
      </c>
      <c r="P32" s="16">
        <v>0</v>
      </c>
      <c r="Q32" s="16">
        <v>0</v>
      </c>
      <c r="R32" s="16">
        <f t="shared" si="10"/>
        <v>150</v>
      </c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3.5" customHeight="1">
      <c r="A33" s="7" t="s">
        <v>64</v>
      </c>
      <c r="B33" s="7" t="s">
        <v>183</v>
      </c>
      <c r="C33" s="15" t="str">
        <f t="shared" si="5"/>
        <v>6,4</v>
      </c>
      <c r="D33" s="15" t="str">
        <f t="shared" si="6"/>
        <v>1,0</v>
      </c>
      <c r="E33" s="15" t="str">
        <f t="shared" si="7"/>
        <v>0,0</v>
      </c>
      <c r="F33" s="15" t="str">
        <f t="shared" si="8"/>
        <v>5,0</v>
      </c>
      <c r="G33" s="15" t="str">
        <f t="shared" si="9"/>
        <v>15,150</v>
      </c>
      <c r="H33" s="8"/>
      <c r="I33" s="9">
        <v>6</v>
      </c>
      <c r="J33" s="9">
        <v>1</v>
      </c>
      <c r="K33" s="9">
        <v>0</v>
      </c>
      <c r="L33" s="9">
        <v>5</v>
      </c>
      <c r="M33" s="9">
        <v>15</v>
      </c>
      <c r="N33" s="16">
        <v>4</v>
      </c>
      <c r="O33" s="16">
        <v>0</v>
      </c>
      <c r="P33" s="16">
        <v>0</v>
      </c>
      <c r="Q33" s="16">
        <v>0</v>
      </c>
      <c r="R33" s="16">
        <f t="shared" si="10"/>
        <v>150</v>
      </c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3.5" customHeight="1">
      <c r="A34" s="7" t="s">
        <v>65</v>
      </c>
      <c r="B34" s="7" t="s">
        <v>184</v>
      </c>
      <c r="C34" s="15" t="str">
        <f t="shared" si="5"/>
        <v>7,4</v>
      </c>
      <c r="D34" s="15" t="str">
        <f t="shared" si="6"/>
        <v>36,0</v>
      </c>
      <c r="E34" s="15" t="str">
        <f t="shared" si="7"/>
        <v>0,0</v>
      </c>
      <c r="F34" s="15" t="str">
        <f t="shared" si="8"/>
        <v>0,0</v>
      </c>
      <c r="G34" s="15" t="str">
        <f t="shared" si="9"/>
        <v>1,200</v>
      </c>
      <c r="H34" s="8"/>
      <c r="I34" s="9">
        <v>7</v>
      </c>
      <c r="J34" s="9">
        <v>36</v>
      </c>
      <c r="K34" s="9">
        <v>0</v>
      </c>
      <c r="L34" s="9">
        <v>0</v>
      </c>
      <c r="M34" s="17">
        <v>1</v>
      </c>
      <c r="N34" s="16">
        <v>4</v>
      </c>
      <c r="O34" s="16">
        <v>0</v>
      </c>
      <c r="P34" s="16">
        <v>0</v>
      </c>
      <c r="Q34" s="16">
        <v>0</v>
      </c>
      <c r="R34" s="16">
        <f t="shared" si="10"/>
        <v>200</v>
      </c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3.5" customHeight="1">
      <c r="A35" s="7" t="s">
        <v>66</v>
      </c>
      <c r="B35" s="7" t="s">
        <v>185</v>
      </c>
      <c r="C35" s="15" t="str">
        <f t="shared" si="5"/>
        <v>6,4</v>
      </c>
      <c r="D35" s="15" t="str">
        <f t="shared" si="6"/>
        <v>1,0</v>
      </c>
      <c r="E35" s="15" t="str">
        <f t="shared" si="7"/>
        <v>0,0</v>
      </c>
      <c r="F35" s="15" t="str">
        <f t="shared" si="8"/>
        <v>5,0</v>
      </c>
      <c r="G35" s="15" t="str">
        <f t="shared" si="9"/>
        <v>15,200</v>
      </c>
      <c r="H35" s="8"/>
      <c r="I35" s="9">
        <v>6</v>
      </c>
      <c r="J35" s="9">
        <v>1</v>
      </c>
      <c r="K35" s="9">
        <v>0</v>
      </c>
      <c r="L35" s="9">
        <v>5</v>
      </c>
      <c r="M35" s="9">
        <v>15</v>
      </c>
      <c r="N35" s="16">
        <v>4</v>
      </c>
      <c r="O35" s="16">
        <v>0</v>
      </c>
      <c r="P35" s="16">
        <v>0</v>
      </c>
      <c r="Q35" s="16">
        <v>0</v>
      </c>
      <c r="R35" s="16">
        <f t="shared" si="10"/>
        <v>200</v>
      </c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3.5" customHeight="1">
      <c r="A36" s="7" t="s">
        <v>67</v>
      </c>
      <c r="B36" s="7" t="s">
        <v>186</v>
      </c>
      <c r="C36" s="15" t="str">
        <f t="shared" si="5"/>
        <v>7,4</v>
      </c>
      <c r="D36" s="15" t="str">
        <f t="shared" si="6"/>
        <v>37,0</v>
      </c>
      <c r="E36" s="15" t="str">
        <f t="shared" si="7"/>
        <v>0,0</v>
      </c>
      <c r="F36" s="15" t="str">
        <f t="shared" si="8"/>
        <v>0,0</v>
      </c>
      <c r="G36" s="15" t="str">
        <f t="shared" si="9"/>
        <v>1,200</v>
      </c>
      <c r="H36" s="8"/>
      <c r="I36" s="9">
        <v>7</v>
      </c>
      <c r="J36" s="9">
        <v>37</v>
      </c>
      <c r="K36" s="9">
        <v>0</v>
      </c>
      <c r="L36" s="9">
        <v>0</v>
      </c>
      <c r="M36" s="9">
        <v>1</v>
      </c>
      <c r="N36" s="16">
        <v>4</v>
      </c>
      <c r="O36" s="16">
        <v>0</v>
      </c>
      <c r="P36" s="16">
        <v>0</v>
      </c>
      <c r="Q36" s="16">
        <v>0</v>
      </c>
      <c r="R36" s="16">
        <f t="shared" si="10"/>
        <v>200</v>
      </c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3.5" customHeight="1">
      <c r="A37" s="7" t="s">
        <v>68</v>
      </c>
      <c r="B37" s="7" t="s">
        <v>187</v>
      </c>
      <c r="C37" s="15" t="str">
        <f t="shared" si="5"/>
        <v>6,4</v>
      </c>
      <c r="D37" s="15" t="str">
        <f t="shared" si="6"/>
        <v>1,0</v>
      </c>
      <c r="E37" s="15" t="str">
        <f t="shared" si="7"/>
        <v>0,0</v>
      </c>
      <c r="F37" s="15" t="str">
        <f t="shared" si="8"/>
        <v>5,0</v>
      </c>
      <c r="G37" s="15" t="str">
        <f t="shared" si="9"/>
        <v>15,200</v>
      </c>
      <c r="H37" s="8"/>
      <c r="I37" s="9">
        <v>6</v>
      </c>
      <c r="J37" s="9">
        <v>1</v>
      </c>
      <c r="K37" s="9">
        <v>0</v>
      </c>
      <c r="L37" s="9">
        <v>5</v>
      </c>
      <c r="M37" s="9">
        <v>15</v>
      </c>
      <c r="N37" s="16">
        <v>4</v>
      </c>
      <c r="O37" s="16">
        <v>0</v>
      </c>
      <c r="P37" s="16">
        <v>0</v>
      </c>
      <c r="Q37" s="16">
        <v>0</v>
      </c>
      <c r="R37" s="16">
        <f t="shared" si="10"/>
        <v>200</v>
      </c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3.5" customHeight="1">
      <c r="A38" s="7" t="s">
        <v>69</v>
      </c>
      <c r="B38" s="7" t="s">
        <v>188</v>
      </c>
      <c r="C38" s="15" t="str">
        <f t="shared" si="5"/>
        <v>7,4</v>
      </c>
      <c r="D38" s="15" t="str">
        <f t="shared" si="6"/>
        <v>38,0</v>
      </c>
      <c r="E38" s="15" t="str">
        <f t="shared" si="7"/>
        <v>0,0</v>
      </c>
      <c r="F38" s="15" t="str">
        <f t="shared" si="8"/>
        <v>0,0</v>
      </c>
      <c r="G38" s="15" t="str">
        <f t="shared" si="9"/>
        <v>1,200</v>
      </c>
      <c r="H38" s="8"/>
      <c r="I38" s="9">
        <v>7</v>
      </c>
      <c r="J38" s="9">
        <v>38</v>
      </c>
      <c r="K38" s="9">
        <v>0</v>
      </c>
      <c r="L38" s="9">
        <v>0</v>
      </c>
      <c r="M38" s="9">
        <v>1</v>
      </c>
      <c r="N38" s="16">
        <v>4</v>
      </c>
      <c r="O38" s="16">
        <v>0</v>
      </c>
      <c r="P38" s="16">
        <v>0</v>
      </c>
      <c r="Q38" s="16">
        <v>0</v>
      </c>
      <c r="R38" s="16">
        <f t="shared" si="10"/>
        <v>200</v>
      </c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3.5" customHeight="1">
      <c r="A39" s="7" t="s">
        <v>70</v>
      </c>
      <c r="B39" s="7" t="s">
        <v>189</v>
      </c>
      <c r="C39" s="15" t="str">
        <f t="shared" si="5"/>
        <v>6,4</v>
      </c>
      <c r="D39" s="15" t="str">
        <f t="shared" si="6"/>
        <v>1,0</v>
      </c>
      <c r="E39" s="15" t="str">
        <f t="shared" si="7"/>
        <v>0,0</v>
      </c>
      <c r="F39" s="15" t="str">
        <f t="shared" si="8"/>
        <v>5,0</v>
      </c>
      <c r="G39" s="15" t="str">
        <f t="shared" si="9"/>
        <v>15,200</v>
      </c>
      <c r="H39" s="8"/>
      <c r="I39" s="9">
        <v>6</v>
      </c>
      <c r="J39" s="9">
        <v>1</v>
      </c>
      <c r="K39" s="9">
        <v>0</v>
      </c>
      <c r="L39" s="9">
        <v>5</v>
      </c>
      <c r="M39" s="9">
        <v>15</v>
      </c>
      <c r="N39" s="16">
        <v>4</v>
      </c>
      <c r="O39" s="16">
        <v>0</v>
      </c>
      <c r="P39" s="16">
        <v>0</v>
      </c>
      <c r="Q39" s="16">
        <v>0</v>
      </c>
      <c r="R39" s="16">
        <f t="shared" si="10"/>
        <v>200</v>
      </c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3.5" customHeight="1">
      <c r="A40" s="7" t="s">
        <v>71</v>
      </c>
      <c r="B40" s="7" t="s">
        <v>190</v>
      </c>
      <c r="C40" s="15" t="str">
        <f t="shared" si="5"/>
        <v>7,4</v>
      </c>
      <c r="D40" s="15" t="str">
        <f t="shared" si="6"/>
        <v>39,0</v>
      </c>
      <c r="E40" s="15" t="str">
        <f t="shared" si="7"/>
        <v>0,0</v>
      </c>
      <c r="F40" s="15" t="str">
        <f t="shared" si="8"/>
        <v>0,0</v>
      </c>
      <c r="G40" s="15" t="str">
        <f t="shared" si="9"/>
        <v>1,200</v>
      </c>
      <c r="H40" s="8"/>
      <c r="I40" s="9">
        <v>7</v>
      </c>
      <c r="J40" s="9">
        <v>39</v>
      </c>
      <c r="K40" s="9">
        <v>0</v>
      </c>
      <c r="L40" s="9">
        <v>0</v>
      </c>
      <c r="M40" s="9">
        <v>1</v>
      </c>
      <c r="N40" s="16">
        <v>4</v>
      </c>
      <c r="O40" s="16">
        <v>0</v>
      </c>
      <c r="P40" s="16">
        <v>0</v>
      </c>
      <c r="Q40" s="16">
        <v>0</v>
      </c>
      <c r="R40" s="16">
        <f t="shared" si="10"/>
        <v>200</v>
      </c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3.5" customHeight="1">
      <c r="A41" s="7" t="s">
        <v>72</v>
      </c>
      <c r="B41" s="7" t="s">
        <v>191</v>
      </c>
      <c r="C41" s="15" t="str">
        <f t="shared" si="5"/>
        <v>6,4</v>
      </c>
      <c r="D41" s="15" t="str">
        <f t="shared" si="6"/>
        <v>1,0</v>
      </c>
      <c r="E41" s="15" t="str">
        <f t="shared" si="7"/>
        <v>0,0</v>
      </c>
      <c r="F41" s="15" t="str">
        <f t="shared" si="8"/>
        <v>5,0</v>
      </c>
      <c r="G41" s="15" t="str">
        <f t="shared" si="9"/>
        <v>15,200</v>
      </c>
      <c r="H41" s="8"/>
      <c r="I41" s="9">
        <v>6</v>
      </c>
      <c r="J41" s="9">
        <v>1</v>
      </c>
      <c r="K41" s="9">
        <v>0</v>
      </c>
      <c r="L41" s="9">
        <v>5</v>
      </c>
      <c r="M41" s="9">
        <v>15</v>
      </c>
      <c r="N41" s="16">
        <v>4</v>
      </c>
      <c r="O41" s="16">
        <v>0</v>
      </c>
      <c r="P41" s="16">
        <v>0</v>
      </c>
      <c r="Q41" s="16">
        <v>0</v>
      </c>
      <c r="R41" s="16">
        <f t="shared" si="10"/>
        <v>200</v>
      </c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3.5" customHeight="1">
      <c r="A42" s="7" t="s">
        <v>78</v>
      </c>
      <c r="B42" s="7" t="s">
        <v>192</v>
      </c>
      <c r="C42" s="15" t="str">
        <f t="shared" si="5"/>
        <v>7,4</v>
      </c>
      <c r="D42" s="15" t="str">
        <f t="shared" si="6"/>
        <v>40,0</v>
      </c>
      <c r="E42" s="15" t="str">
        <f t="shared" si="7"/>
        <v>0,0</v>
      </c>
      <c r="F42" s="15" t="str">
        <f t="shared" si="8"/>
        <v>0,0</v>
      </c>
      <c r="G42" s="15" t="str">
        <f t="shared" si="9"/>
        <v>1,200</v>
      </c>
      <c r="H42" s="8"/>
      <c r="I42" s="9">
        <v>7</v>
      </c>
      <c r="J42" s="9">
        <v>40</v>
      </c>
      <c r="K42" s="9">
        <v>0</v>
      </c>
      <c r="L42" s="9">
        <v>0</v>
      </c>
      <c r="M42" s="9">
        <v>1</v>
      </c>
      <c r="N42" s="16">
        <v>4</v>
      </c>
      <c r="O42" s="16">
        <v>0</v>
      </c>
      <c r="P42" s="16">
        <v>0</v>
      </c>
      <c r="Q42" s="16">
        <v>0</v>
      </c>
      <c r="R42" s="16">
        <f t="shared" si="10"/>
        <v>200</v>
      </c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3.5" customHeight="1">
      <c r="A43" s="7" t="s">
        <v>94</v>
      </c>
      <c r="B43" s="7" t="s">
        <v>193</v>
      </c>
      <c r="C43" s="15" t="str">
        <f t="shared" si="5"/>
        <v>6,4</v>
      </c>
      <c r="D43" s="15" t="str">
        <f t="shared" si="6"/>
        <v>1,0</v>
      </c>
      <c r="E43" s="15" t="str">
        <f t="shared" si="7"/>
        <v>0,0</v>
      </c>
      <c r="F43" s="15" t="str">
        <f t="shared" si="8"/>
        <v>5,0</v>
      </c>
      <c r="G43" s="15" t="str">
        <f t="shared" si="9"/>
        <v>15,200</v>
      </c>
      <c r="H43" s="8"/>
      <c r="I43" s="9">
        <v>6</v>
      </c>
      <c r="J43" s="9">
        <v>1</v>
      </c>
      <c r="K43" s="9">
        <v>0</v>
      </c>
      <c r="L43" s="9">
        <v>5</v>
      </c>
      <c r="M43" s="9">
        <v>15</v>
      </c>
      <c r="N43" s="16">
        <v>4</v>
      </c>
      <c r="O43" s="16">
        <v>0</v>
      </c>
      <c r="P43" s="16">
        <v>0</v>
      </c>
      <c r="Q43" s="16">
        <v>0</v>
      </c>
      <c r="R43" s="16">
        <f t="shared" si="10"/>
        <v>200</v>
      </c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3.5" customHeight="1">
      <c r="A44" s="7" t="s">
        <v>98</v>
      </c>
      <c r="B44" s="7" t="s">
        <v>38</v>
      </c>
      <c r="C44" s="15" t="str">
        <f t="shared" si="5"/>
        <v>7,4</v>
      </c>
      <c r="D44" s="15" t="str">
        <f t="shared" si="6"/>
        <v>41,0</v>
      </c>
      <c r="E44" s="15" t="str">
        <f t="shared" si="7"/>
        <v>0,0</v>
      </c>
      <c r="F44" s="15" t="str">
        <f t="shared" si="8"/>
        <v>0,0</v>
      </c>
      <c r="G44" s="15" t="str">
        <f t="shared" si="9"/>
        <v>1,250</v>
      </c>
      <c r="H44" s="8"/>
      <c r="I44" s="9">
        <v>7</v>
      </c>
      <c r="J44" s="9">
        <v>41</v>
      </c>
      <c r="K44" s="9">
        <v>0</v>
      </c>
      <c r="L44" s="9">
        <v>0</v>
      </c>
      <c r="M44" s="17">
        <v>1</v>
      </c>
      <c r="N44" s="16">
        <v>4</v>
      </c>
      <c r="O44" s="16">
        <v>0</v>
      </c>
      <c r="P44" s="16">
        <v>0</v>
      </c>
      <c r="Q44" s="16">
        <v>0</v>
      </c>
      <c r="R44" s="16">
        <f t="shared" si="10"/>
        <v>250</v>
      </c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3.5" customHeight="1">
      <c r="A45" s="7" t="s">
        <v>99</v>
      </c>
      <c r="B45" s="7" t="s">
        <v>39</v>
      </c>
      <c r="C45" s="15" t="str">
        <f t="shared" si="5"/>
        <v>6,4</v>
      </c>
      <c r="D45" s="15" t="str">
        <f t="shared" si="6"/>
        <v>1,0</v>
      </c>
      <c r="E45" s="15" t="str">
        <f t="shared" si="7"/>
        <v>0,0</v>
      </c>
      <c r="F45" s="15" t="str">
        <f t="shared" si="8"/>
        <v>5,0</v>
      </c>
      <c r="G45" s="15" t="str">
        <f t="shared" si="9"/>
        <v>20,250</v>
      </c>
      <c r="H45" s="8"/>
      <c r="I45" s="9">
        <v>6</v>
      </c>
      <c r="J45" s="9">
        <v>1</v>
      </c>
      <c r="K45" s="9">
        <v>0</v>
      </c>
      <c r="L45" s="9">
        <v>5</v>
      </c>
      <c r="M45" s="9">
        <v>20</v>
      </c>
      <c r="N45" s="16">
        <v>4</v>
      </c>
      <c r="O45" s="16">
        <v>0</v>
      </c>
      <c r="P45" s="16">
        <v>0</v>
      </c>
      <c r="Q45" s="16">
        <v>0</v>
      </c>
      <c r="R45" s="16">
        <f t="shared" si="10"/>
        <v>250</v>
      </c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3.5" customHeight="1">
      <c r="A46" s="7" t="s">
        <v>100</v>
      </c>
      <c r="B46" s="7" t="s">
        <v>194</v>
      </c>
      <c r="C46" s="15" t="str">
        <f t="shared" si="5"/>
        <v>7,4</v>
      </c>
      <c r="D46" s="15" t="str">
        <f t="shared" si="6"/>
        <v>42,0</v>
      </c>
      <c r="E46" s="15" t="str">
        <f t="shared" si="7"/>
        <v>0,0</v>
      </c>
      <c r="F46" s="15" t="str">
        <f t="shared" si="8"/>
        <v>0,0</v>
      </c>
      <c r="G46" s="15" t="str">
        <f t="shared" si="9"/>
        <v>1,250</v>
      </c>
      <c r="H46" s="8"/>
      <c r="I46" s="9">
        <v>7</v>
      </c>
      <c r="J46" s="9">
        <v>42</v>
      </c>
      <c r="K46" s="9">
        <v>0</v>
      </c>
      <c r="L46" s="9">
        <v>0</v>
      </c>
      <c r="M46" s="9">
        <v>1</v>
      </c>
      <c r="N46" s="16">
        <v>4</v>
      </c>
      <c r="O46" s="16">
        <v>0</v>
      </c>
      <c r="P46" s="16">
        <v>0</v>
      </c>
      <c r="Q46" s="16">
        <v>0</v>
      </c>
      <c r="R46" s="16">
        <f t="shared" si="10"/>
        <v>250</v>
      </c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3.5" customHeight="1">
      <c r="A47" s="7" t="s">
        <v>101</v>
      </c>
      <c r="B47" s="7" t="s">
        <v>195</v>
      </c>
      <c r="C47" s="15" t="str">
        <f t="shared" si="5"/>
        <v>6,4</v>
      </c>
      <c r="D47" s="15" t="str">
        <f t="shared" si="6"/>
        <v>1,0</v>
      </c>
      <c r="E47" s="15" t="str">
        <f t="shared" si="7"/>
        <v>0,0</v>
      </c>
      <c r="F47" s="15" t="str">
        <f t="shared" si="8"/>
        <v>5,0</v>
      </c>
      <c r="G47" s="15" t="str">
        <f t="shared" si="9"/>
        <v>20,250</v>
      </c>
      <c r="H47" s="8"/>
      <c r="I47" s="9">
        <v>6</v>
      </c>
      <c r="J47" s="9">
        <v>1</v>
      </c>
      <c r="K47" s="9">
        <v>0</v>
      </c>
      <c r="L47" s="9">
        <v>5</v>
      </c>
      <c r="M47" s="9">
        <v>20</v>
      </c>
      <c r="N47" s="16">
        <v>4</v>
      </c>
      <c r="O47" s="16">
        <v>0</v>
      </c>
      <c r="P47" s="16">
        <v>0</v>
      </c>
      <c r="Q47" s="16">
        <v>0</v>
      </c>
      <c r="R47" s="16">
        <f t="shared" si="10"/>
        <v>250</v>
      </c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3.5" customHeight="1">
      <c r="A48" s="7" t="s">
        <v>102</v>
      </c>
      <c r="B48" s="7" t="s">
        <v>196</v>
      </c>
      <c r="C48" s="15" t="str">
        <f t="shared" si="5"/>
        <v>7,4</v>
      </c>
      <c r="D48" s="15" t="str">
        <f t="shared" si="6"/>
        <v>43,0</v>
      </c>
      <c r="E48" s="15" t="str">
        <f t="shared" si="7"/>
        <v>0,0</v>
      </c>
      <c r="F48" s="15" t="str">
        <f t="shared" si="8"/>
        <v>0,0</v>
      </c>
      <c r="G48" s="15" t="str">
        <f t="shared" si="9"/>
        <v>1,250</v>
      </c>
      <c r="H48" s="8"/>
      <c r="I48" s="9">
        <v>7</v>
      </c>
      <c r="J48" s="9">
        <v>43</v>
      </c>
      <c r="K48" s="9">
        <v>0</v>
      </c>
      <c r="L48" s="9">
        <v>0</v>
      </c>
      <c r="M48" s="9">
        <v>1</v>
      </c>
      <c r="N48" s="16">
        <v>4</v>
      </c>
      <c r="O48" s="16">
        <v>0</v>
      </c>
      <c r="P48" s="16">
        <v>0</v>
      </c>
      <c r="Q48" s="16">
        <v>0</v>
      </c>
      <c r="R48" s="16">
        <f t="shared" si="10"/>
        <v>250</v>
      </c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3.5" customHeight="1">
      <c r="A49" s="7" t="s">
        <v>103</v>
      </c>
      <c r="B49" s="7" t="s">
        <v>197</v>
      </c>
      <c r="C49" s="15" t="str">
        <f t="shared" si="5"/>
        <v>6,4</v>
      </c>
      <c r="D49" s="15" t="str">
        <f t="shared" si="6"/>
        <v>1,0</v>
      </c>
      <c r="E49" s="15" t="str">
        <f t="shared" si="7"/>
        <v>0,0</v>
      </c>
      <c r="F49" s="15" t="str">
        <f t="shared" si="8"/>
        <v>5,0</v>
      </c>
      <c r="G49" s="15" t="str">
        <f t="shared" si="9"/>
        <v>20,250</v>
      </c>
      <c r="H49" s="8"/>
      <c r="I49" s="9">
        <v>6</v>
      </c>
      <c r="J49" s="9">
        <v>1</v>
      </c>
      <c r="K49" s="9">
        <v>0</v>
      </c>
      <c r="L49" s="9">
        <v>5</v>
      </c>
      <c r="M49" s="9">
        <v>20</v>
      </c>
      <c r="N49" s="16">
        <v>4</v>
      </c>
      <c r="O49" s="16">
        <v>0</v>
      </c>
      <c r="P49" s="16">
        <v>0</v>
      </c>
      <c r="Q49" s="16">
        <v>0</v>
      </c>
      <c r="R49" s="16">
        <f t="shared" si="10"/>
        <v>250</v>
      </c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3.5" customHeight="1">
      <c r="A50" s="7" t="s">
        <v>104</v>
      </c>
      <c r="B50" s="7" t="s">
        <v>198</v>
      </c>
      <c r="C50" s="15" t="str">
        <f t="shared" si="5"/>
        <v>7,4</v>
      </c>
      <c r="D50" s="15" t="str">
        <f t="shared" si="6"/>
        <v>44,0</v>
      </c>
      <c r="E50" s="15" t="str">
        <f t="shared" si="7"/>
        <v>0,0</v>
      </c>
      <c r="F50" s="15" t="str">
        <f t="shared" si="8"/>
        <v>0,0</v>
      </c>
      <c r="G50" s="15" t="str">
        <f t="shared" si="9"/>
        <v>1,250</v>
      </c>
      <c r="H50" s="8"/>
      <c r="I50" s="9">
        <v>7</v>
      </c>
      <c r="J50" s="9">
        <v>44</v>
      </c>
      <c r="K50" s="9">
        <v>0</v>
      </c>
      <c r="L50" s="9">
        <v>0</v>
      </c>
      <c r="M50" s="9">
        <v>1</v>
      </c>
      <c r="N50" s="16">
        <v>4</v>
      </c>
      <c r="O50" s="16">
        <v>0</v>
      </c>
      <c r="P50" s="16">
        <v>0</v>
      </c>
      <c r="Q50" s="16">
        <v>0</v>
      </c>
      <c r="R50" s="16">
        <f t="shared" si="10"/>
        <v>250</v>
      </c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3.5" customHeight="1">
      <c r="A51" s="7" t="s">
        <v>105</v>
      </c>
      <c r="B51" s="7" t="s">
        <v>199</v>
      </c>
      <c r="C51" s="15" t="str">
        <f t="shared" si="5"/>
        <v>6,4</v>
      </c>
      <c r="D51" s="15" t="str">
        <f t="shared" si="6"/>
        <v>1,0</v>
      </c>
      <c r="E51" s="15" t="str">
        <f t="shared" si="7"/>
        <v>0,0</v>
      </c>
      <c r="F51" s="15" t="str">
        <f t="shared" si="8"/>
        <v>5,0</v>
      </c>
      <c r="G51" s="15" t="str">
        <f t="shared" si="9"/>
        <v>20,250</v>
      </c>
      <c r="H51" s="8"/>
      <c r="I51" s="9">
        <v>6</v>
      </c>
      <c r="J51" s="9">
        <v>1</v>
      </c>
      <c r="K51" s="9">
        <v>0</v>
      </c>
      <c r="L51" s="9">
        <v>5</v>
      </c>
      <c r="M51" s="9">
        <v>20</v>
      </c>
      <c r="N51" s="16">
        <v>4</v>
      </c>
      <c r="O51" s="16">
        <v>0</v>
      </c>
      <c r="P51" s="16">
        <v>0</v>
      </c>
      <c r="Q51" s="16">
        <v>0</v>
      </c>
      <c r="R51" s="16">
        <f t="shared" si="10"/>
        <v>250</v>
      </c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3.5" customHeight="1">
      <c r="A52" s="7" t="s">
        <v>106</v>
      </c>
      <c r="B52" s="7" t="s">
        <v>200</v>
      </c>
      <c r="C52" s="15" t="str">
        <f t="shared" si="5"/>
        <v>7,4</v>
      </c>
      <c r="D52" s="15" t="str">
        <f t="shared" si="6"/>
        <v>45,0</v>
      </c>
      <c r="E52" s="15" t="str">
        <f t="shared" si="7"/>
        <v>0,0</v>
      </c>
      <c r="F52" s="15" t="str">
        <f t="shared" si="8"/>
        <v>0,0</v>
      </c>
      <c r="G52" s="15" t="str">
        <f t="shared" si="9"/>
        <v>1,250</v>
      </c>
      <c r="H52" s="8"/>
      <c r="I52" s="9">
        <v>7</v>
      </c>
      <c r="J52" s="9">
        <v>45</v>
      </c>
      <c r="K52" s="9">
        <v>0</v>
      </c>
      <c r="L52" s="9">
        <v>0</v>
      </c>
      <c r="M52" s="9">
        <v>1</v>
      </c>
      <c r="N52" s="16">
        <v>4</v>
      </c>
      <c r="O52" s="16">
        <v>0</v>
      </c>
      <c r="P52" s="16">
        <v>0</v>
      </c>
      <c r="Q52" s="16">
        <v>0</v>
      </c>
      <c r="R52" s="16">
        <f t="shared" si="10"/>
        <v>250</v>
      </c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3.5" customHeight="1">
      <c r="A53" s="7" t="s">
        <v>107</v>
      </c>
      <c r="B53" s="7" t="s">
        <v>201</v>
      </c>
      <c r="C53" s="15" t="str">
        <f t="shared" si="5"/>
        <v>6,4</v>
      </c>
      <c r="D53" s="15" t="str">
        <f t="shared" si="6"/>
        <v>1,0</v>
      </c>
      <c r="E53" s="15" t="str">
        <f t="shared" si="7"/>
        <v>0,0</v>
      </c>
      <c r="F53" s="15" t="str">
        <f t="shared" si="8"/>
        <v>5,0</v>
      </c>
      <c r="G53" s="15" t="str">
        <f t="shared" si="9"/>
        <v>20,250</v>
      </c>
      <c r="H53" s="8"/>
      <c r="I53" s="9">
        <v>6</v>
      </c>
      <c r="J53" s="9">
        <v>1</v>
      </c>
      <c r="K53" s="9">
        <v>0</v>
      </c>
      <c r="L53" s="9">
        <v>5</v>
      </c>
      <c r="M53" s="9">
        <v>20</v>
      </c>
      <c r="N53" s="16">
        <v>4</v>
      </c>
      <c r="O53" s="16">
        <v>0</v>
      </c>
      <c r="P53" s="16">
        <v>0</v>
      </c>
      <c r="Q53" s="16">
        <v>0</v>
      </c>
      <c r="R53" s="16">
        <f t="shared" si="10"/>
        <v>250</v>
      </c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3.5" customHeight="1">
      <c r="A54" s="7" t="s">
        <v>108</v>
      </c>
      <c r="B54" s="7" t="s">
        <v>202</v>
      </c>
      <c r="C54" s="15" t="str">
        <f t="shared" si="5"/>
        <v>7,4</v>
      </c>
      <c r="D54" s="15" t="str">
        <f t="shared" si="6"/>
        <v>46,0</v>
      </c>
      <c r="E54" s="15" t="str">
        <f t="shared" si="7"/>
        <v>0,0</v>
      </c>
      <c r="F54" s="15" t="str">
        <f t="shared" si="8"/>
        <v>0,0</v>
      </c>
      <c r="G54" s="15" t="str">
        <f t="shared" si="9"/>
        <v>1,300</v>
      </c>
      <c r="H54" s="8"/>
      <c r="I54" s="9">
        <v>7</v>
      </c>
      <c r="J54" s="9">
        <v>46</v>
      </c>
      <c r="K54" s="9">
        <v>0</v>
      </c>
      <c r="L54" s="9">
        <v>0</v>
      </c>
      <c r="M54" s="17">
        <v>1</v>
      </c>
      <c r="N54" s="16">
        <v>4</v>
      </c>
      <c r="O54" s="16">
        <v>0</v>
      </c>
      <c r="P54" s="16">
        <v>0</v>
      </c>
      <c r="Q54" s="16">
        <v>0</v>
      </c>
      <c r="R54" s="16">
        <f t="shared" si="10"/>
        <v>300</v>
      </c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13.5" customHeight="1">
      <c r="A55" s="7" t="s">
        <v>109</v>
      </c>
      <c r="B55" s="7" t="s">
        <v>203</v>
      </c>
      <c r="C55" s="15" t="str">
        <f t="shared" si="5"/>
        <v>6,4</v>
      </c>
      <c r="D55" s="15" t="str">
        <f t="shared" si="6"/>
        <v>1,0</v>
      </c>
      <c r="E55" s="15" t="str">
        <f t="shared" si="7"/>
        <v>0,0</v>
      </c>
      <c r="F55" s="15" t="str">
        <f t="shared" si="8"/>
        <v>5,0</v>
      </c>
      <c r="G55" s="15" t="str">
        <f t="shared" si="9"/>
        <v>20,300</v>
      </c>
      <c r="H55" s="8"/>
      <c r="I55" s="9">
        <v>6</v>
      </c>
      <c r="J55" s="9">
        <v>1</v>
      </c>
      <c r="K55" s="9">
        <v>0</v>
      </c>
      <c r="L55" s="9">
        <v>5</v>
      </c>
      <c r="M55" s="9">
        <v>20</v>
      </c>
      <c r="N55" s="16">
        <v>4</v>
      </c>
      <c r="O55" s="16">
        <v>0</v>
      </c>
      <c r="P55" s="16">
        <v>0</v>
      </c>
      <c r="Q55" s="16">
        <v>0</v>
      </c>
      <c r="R55" s="16">
        <f t="shared" si="10"/>
        <v>300</v>
      </c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3.5" customHeight="1">
      <c r="A56" s="7" t="s">
        <v>110</v>
      </c>
      <c r="B56" s="7" t="s">
        <v>204</v>
      </c>
      <c r="C56" s="15" t="str">
        <f t="shared" si="5"/>
        <v>7,4</v>
      </c>
      <c r="D56" s="15" t="str">
        <f t="shared" si="6"/>
        <v>47,0</v>
      </c>
      <c r="E56" s="15" t="str">
        <f t="shared" si="7"/>
        <v>0,0</v>
      </c>
      <c r="F56" s="15" t="str">
        <f t="shared" si="8"/>
        <v>0,0</v>
      </c>
      <c r="G56" s="15" t="str">
        <f t="shared" si="9"/>
        <v>1,300</v>
      </c>
      <c r="H56" s="8"/>
      <c r="I56" s="9">
        <v>7</v>
      </c>
      <c r="J56" s="9">
        <v>47</v>
      </c>
      <c r="K56" s="9">
        <v>0</v>
      </c>
      <c r="L56" s="9">
        <v>0</v>
      </c>
      <c r="M56" s="9">
        <v>1</v>
      </c>
      <c r="N56" s="16">
        <v>4</v>
      </c>
      <c r="O56" s="16">
        <v>0</v>
      </c>
      <c r="P56" s="16">
        <v>0</v>
      </c>
      <c r="Q56" s="16">
        <v>0</v>
      </c>
      <c r="R56" s="16">
        <f t="shared" si="10"/>
        <v>300</v>
      </c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3.5" customHeight="1">
      <c r="A57" s="7" t="s">
        <v>111</v>
      </c>
      <c r="B57" s="7" t="s">
        <v>205</v>
      </c>
      <c r="C57" s="15" t="str">
        <f t="shared" si="5"/>
        <v>6,4</v>
      </c>
      <c r="D57" s="15" t="str">
        <f t="shared" si="6"/>
        <v>1,0</v>
      </c>
      <c r="E57" s="15" t="str">
        <f t="shared" si="7"/>
        <v>0,0</v>
      </c>
      <c r="F57" s="15" t="str">
        <f t="shared" si="8"/>
        <v>5,0</v>
      </c>
      <c r="G57" s="15" t="str">
        <f t="shared" si="9"/>
        <v>20,300</v>
      </c>
      <c r="H57" s="8"/>
      <c r="I57" s="9">
        <v>6</v>
      </c>
      <c r="J57" s="9">
        <v>1</v>
      </c>
      <c r="K57" s="9">
        <v>0</v>
      </c>
      <c r="L57" s="9">
        <v>5</v>
      </c>
      <c r="M57" s="9">
        <v>20</v>
      </c>
      <c r="N57" s="16">
        <v>4</v>
      </c>
      <c r="O57" s="16">
        <v>0</v>
      </c>
      <c r="P57" s="16">
        <v>0</v>
      </c>
      <c r="Q57" s="16">
        <v>0</v>
      </c>
      <c r="R57" s="16">
        <f t="shared" si="10"/>
        <v>300</v>
      </c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3.5" customHeight="1">
      <c r="A58" s="7" t="s">
        <v>112</v>
      </c>
      <c r="B58" s="7" t="s">
        <v>206</v>
      </c>
      <c r="C58" s="15" t="str">
        <f t="shared" si="5"/>
        <v>7,4</v>
      </c>
      <c r="D58" s="15" t="str">
        <f t="shared" si="6"/>
        <v>48,0</v>
      </c>
      <c r="E58" s="15" t="str">
        <f t="shared" si="7"/>
        <v>0,0</v>
      </c>
      <c r="F58" s="15" t="str">
        <f t="shared" si="8"/>
        <v>0,0</v>
      </c>
      <c r="G58" s="15" t="str">
        <f t="shared" si="9"/>
        <v>1,300</v>
      </c>
      <c r="H58" s="8"/>
      <c r="I58" s="9">
        <v>7</v>
      </c>
      <c r="J58" s="9">
        <v>48</v>
      </c>
      <c r="K58" s="9">
        <v>0</v>
      </c>
      <c r="L58" s="9">
        <v>0</v>
      </c>
      <c r="M58" s="9">
        <v>1</v>
      </c>
      <c r="N58" s="16">
        <v>4</v>
      </c>
      <c r="O58" s="16">
        <v>0</v>
      </c>
      <c r="P58" s="16">
        <v>0</v>
      </c>
      <c r="Q58" s="16">
        <v>0</v>
      </c>
      <c r="R58" s="16">
        <f t="shared" si="10"/>
        <v>300</v>
      </c>
      <c r="X58" s="9"/>
      <c r="Y58" s="9"/>
      <c r="Z58" s="9"/>
      <c r="AA58" s="9"/>
      <c r="AB58" s="9"/>
      <c r="AC58" s="9"/>
      <c r="AD58" s="9"/>
      <c r="AE58" s="9"/>
      <c r="AF58" s="9"/>
      <c r="AG58" s="9"/>
    </row>
    <row r="59" spans="1:33" ht="13.5" customHeight="1">
      <c r="A59" s="7" t="s">
        <v>113</v>
      </c>
      <c r="B59" s="7" t="s">
        <v>207</v>
      </c>
      <c r="C59" s="15" t="str">
        <f t="shared" si="5"/>
        <v>6,4</v>
      </c>
      <c r="D59" s="15" t="str">
        <f t="shared" si="6"/>
        <v>1,0</v>
      </c>
      <c r="E59" s="15" t="str">
        <f t="shared" si="7"/>
        <v>0,0</v>
      </c>
      <c r="F59" s="15" t="str">
        <f t="shared" si="8"/>
        <v>5,0</v>
      </c>
      <c r="G59" s="15" t="str">
        <f t="shared" si="9"/>
        <v>20,300</v>
      </c>
      <c r="H59" s="8"/>
      <c r="I59" s="9">
        <v>6</v>
      </c>
      <c r="J59" s="9">
        <v>1</v>
      </c>
      <c r="K59" s="9">
        <v>0</v>
      </c>
      <c r="L59" s="9">
        <v>5</v>
      </c>
      <c r="M59" s="9">
        <v>20</v>
      </c>
      <c r="N59" s="16">
        <v>4</v>
      </c>
      <c r="O59" s="16">
        <v>0</v>
      </c>
      <c r="P59" s="16">
        <v>0</v>
      </c>
      <c r="Q59" s="16">
        <v>0</v>
      </c>
      <c r="R59" s="16">
        <f t="shared" si="10"/>
        <v>300</v>
      </c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3.5" customHeight="1">
      <c r="A60" s="7" t="s">
        <v>114</v>
      </c>
      <c r="B60" s="7" t="s">
        <v>208</v>
      </c>
      <c r="C60" s="15" t="str">
        <f t="shared" si="5"/>
        <v>7,4</v>
      </c>
      <c r="D60" s="15" t="str">
        <f t="shared" si="6"/>
        <v>49,0</v>
      </c>
      <c r="E60" s="15" t="str">
        <f t="shared" si="7"/>
        <v>0,0</v>
      </c>
      <c r="F60" s="15" t="str">
        <f t="shared" si="8"/>
        <v>0,0</v>
      </c>
      <c r="G60" s="15" t="str">
        <f t="shared" si="9"/>
        <v>1,300</v>
      </c>
      <c r="H60" s="8"/>
      <c r="I60" s="9">
        <v>7</v>
      </c>
      <c r="J60" s="9">
        <v>49</v>
      </c>
      <c r="K60" s="9">
        <v>0</v>
      </c>
      <c r="L60" s="9">
        <v>0</v>
      </c>
      <c r="M60" s="9">
        <v>1</v>
      </c>
      <c r="N60" s="16">
        <v>4</v>
      </c>
      <c r="O60" s="16">
        <v>0</v>
      </c>
      <c r="P60" s="16">
        <v>0</v>
      </c>
      <c r="Q60" s="16">
        <v>0</v>
      </c>
      <c r="R60" s="16">
        <f t="shared" si="10"/>
        <v>300</v>
      </c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3.5" customHeight="1">
      <c r="A61" s="7" t="s">
        <v>115</v>
      </c>
      <c r="B61" s="7" t="s">
        <v>209</v>
      </c>
      <c r="C61" s="15" t="str">
        <f t="shared" si="5"/>
        <v>6,4</v>
      </c>
      <c r="D61" s="15" t="str">
        <f t="shared" si="6"/>
        <v>1,0</v>
      </c>
      <c r="E61" s="15" t="str">
        <f t="shared" si="7"/>
        <v>0,0</v>
      </c>
      <c r="F61" s="15" t="str">
        <f t="shared" si="8"/>
        <v>5,0</v>
      </c>
      <c r="G61" s="15" t="str">
        <f t="shared" si="9"/>
        <v>20,300</v>
      </c>
      <c r="H61" s="8"/>
      <c r="I61" s="9">
        <v>6</v>
      </c>
      <c r="J61" s="9">
        <v>1</v>
      </c>
      <c r="K61" s="9">
        <v>0</v>
      </c>
      <c r="L61" s="9">
        <v>5</v>
      </c>
      <c r="M61" s="9">
        <v>20</v>
      </c>
      <c r="N61" s="16">
        <v>4</v>
      </c>
      <c r="O61" s="16">
        <v>0</v>
      </c>
      <c r="P61" s="16">
        <v>0</v>
      </c>
      <c r="Q61" s="16">
        <v>0</v>
      </c>
      <c r="R61" s="16">
        <f t="shared" si="10"/>
        <v>300</v>
      </c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3.5" customHeight="1">
      <c r="A62" s="7" t="s">
        <v>116</v>
      </c>
      <c r="B62" s="7" t="s">
        <v>210</v>
      </c>
      <c r="C62" s="15" t="str">
        <f t="shared" si="5"/>
        <v>7,4</v>
      </c>
      <c r="D62" s="15" t="str">
        <f t="shared" si="6"/>
        <v>50,0</v>
      </c>
      <c r="E62" s="15" t="str">
        <f t="shared" si="7"/>
        <v>0,0</v>
      </c>
      <c r="F62" s="15" t="str">
        <f t="shared" si="8"/>
        <v>0,0</v>
      </c>
      <c r="G62" s="15" t="str">
        <f t="shared" si="9"/>
        <v>1,300</v>
      </c>
      <c r="H62" s="8"/>
      <c r="I62" s="9">
        <v>7</v>
      </c>
      <c r="J62" s="9">
        <v>50</v>
      </c>
      <c r="K62" s="9">
        <v>0</v>
      </c>
      <c r="L62" s="9">
        <v>0</v>
      </c>
      <c r="M62" s="9">
        <v>1</v>
      </c>
      <c r="N62" s="16">
        <v>4</v>
      </c>
      <c r="O62" s="16">
        <v>0</v>
      </c>
      <c r="P62" s="16">
        <v>0</v>
      </c>
      <c r="Q62" s="16">
        <v>0</v>
      </c>
      <c r="R62" s="16">
        <f t="shared" si="10"/>
        <v>300</v>
      </c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3.5" customHeight="1">
      <c r="A63" s="7" t="s">
        <v>117</v>
      </c>
      <c r="B63" s="7" t="s">
        <v>211</v>
      </c>
      <c r="C63" s="15" t="str">
        <f t="shared" si="5"/>
        <v>6,4</v>
      </c>
      <c r="D63" s="15" t="str">
        <f t="shared" si="6"/>
        <v>1,0</v>
      </c>
      <c r="E63" s="15" t="str">
        <f t="shared" si="7"/>
        <v>0,0</v>
      </c>
      <c r="F63" s="15" t="str">
        <f t="shared" si="8"/>
        <v>5,0</v>
      </c>
      <c r="G63" s="15" t="str">
        <f t="shared" si="9"/>
        <v>20,300</v>
      </c>
      <c r="H63" s="8"/>
      <c r="I63" s="9">
        <v>6</v>
      </c>
      <c r="J63" s="9">
        <v>1</v>
      </c>
      <c r="K63" s="9">
        <v>0</v>
      </c>
      <c r="L63" s="9">
        <v>5</v>
      </c>
      <c r="M63" s="9">
        <v>20</v>
      </c>
      <c r="N63" s="16">
        <v>4</v>
      </c>
      <c r="O63" s="16">
        <v>0</v>
      </c>
      <c r="P63" s="16">
        <v>0</v>
      </c>
      <c r="Q63" s="16">
        <v>0</v>
      </c>
      <c r="R63" s="16">
        <f t="shared" si="10"/>
        <v>300</v>
      </c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3.5" customHeight="1">
      <c r="A64" s="7" t="s">
        <v>118</v>
      </c>
      <c r="B64" s="7" t="s">
        <v>40</v>
      </c>
      <c r="C64" s="15" t="str">
        <f t="shared" si="5"/>
        <v>7,4</v>
      </c>
      <c r="D64" s="15" t="str">
        <f t="shared" si="6"/>
        <v>51,0</v>
      </c>
      <c r="E64" s="15" t="str">
        <f t="shared" si="7"/>
        <v>0,0</v>
      </c>
      <c r="F64" s="15" t="str">
        <f t="shared" si="8"/>
        <v>0,0</v>
      </c>
      <c r="G64" s="15" t="str">
        <f t="shared" si="9"/>
        <v>1,300</v>
      </c>
      <c r="H64" s="8"/>
      <c r="I64" s="9">
        <v>7</v>
      </c>
      <c r="J64" s="9">
        <v>51</v>
      </c>
      <c r="K64" s="9">
        <v>0</v>
      </c>
      <c r="L64" s="9">
        <v>0</v>
      </c>
      <c r="M64" s="17">
        <v>1</v>
      </c>
      <c r="N64" s="16">
        <v>4</v>
      </c>
      <c r="O64" s="5">
        <v>0</v>
      </c>
      <c r="P64" s="5">
        <v>0</v>
      </c>
      <c r="Q64" s="5">
        <v>0</v>
      </c>
      <c r="R64" s="16">
        <v>300</v>
      </c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3.5" customHeight="1">
      <c r="A65" s="7" t="s">
        <v>119</v>
      </c>
      <c r="B65" s="7" t="s">
        <v>41</v>
      </c>
      <c r="C65" s="15" t="str">
        <f t="shared" si="5"/>
        <v>6,4</v>
      </c>
      <c r="D65" s="15" t="str">
        <f t="shared" si="6"/>
        <v>1,0</v>
      </c>
      <c r="E65" s="15" t="str">
        <f t="shared" si="7"/>
        <v>0,0</v>
      </c>
      <c r="F65" s="15" t="str">
        <f t="shared" si="8"/>
        <v>5,0</v>
      </c>
      <c r="G65" s="15" t="str">
        <f t="shared" si="9"/>
        <v>25,300</v>
      </c>
      <c r="H65" s="8"/>
      <c r="I65" s="9">
        <v>6</v>
      </c>
      <c r="J65" s="9">
        <v>1</v>
      </c>
      <c r="K65" s="9">
        <v>0</v>
      </c>
      <c r="L65" s="9">
        <v>5</v>
      </c>
      <c r="M65" s="9">
        <v>25</v>
      </c>
      <c r="N65" s="16">
        <v>4</v>
      </c>
      <c r="O65" s="5">
        <v>0</v>
      </c>
      <c r="P65" s="5">
        <v>0</v>
      </c>
      <c r="Q65" s="5">
        <v>0</v>
      </c>
      <c r="R65" s="16">
        <v>300</v>
      </c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3.5" customHeight="1">
      <c r="A66" s="7" t="s">
        <v>120</v>
      </c>
      <c r="B66" s="7" t="s">
        <v>42</v>
      </c>
      <c r="C66" s="15" t="str">
        <f t="shared" si="5"/>
        <v>7,4</v>
      </c>
      <c r="D66" s="15" t="str">
        <f t="shared" si="6"/>
        <v>52,0</v>
      </c>
      <c r="E66" s="15" t="str">
        <f t="shared" si="7"/>
        <v>0,0</v>
      </c>
      <c r="F66" s="15" t="str">
        <f t="shared" si="8"/>
        <v>0,0</v>
      </c>
      <c r="G66" s="15" t="str">
        <f t="shared" si="9"/>
        <v>1,300</v>
      </c>
      <c r="H66" s="8"/>
      <c r="I66" s="9">
        <v>7</v>
      </c>
      <c r="J66" s="9">
        <v>52</v>
      </c>
      <c r="K66" s="9">
        <v>0</v>
      </c>
      <c r="L66" s="9">
        <v>0</v>
      </c>
      <c r="M66" s="9">
        <v>1</v>
      </c>
      <c r="N66" s="16">
        <v>4</v>
      </c>
      <c r="O66" s="5">
        <v>0</v>
      </c>
      <c r="P66" s="5">
        <v>0</v>
      </c>
      <c r="Q66" s="5">
        <v>0</v>
      </c>
      <c r="R66" s="16">
        <v>300</v>
      </c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3.5" customHeight="1">
      <c r="A67" s="7" t="s">
        <v>121</v>
      </c>
      <c r="B67" s="7" t="s">
        <v>212</v>
      </c>
      <c r="C67" s="15" t="str">
        <f t="shared" si="5"/>
        <v>6,4</v>
      </c>
      <c r="D67" s="15" t="str">
        <f t="shared" si="6"/>
        <v>1,0</v>
      </c>
      <c r="E67" s="15" t="str">
        <f t="shared" si="7"/>
        <v>0,0</v>
      </c>
      <c r="F67" s="15" t="str">
        <f t="shared" si="8"/>
        <v>5,0</v>
      </c>
      <c r="G67" s="15" t="str">
        <f t="shared" si="9"/>
        <v>25,300</v>
      </c>
      <c r="H67" s="8"/>
      <c r="I67" s="9">
        <v>6</v>
      </c>
      <c r="J67" s="9">
        <v>1</v>
      </c>
      <c r="K67" s="9">
        <v>0</v>
      </c>
      <c r="L67" s="9">
        <v>5</v>
      </c>
      <c r="M67" s="9">
        <v>25</v>
      </c>
      <c r="N67" s="16">
        <v>4</v>
      </c>
      <c r="O67" s="5">
        <v>0</v>
      </c>
      <c r="P67" s="5">
        <v>0</v>
      </c>
      <c r="Q67" s="5">
        <v>0</v>
      </c>
      <c r="R67" s="16">
        <v>300</v>
      </c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3.5" customHeight="1">
      <c r="A68" s="7" t="s">
        <v>122</v>
      </c>
      <c r="B68" s="7" t="s">
        <v>213</v>
      </c>
      <c r="C68" s="15" t="str">
        <f t="shared" si="5"/>
        <v>7,4</v>
      </c>
      <c r="D68" s="15" t="str">
        <f t="shared" si="6"/>
        <v>49,0</v>
      </c>
      <c r="E68" s="15" t="str">
        <f t="shared" si="7"/>
        <v>0,0</v>
      </c>
      <c r="F68" s="15" t="str">
        <f t="shared" si="8"/>
        <v>0,0</v>
      </c>
      <c r="G68" s="15" t="str">
        <f t="shared" si="9"/>
        <v>1,300</v>
      </c>
      <c r="H68" s="8"/>
      <c r="I68" s="9">
        <v>7</v>
      </c>
      <c r="J68" s="9">
        <v>49</v>
      </c>
      <c r="K68" s="9">
        <v>0</v>
      </c>
      <c r="L68" s="9">
        <v>0</v>
      </c>
      <c r="M68" s="9">
        <v>1</v>
      </c>
      <c r="N68" s="16">
        <v>4</v>
      </c>
      <c r="O68" s="5">
        <v>0</v>
      </c>
      <c r="P68" s="5">
        <v>0</v>
      </c>
      <c r="Q68" s="5">
        <v>0</v>
      </c>
      <c r="R68" s="16">
        <v>300</v>
      </c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3.5" customHeight="1">
      <c r="A69" s="7" t="s">
        <v>123</v>
      </c>
      <c r="B69" s="7" t="s">
        <v>214</v>
      </c>
      <c r="C69" s="15" t="str">
        <f t="shared" ref="C69:C123" si="11">IF(AND(S69="",I69&lt;&gt;"",N69&lt;&gt;""),I69&amp;","&amp;N69,IF(AND(S69="",N69="",I69&lt;&gt;""),I69,IF(AND(S69="",N69="",I69=""),"",I69&amp;","&amp;N69&amp;","&amp;S69)))</f>
        <v>6,4</v>
      </c>
      <c r="D69" s="15" t="str">
        <f t="shared" ref="D69:D123" si="12">IF(AND(T69="",J69&lt;&gt;"",O69&lt;&gt;""),J69&amp;","&amp;O69,IF(AND(T69="",O69="",J69&lt;&gt;""),J69,IF(AND(T69="",O69="",J69=""),"",J69&amp;","&amp;O69&amp;","&amp;T69)))</f>
        <v>1,0</v>
      </c>
      <c r="E69" s="15" t="str">
        <f t="shared" ref="E69:E123" si="13">IF(AND(U69="",K69&lt;&gt;"",P69&lt;&gt;""),K69&amp;","&amp;P69,IF(AND(U69="",P69="",K69&lt;&gt;""),K69,IF(AND(U69="",P69="",K69=""),"",K69&amp;","&amp;P69&amp;","&amp;U69)))</f>
        <v>0,0</v>
      </c>
      <c r="F69" s="15" t="str">
        <f t="shared" ref="F69:F123" si="14">IF(AND(V69="",L69&lt;&gt;"",Q69&lt;&gt;""),L69&amp;","&amp;Q69,IF(AND(V69="",Q69="",L69&lt;&gt;""),L69,IF(AND(V69="",Q69="",L69=""),"",L69&amp;","&amp;Q69&amp;","&amp;V69)))</f>
        <v>5,0</v>
      </c>
      <c r="G69" s="15" t="str">
        <f t="shared" ref="G69:G123" si="15">IF(AND(W69="",M69&lt;&gt;"",R69&lt;&gt;""),M69&amp;","&amp;R69,IF(AND(W69="",R69="",M69&lt;&gt;""),M69,IF(AND(W69="",R69="",M69=""),"",M69&amp;","&amp;R69&amp;","&amp;W69)))</f>
        <v>25,300</v>
      </c>
      <c r="H69" s="8"/>
      <c r="I69" s="9">
        <v>6</v>
      </c>
      <c r="J69" s="9">
        <v>1</v>
      </c>
      <c r="K69" s="9">
        <v>0</v>
      </c>
      <c r="L69" s="9">
        <v>5</v>
      </c>
      <c r="M69" s="9">
        <v>25</v>
      </c>
      <c r="N69" s="16">
        <v>4</v>
      </c>
      <c r="O69" s="5">
        <v>0</v>
      </c>
      <c r="P69" s="5">
        <v>0</v>
      </c>
      <c r="Q69" s="5">
        <v>0</v>
      </c>
      <c r="R69" s="16">
        <v>300</v>
      </c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3.5" customHeight="1">
      <c r="A70" s="7" t="s">
        <v>124</v>
      </c>
      <c r="B70" s="7" t="s">
        <v>215</v>
      </c>
      <c r="C70" s="15" t="str">
        <f t="shared" si="11"/>
        <v>7,4</v>
      </c>
      <c r="D70" s="15" t="str">
        <f t="shared" si="12"/>
        <v>50,0</v>
      </c>
      <c r="E70" s="15" t="str">
        <f t="shared" si="13"/>
        <v>0,0</v>
      </c>
      <c r="F70" s="15" t="str">
        <f t="shared" si="14"/>
        <v>0,0</v>
      </c>
      <c r="G70" s="15" t="str">
        <f t="shared" si="15"/>
        <v>1,300</v>
      </c>
      <c r="H70" s="8"/>
      <c r="I70" s="9">
        <v>7</v>
      </c>
      <c r="J70" s="9">
        <v>50</v>
      </c>
      <c r="K70" s="9">
        <v>0</v>
      </c>
      <c r="L70" s="9">
        <v>0</v>
      </c>
      <c r="M70" s="9">
        <v>1</v>
      </c>
      <c r="N70" s="16">
        <v>4</v>
      </c>
      <c r="O70" s="5">
        <v>0</v>
      </c>
      <c r="P70" s="5">
        <v>0</v>
      </c>
      <c r="Q70" s="5">
        <v>0</v>
      </c>
      <c r="R70" s="16">
        <v>300</v>
      </c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3.5" customHeight="1">
      <c r="A71" s="7" t="s">
        <v>125</v>
      </c>
      <c r="B71" s="7" t="s">
        <v>216</v>
      </c>
      <c r="C71" s="15" t="str">
        <f t="shared" si="11"/>
        <v>6,4</v>
      </c>
      <c r="D71" s="15" t="str">
        <f t="shared" si="12"/>
        <v>1,0</v>
      </c>
      <c r="E71" s="15" t="str">
        <f t="shared" si="13"/>
        <v>0,0</v>
      </c>
      <c r="F71" s="15" t="str">
        <f t="shared" si="14"/>
        <v>5,0</v>
      </c>
      <c r="G71" s="15" t="str">
        <f t="shared" si="15"/>
        <v>25,300</v>
      </c>
      <c r="H71" s="8"/>
      <c r="I71" s="9">
        <v>6</v>
      </c>
      <c r="J71" s="9">
        <v>1</v>
      </c>
      <c r="K71" s="9">
        <v>0</v>
      </c>
      <c r="L71" s="9">
        <v>5</v>
      </c>
      <c r="M71" s="9">
        <v>25</v>
      </c>
      <c r="N71" s="16">
        <v>4</v>
      </c>
      <c r="O71" s="5">
        <v>0</v>
      </c>
      <c r="P71" s="5">
        <v>0</v>
      </c>
      <c r="Q71" s="5">
        <v>0</v>
      </c>
      <c r="R71" s="16">
        <v>300</v>
      </c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3.5" customHeight="1">
      <c r="A72" s="7" t="s">
        <v>126</v>
      </c>
      <c r="B72" s="7" t="s">
        <v>217</v>
      </c>
      <c r="C72" s="15" t="str">
        <f t="shared" si="11"/>
        <v>7,4</v>
      </c>
      <c r="D72" s="15" t="str">
        <f t="shared" si="12"/>
        <v>51,0</v>
      </c>
      <c r="E72" s="15" t="str">
        <f t="shared" si="13"/>
        <v>0,0</v>
      </c>
      <c r="F72" s="15" t="str">
        <f t="shared" si="14"/>
        <v>0,0</v>
      </c>
      <c r="G72" s="15" t="str">
        <f t="shared" si="15"/>
        <v>1,300</v>
      </c>
      <c r="H72" s="8"/>
      <c r="I72" s="9">
        <v>7</v>
      </c>
      <c r="J72" s="9">
        <v>51</v>
      </c>
      <c r="K72" s="9">
        <v>0</v>
      </c>
      <c r="L72" s="9">
        <v>0</v>
      </c>
      <c r="M72" s="9">
        <v>1</v>
      </c>
      <c r="N72" s="16">
        <v>4</v>
      </c>
      <c r="O72" s="5">
        <v>0</v>
      </c>
      <c r="P72" s="5">
        <v>0</v>
      </c>
      <c r="Q72" s="5">
        <v>0</v>
      </c>
      <c r="R72" s="16">
        <v>300</v>
      </c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3.5" customHeight="1">
      <c r="A73" s="7" t="s">
        <v>127</v>
      </c>
      <c r="B73" s="7" t="s">
        <v>218</v>
      </c>
      <c r="C73" s="15" t="str">
        <f t="shared" si="11"/>
        <v>6,4</v>
      </c>
      <c r="D73" s="15" t="str">
        <f t="shared" si="12"/>
        <v>1,0</v>
      </c>
      <c r="E73" s="15" t="str">
        <f t="shared" si="13"/>
        <v>0,0</v>
      </c>
      <c r="F73" s="15" t="str">
        <f t="shared" si="14"/>
        <v>5,0</v>
      </c>
      <c r="G73" s="15" t="str">
        <f t="shared" si="15"/>
        <v>25,300</v>
      </c>
      <c r="H73" s="8"/>
      <c r="I73" s="9">
        <v>6</v>
      </c>
      <c r="J73" s="9">
        <v>1</v>
      </c>
      <c r="K73" s="9">
        <v>0</v>
      </c>
      <c r="L73" s="9">
        <v>5</v>
      </c>
      <c r="M73" s="9">
        <v>25</v>
      </c>
      <c r="N73" s="16">
        <v>4</v>
      </c>
      <c r="O73" s="5">
        <v>0</v>
      </c>
      <c r="P73" s="5">
        <v>0</v>
      </c>
      <c r="Q73" s="5">
        <v>0</v>
      </c>
      <c r="R73" s="16">
        <v>300</v>
      </c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3.5" customHeight="1">
      <c r="A74" s="7" t="s">
        <v>128</v>
      </c>
      <c r="B74" s="7" t="s">
        <v>219</v>
      </c>
      <c r="C74" s="15" t="str">
        <f t="shared" si="11"/>
        <v>7,4</v>
      </c>
      <c r="D74" s="15" t="str">
        <f t="shared" si="12"/>
        <v>52,0</v>
      </c>
      <c r="E74" s="15" t="str">
        <f t="shared" si="13"/>
        <v>0,0</v>
      </c>
      <c r="F74" s="15" t="str">
        <f t="shared" si="14"/>
        <v>0,0</v>
      </c>
      <c r="G74" s="15" t="str">
        <f t="shared" si="15"/>
        <v>1,300</v>
      </c>
      <c r="H74" s="8"/>
      <c r="I74" s="9">
        <v>7</v>
      </c>
      <c r="J74" s="9">
        <v>52</v>
      </c>
      <c r="K74" s="9">
        <v>0</v>
      </c>
      <c r="L74" s="9">
        <v>0</v>
      </c>
      <c r="M74" s="17">
        <v>1</v>
      </c>
      <c r="N74" s="16">
        <v>4</v>
      </c>
      <c r="O74" s="5">
        <v>0</v>
      </c>
      <c r="P74" s="5">
        <v>0</v>
      </c>
      <c r="Q74" s="5">
        <v>0</v>
      </c>
      <c r="R74" s="16">
        <v>300</v>
      </c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3.5" customHeight="1">
      <c r="A75" s="7" t="s">
        <v>129</v>
      </c>
      <c r="B75" s="7" t="s">
        <v>234</v>
      </c>
      <c r="C75" s="15" t="str">
        <f t="shared" si="11"/>
        <v>6,4</v>
      </c>
      <c r="D75" s="15" t="str">
        <f t="shared" si="12"/>
        <v>1,0</v>
      </c>
      <c r="E75" s="15" t="str">
        <f t="shared" si="13"/>
        <v>0,0</v>
      </c>
      <c r="F75" s="15" t="str">
        <f t="shared" si="14"/>
        <v>5,0</v>
      </c>
      <c r="G75" s="15" t="str">
        <f t="shared" si="15"/>
        <v>25,300</v>
      </c>
      <c r="H75" s="8"/>
      <c r="I75" s="9">
        <v>6</v>
      </c>
      <c r="J75" s="9">
        <v>1</v>
      </c>
      <c r="K75" s="9">
        <v>0</v>
      </c>
      <c r="L75" s="9">
        <v>5</v>
      </c>
      <c r="M75" s="9">
        <v>25</v>
      </c>
      <c r="N75" s="16">
        <v>4</v>
      </c>
      <c r="O75" s="5">
        <v>0</v>
      </c>
      <c r="P75" s="5">
        <v>0</v>
      </c>
      <c r="Q75" s="5">
        <v>0</v>
      </c>
      <c r="R75" s="16">
        <v>300</v>
      </c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3.5" customHeight="1">
      <c r="A76" s="7" t="s">
        <v>130</v>
      </c>
      <c r="B76" s="7" t="s">
        <v>243</v>
      </c>
      <c r="C76" s="15" t="str">
        <f t="shared" si="11"/>
        <v>7,4</v>
      </c>
      <c r="D76" s="15" t="str">
        <f t="shared" si="12"/>
        <v>53,0</v>
      </c>
      <c r="E76" s="15" t="str">
        <f t="shared" si="13"/>
        <v>0,0</v>
      </c>
      <c r="F76" s="15" t="str">
        <f t="shared" si="14"/>
        <v>0,0</v>
      </c>
      <c r="G76" s="15" t="str">
        <f t="shared" si="15"/>
        <v>1,300</v>
      </c>
      <c r="H76" s="8"/>
      <c r="I76" s="9">
        <v>7</v>
      </c>
      <c r="J76" s="9">
        <v>53</v>
      </c>
      <c r="K76" s="9">
        <v>0</v>
      </c>
      <c r="L76" s="9">
        <v>0</v>
      </c>
      <c r="M76" s="9">
        <v>1</v>
      </c>
      <c r="N76" s="16">
        <v>4</v>
      </c>
      <c r="O76" s="5">
        <v>0</v>
      </c>
      <c r="P76" s="5">
        <v>0</v>
      </c>
      <c r="Q76" s="5">
        <v>0</v>
      </c>
      <c r="R76" s="16">
        <v>300</v>
      </c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3.5" customHeight="1">
      <c r="A77" s="7" t="s">
        <v>131</v>
      </c>
      <c r="B77" s="7" t="s">
        <v>244</v>
      </c>
      <c r="C77" s="15" t="str">
        <f t="shared" si="11"/>
        <v>6,4</v>
      </c>
      <c r="D77" s="15" t="str">
        <f t="shared" si="12"/>
        <v>1,0</v>
      </c>
      <c r="E77" s="15" t="str">
        <f t="shared" si="13"/>
        <v>0,0</v>
      </c>
      <c r="F77" s="15" t="str">
        <f t="shared" si="14"/>
        <v>5,0</v>
      </c>
      <c r="G77" s="15" t="str">
        <f t="shared" si="15"/>
        <v>25,300</v>
      </c>
      <c r="H77" s="8"/>
      <c r="I77" s="9">
        <v>6</v>
      </c>
      <c r="J77" s="9">
        <v>1</v>
      </c>
      <c r="K77" s="9">
        <v>0</v>
      </c>
      <c r="L77" s="9">
        <v>5</v>
      </c>
      <c r="M77" s="9">
        <v>25</v>
      </c>
      <c r="N77" s="16">
        <v>4</v>
      </c>
      <c r="O77" s="5">
        <v>0</v>
      </c>
      <c r="P77" s="5">
        <v>0</v>
      </c>
      <c r="Q77" s="5">
        <v>0</v>
      </c>
      <c r="R77" s="16">
        <v>300</v>
      </c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3.5" customHeight="1">
      <c r="A78" s="7" t="s">
        <v>132</v>
      </c>
      <c r="B78" s="7" t="s">
        <v>245</v>
      </c>
      <c r="C78" s="15" t="str">
        <f t="shared" si="11"/>
        <v>7,4</v>
      </c>
      <c r="D78" s="15" t="str">
        <f t="shared" si="12"/>
        <v>54,0</v>
      </c>
      <c r="E78" s="15" t="str">
        <f t="shared" si="13"/>
        <v>0,0</v>
      </c>
      <c r="F78" s="15" t="str">
        <f t="shared" si="14"/>
        <v>0,0</v>
      </c>
      <c r="G78" s="15" t="str">
        <f t="shared" si="15"/>
        <v>1,300</v>
      </c>
      <c r="H78" s="8"/>
      <c r="I78" s="9">
        <v>7</v>
      </c>
      <c r="J78" s="9">
        <v>54</v>
      </c>
      <c r="K78" s="9">
        <v>0</v>
      </c>
      <c r="L78" s="9">
        <v>0</v>
      </c>
      <c r="M78" s="9">
        <v>1</v>
      </c>
      <c r="N78" s="16">
        <v>4</v>
      </c>
      <c r="O78" s="5">
        <v>0</v>
      </c>
      <c r="P78" s="5">
        <v>0</v>
      </c>
      <c r="Q78" s="5">
        <v>0</v>
      </c>
      <c r="R78" s="16">
        <v>300</v>
      </c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3.5" customHeight="1">
      <c r="A79" s="7" t="s">
        <v>133</v>
      </c>
      <c r="B79" s="7" t="s">
        <v>246</v>
      </c>
      <c r="C79" s="15" t="str">
        <f t="shared" si="11"/>
        <v>6,4</v>
      </c>
      <c r="D79" s="15" t="str">
        <f t="shared" si="12"/>
        <v>1,0</v>
      </c>
      <c r="E79" s="15" t="str">
        <f t="shared" si="13"/>
        <v>0,0</v>
      </c>
      <c r="F79" s="15" t="str">
        <f t="shared" si="14"/>
        <v>5,0</v>
      </c>
      <c r="G79" s="15" t="str">
        <f t="shared" si="15"/>
        <v>25,300</v>
      </c>
      <c r="H79" s="8"/>
      <c r="I79" s="9">
        <v>6</v>
      </c>
      <c r="J79" s="9">
        <v>1</v>
      </c>
      <c r="K79" s="9">
        <v>0</v>
      </c>
      <c r="L79" s="9">
        <v>5</v>
      </c>
      <c r="M79" s="9">
        <v>25</v>
      </c>
      <c r="N79" s="16">
        <v>4</v>
      </c>
      <c r="O79" s="5">
        <v>0</v>
      </c>
      <c r="P79" s="5">
        <v>0</v>
      </c>
      <c r="Q79" s="5">
        <v>0</v>
      </c>
      <c r="R79" s="16">
        <v>300</v>
      </c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3.5" customHeight="1">
      <c r="A80" s="7" t="s">
        <v>134</v>
      </c>
      <c r="B80" s="7" t="s">
        <v>247</v>
      </c>
      <c r="C80" s="15" t="str">
        <f t="shared" si="11"/>
        <v>7,4</v>
      </c>
      <c r="D80" s="15" t="str">
        <f t="shared" si="12"/>
        <v>55,0</v>
      </c>
      <c r="E80" s="15" t="str">
        <f t="shared" si="13"/>
        <v>0,0</v>
      </c>
      <c r="F80" s="15" t="str">
        <f t="shared" si="14"/>
        <v>0,0</v>
      </c>
      <c r="G80" s="15" t="str">
        <f t="shared" si="15"/>
        <v>1,300</v>
      </c>
      <c r="H80" s="8"/>
      <c r="I80" s="9">
        <v>7</v>
      </c>
      <c r="J80" s="9">
        <v>55</v>
      </c>
      <c r="K80" s="9">
        <v>0</v>
      </c>
      <c r="L80" s="9">
        <v>0</v>
      </c>
      <c r="M80" s="9">
        <v>1</v>
      </c>
      <c r="N80" s="16">
        <v>4</v>
      </c>
      <c r="O80" s="5">
        <v>0</v>
      </c>
      <c r="P80" s="5">
        <v>0</v>
      </c>
      <c r="Q80" s="5">
        <v>0</v>
      </c>
      <c r="R80" s="16">
        <v>300</v>
      </c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3.5" customHeight="1">
      <c r="A81" s="7" t="s">
        <v>135</v>
      </c>
      <c r="B81" s="7" t="s">
        <v>248</v>
      </c>
      <c r="C81" s="15" t="str">
        <f t="shared" si="11"/>
        <v>6,4</v>
      </c>
      <c r="D81" s="15" t="str">
        <f t="shared" si="12"/>
        <v>1,0</v>
      </c>
      <c r="E81" s="15" t="str">
        <f t="shared" si="13"/>
        <v>0,0</v>
      </c>
      <c r="F81" s="15" t="str">
        <f t="shared" si="14"/>
        <v>5,0</v>
      </c>
      <c r="G81" s="15" t="str">
        <f t="shared" si="15"/>
        <v>25,300</v>
      </c>
      <c r="H81" s="8"/>
      <c r="I81" s="9">
        <v>6</v>
      </c>
      <c r="J81" s="9">
        <v>1</v>
      </c>
      <c r="K81" s="9">
        <v>0</v>
      </c>
      <c r="L81" s="9">
        <v>5</v>
      </c>
      <c r="M81" s="9">
        <v>25</v>
      </c>
      <c r="N81" s="16">
        <v>4</v>
      </c>
      <c r="O81" s="5">
        <v>0</v>
      </c>
      <c r="P81" s="5">
        <v>0</v>
      </c>
      <c r="Q81" s="5">
        <v>0</v>
      </c>
      <c r="R81" s="16">
        <v>300</v>
      </c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3.5" customHeight="1">
      <c r="A82" s="7" t="s">
        <v>136</v>
      </c>
      <c r="B82" s="7" t="s">
        <v>249</v>
      </c>
      <c r="C82" s="15" t="str">
        <f t="shared" si="11"/>
        <v>7,4</v>
      </c>
      <c r="D82" s="15" t="str">
        <f t="shared" si="12"/>
        <v>56,0</v>
      </c>
      <c r="E82" s="15" t="str">
        <f t="shared" si="13"/>
        <v>0,0</v>
      </c>
      <c r="F82" s="15" t="str">
        <f t="shared" si="14"/>
        <v>0,0</v>
      </c>
      <c r="G82" s="15" t="str">
        <f t="shared" si="15"/>
        <v>1,300</v>
      </c>
      <c r="H82" s="8"/>
      <c r="I82" s="9">
        <v>7</v>
      </c>
      <c r="J82" s="9">
        <v>56</v>
      </c>
      <c r="K82" s="9">
        <v>0</v>
      </c>
      <c r="L82" s="9">
        <v>0</v>
      </c>
      <c r="M82" s="9">
        <v>1</v>
      </c>
      <c r="N82" s="16">
        <v>4</v>
      </c>
      <c r="O82" s="5">
        <v>0</v>
      </c>
      <c r="P82" s="5">
        <v>0</v>
      </c>
      <c r="Q82" s="5">
        <v>0</v>
      </c>
      <c r="R82" s="16">
        <v>300</v>
      </c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3.5" customHeight="1">
      <c r="A83" s="7" t="s">
        <v>137</v>
      </c>
      <c r="B83" s="7" t="s">
        <v>250</v>
      </c>
      <c r="C83" s="15" t="str">
        <f t="shared" si="11"/>
        <v>6,4</v>
      </c>
      <c r="D83" s="15" t="str">
        <f t="shared" si="12"/>
        <v>1,0</v>
      </c>
      <c r="E83" s="15" t="str">
        <f t="shared" si="13"/>
        <v>0,0</v>
      </c>
      <c r="F83" s="15" t="str">
        <f t="shared" si="14"/>
        <v>5,0</v>
      </c>
      <c r="G83" s="15" t="str">
        <f t="shared" si="15"/>
        <v>25,300</v>
      </c>
      <c r="H83" s="8"/>
      <c r="I83" s="9">
        <v>6</v>
      </c>
      <c r="J83" s="9">
        <v>1</v>
      </c>
      <c r="K83" s="9">
        <v>0</v>
      </c>
      <c r="L83" s="9">
        <v>5</v>
      </c>
      <c r="M83" s="9">
        <v>25</v>
      </c>
      <c r="N83" s="16">
        <v>4</v>
      </c>
      <c r="O83" s="5">
        <v>0</v>
      </c>
      <c r="P83" s="5">
        <v>0</v>
      </c>
      <c r="Q83" s="5">
        <v>0</v>
      </c>
      <c r="R83" s="16">
        <v>300</v>
      </c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3.5" customHeight="1">
      <c r="A84" s="7" t="s">
        <v>138</v>
      </c>
      <c r="B84" s="7" t="s">
        <v>251</v>
      </c>
      <c r="C84" s="15" t="str">
        <f t="shared" si="11"/>
        <v>7,4</v>
      </c>
      <c r="D84" s="15" t="str">
        <f t="shared" si="12"/>
        <v>53,0</v>
      </c>
      <c r="E84" s="15" t="str">
        <f t="shared" si="13"/>
        <v>0,0</v>
      </c>
      <c r="F84" s="15" t="str">
        <f t="shared" si="14"/>
        <v>0,0</v>
      </c>
      <c r="G84" s="15" t="str">
        <f t="shared" si="15"/>
        <v>1,300</v>
      </c>
      <c r="H84" s="8"/>
      <c r="I84" s="9">
        <v>7</v>
      </c>
      <c r="J84" s="9">
        <v>53</v>
      </c>
      <c r="K84" s="9">
        <v>0</v>
      </c>
      <c r="L84" s="9">
        <v>0</v>
      </c>
      <c r="M84" s="17">
        <v>1</v>
      </c>
      <c r="N84" s="16">
        <v>4</v>
      </c>
      <c r="O84" s="5">
        <v>0</v>
      </c>
      <c r="P84" s="5">
        <v>0</v>
      </c>
      <c r="Q84" s="5">
        <v>0</v>
      </c>
      <c r="R84" s="16">
        <v>300</v>
      </c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3.5" customHeight="1">
      <c r="A85" s="7" t="s">
        <v>139</v>
      </c>
      <c r="B85" s="7" t="s">
        <v>252</v>
      </c>
      <c r="C85" s="15" t="str">
        <f t="shared" si="11"/>
        <v>6,4</v>
      </c>
      <c r="D85" s="15" t="str">
        <f t="shared" si="12"/>
        <v>1,0</v>
      </c>
      <c r="E85" s="15" t="str">
        <f t="shared" si="13"/>
        <v>0,0</v>
      </c>
      <c r="F85" s="15" t="str">
        <f t="shared" si="14"/>
        <v>5,0</v>
      </c>
      <c r="G85" s="15" t="str">
        <f t="shared" si="15"/>
        <v>25,300</v>
      </c>
      <c r="H85" s="8"/>
      <c r="I85" s="9">
        <v>6</v>
      </c>
      <c r="J85" s="9">
        <v>1</v>
      </c>
      <c r="K85" s="9">
        <v>0</v>
      </c>
      <c r="L85" s="9">
        <v>5</v>
      </c>
      <c r="M85" s="9">
        <v>25</v>
      </c>
      <c r="N85" s="16">
        <v>4</v>
      </c>
      <c r="O85" s="5">
        <v>0</v>
      </c>
      <c r="P85" s="5">
        <v>0</v>
      </c>
      <c r="Q85" s="5">
        <v>0</v>
      </c>
      <c r="R85" s="16">
        <v>300</v>
      </c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3.5" customHeight="1">
      <c r="A86" s="7" t="s">
        <v>140</v>
      </c>
      <c r="B86" s="7" t="s">
        <v>253</v>
      </c>
      <c r="C86" s="15" t="str">
        <f t="shared" si="11"/>
        <v>7,4</v>
      </c>
      <c r="D86" s="15" t="str">
        <f t="shared" si="12"/>
        <v>54,0</v>
      </c>
      <c r="E86" s="15" t="str">
        <f t="shared" si="13"/>
        <v>0,0</v>
      </c>
      <c r="F86" s="15" t="str">
        <f t="shared" si="14"/>
        <v>0,0</v>
      </c>
      <c r="G86" s="15" t="str">
        <f t="shared" si="15"/>
        <v>1,300</v>
      </c>
      <c r="H86" s="8"/>
      <c r="I86" s="9">
        <v>7</v>
      </c>
      <c r="J86" s="9">
        <v>54</v>
      </c>
      <c r="K86" s="9">
        <v>0</v>
      </c>
      <c r="L86" s="9">
        <v>0</v>
      </c>
      <c r="M86" s="9">
        <v>1</v>
      </c>
      <c r="N86" s="16">
        <v>4</v>
      </c>
      <c r="O86" s="5">
        <v>0</v>
      </c>
      <c r="P86" s="5">
        <v>0</v>
      </c>
      <c r="Q86" s="5">
        <v>0</v>
      </c>
      <c r="R86" s="16">
        <v>300</v>
      </c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3.5" customHeight="1">
      <c r="A87" s="7" t="s">
        <v>141</v>
      </c>
      <c r="B87" s="7" t="s">
        <v>254</v>
      </c>
      <c r="C87" s="15" t="str">
        <f t="shared" si="11"/>
        <v>6,4</v>
      </c>
      <c r="D87" s="15" t="str">
        <f t="shared" si="12"/>
        <v>1,0</v>
      </c>
      <c r="E87" s="15" t="str">
        <f t="shared" si="13"/>
        <v>0,0</v>
      </c>
      <c r="F87" s="15" t="str">
        <f t="shared" si="14"/>
        <v>5,0</v>
      </c>
      <c r="G87" s="15" t="str">
        <f t="shared" si="15"/>
        <v>25,300</v>
      </c>
      <c r="H87" s="8"/>
      <c r="I87" s="9">
        <v>6</v>
      </c>
      <c r="J87" s="9">
        <v>1</v>
      </c>
      <c r="K87" s="9">
        <v>0</v>
      </c>
      <c r="L87" s="9">
        <v>5</v>
      </c>
      <c r="M87" s="9">
        <v>25</v>
      </c>
      <c r="N87" s="16">
        <v>4</v>
      </c>
      <c r="O87" s="5">
        <v>0</v>
      </c>
      <c r="P87" s="5">
        <v>0</v>
      </c>
      <c r="Q87" s="5">
        <v>0</v>
      </c>
      <c r="R87" s="16">
        <v>300</v>
      </c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3.5" customHeight="1">
      <c r="A88" s="7" t="s">
        <v>142</v>
      </c>
      <c r="B88" s="7" t="s">
        <v>255</v>
      </c>
      <c r="C88" s="15" t="str">
        <f t="shared" si="11"/>
        <v>7,4</v>
      </c>
      <c r="D88" s="15" t="str">
        <f t="shared" si="12"/>
        <v>55,0</v>
      </c>
      <c r="E88" s="15" t="str">
        <f t="shared" si="13"/>
        <v>0,0</v>
      </c>
      <c r="F88" s="15" t="str">
        <f t="shared" si="14"/>
        <v>0,0</v>
      </c>
      <c r="G88" s="15" t="str">
        <f t="shared" si="15"/>
        <v>1,300</v>
      </c>
      <c r="H88" s="8"/>
      <c r="I88" s="9">
        <v>7</v>
      </c>
      <c r="J88" s="9">
        <v>55</v>
      </c>
      <c r="K88" s="9">
        <v>0</v>
      </c>
      <c r="L88" s="9">
        <v>0</v>
      </c>
      <c r="M88" s="9">
        <v>1</v>
      </c>
      <c r="N88" s="16">
        <v>4</v>
      </c>
      <c r="O88" s="5">
        <v>0</v>
      </c>
      <c r="P88" s="5">
        <v>0</v>
      </c>
      <c r="Q88" s="5">
        <v>0</v>
      </c>
      <c r="R88" s="16">
        <v>300</v>
      </c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3.5" customHeight="1">
      <c r="A89" s="7" t="s">
        <v>143</v>
      </c>
      <c r="B89" s="7" t="s">
        <v>256</v>
      </c>
      <c r="C89" s="15" t="str">
        <f t="shared" si="11"/>
        <v>6,4</v>
      </c>
      <c r="D89" s="15" t="str">
        <f t="shared" si="12"/>
        <v>1,0</v>
      </c>
      <c r="E89" s="15" t="str">
        <f t="shared" si="13"/>
        <v>0,0</v>
      </c>
      <c r="F89" s="15" t="str">
        <f t="shared" si="14"/>
        <v>5,0</v>
      </c>
      <c r="G89" s="15" t="str">
        <f t="shared" si="15"/>
        <v>25,300</v>
      </c>
      <c r="H89" s="8"/>
      <c r="I89" s="9">
        <v>6</v>
      </c>
      <c r="J89" s="9">
        <v>1</v>
      </c>
      <c r="K89" s="9">
        <v>0</v>
      </c>
      <c r="L89" s="9">
        <v>5</v>
      </c>
      <c r="M89" s="9">
        <v>25</v>
      </c>
      <c r="N89" s="16">
        <v>4</v>
      </c>
      <c r="O89" s="5">
        <v>0</v>
      </c>
      <c r="P89" s="5">
        <v>0</v>
      </c>
      <c r="Q89" s="5">
        <v>0</v>
      </c>
      <c r="R89" s="16">
        <v>300</v>
      </c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3.5" customHeight="1">
      <c r="A90" s="7" t="s">
        <v>144</v>
      </c>
      <c r="B90" s="7" t="s">
        <v>257</v>
      </c>
      <c r="C90" s="15" t="str">
        <f t="shared" si="11"/>
        <v>7,4</v>
      </c>
      <c r="D90" s="15" t="str">
        <f t="shared" si="12"/>
        <v>56,0</v>
      </c>
      <c r="E90" s="15" t="str">
        <f t="shared" si="13"/>
        <v>0,0</v>
      </c>
      <c r="F90" s="15" t="str">
        <f t="shared" si="14"/>
        <v>0,0</v>
      </c>
      <c r="G90" s="15" t="str">
        <f t="shared" si="15"/>
        <v>1,300</v>
      </c>
      <c r="H90" s="8"/>
      <c r="I90" s="9">
        <v>7</v>
      </c>
      <c r="J90" s="9">
        <v>56</v>
      </c>
      <c r="K90" s="9">
        <v>0</v>
      </c>
      <c r="L90" s="9">
        <v>0</v>
      </c>
      <c r="M90" s="9">
        <v>1</v>
      </c>
      <c r="N90" s="16">
        <v>4</v>
      </c>
      <c r="O90" s="5">
        <v>0</v>
      </c>
      <c r="P90" s="5">
        <v>0</v>
      </c>
      <c r="Q90" s="5">
        <v>0</v>
      </c>
      <c r="R90" s="16">
        <v>300</v>
      </c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3.5" customHeight="1">
      <c r="A91" s="7" t="s">
        <v>145</v>
      </c>
      <c r="B91" s="7" t="s">
        <v>258</v>
      </c>
      <c r="C91" s="15" t="str">
        <f t="shared" si="11"/>
        <v>6,4</v>
      </c>
      <c r="D91" s="15" t="str">
        <f t="shared" si="12"/>
        <v>1,0</v>
      </c>
      <c r="E91" s="15" t="str">
        <f t="shared" si="13"/>
        <v>0,0</v>
      </c>
      <c r="F91" s="15" t="str">
        <f t="shared" si="14"/>
        <v>5,0</v>
      </c>
      <c r="G91" s="15" t="str">
        <f t="shared" si="15"/>
        <v>25,300</v>
      </c>
      <c r="H91" s="8"/>
      <c r="I91" s="9">
        <v>6</v>
      </c>
      <c r="J91" s="9">
        <v>1</v>
      </c>
      <c r="K91" s="9">
        <v>0</v>
      </c>
      <c r="L91" s="9">
        <v>5</v>
      </c>
      <c r="M91" s="9">
        <v>25</v>
      </c>
      <c r="N91" s="16">
        <v>4</v>
      </c>
      <c r="O91" s="5">
        <v>0</v>
      </c>
      <c r="P91" s="5">
        <v>0</v>
      </c>
      <c r="Q91" s="5">
        <v>0</v>
      </c>
      <c r="R91" s="16">
        <v>300</v>
      </c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3.5" customHeight="1">
      <c r="A92" s="7" t="s">
        <v>146</v>
      </c>
      <c r="B92" s="7" t="s">
        <v>259</v>
      </c>
      <c r="C92" s="15" t="str">
        <f t="shared" si="11"/>
        <v>7,4</v>
      </c>
      <c r="D92" s="15" t="str">
        <f t="shared" si="12"/>
        <v>57,0</v>
      </c>
      <c r="E92" s="15" t="str">
        <f t="shared" si="13"/>
        <v>0,0</v>
      </c>
      <c r="F92" s="15" t="str">
        <f t="shared" si="14"/>
        <v>0,0</v>
      </c>
      <c r="G92" s="15" t="str">
        <f t="shared" si="15"/>
        <v>1,300</v>
      </c>
      <c r="H92" s="8"/>
      <c r="I92" s="9">
        <v>7</v>
      </c>
      <c r="J92" s="9">
        <v>57</v>
      </c>
      <c r="K92" s="9">
        <v>0</v>
      </c>
      <c r="L92" s="9">
        <v>0</v>
      </c>
      <c r="M92" s="9">
        <v>1</v>
      </c>
      <c r="N92" s="16">
        <v>4</v>
      </c>
      <c r="O92" s="5">
        <v>0</v>
      </c>
      <c r="P92" s="5">
        <v>0</v>
      </c>
      <c r="Q92" s="5">
        <v>0</v>
      </c>
      <c r="R92" s="16">
        <v>300</v>
      </c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3.5" customHeight="1">
      <c r="A93" s="7" t="s">
        <v>147</v>
      </c>
      <c r="B93" s="7" t="s">
        <v>260</v>
      </c>
      <c r="C93" s="15" t="str">
        <f t="shared" si="11"/>
        <v>6,4</v>
      </c>
      <c r="D93" s="15" t="str">
        <f t="shared" si="12"/>
        <v>1,0</v>
      </c>
      <c r="E93" s="15" t="str">
        <f t="shared" si="13"/>
        <v>0,0</v>
      </c>
      <c r="F93" s="15" t="str">
        <f t="shared" si="14"/>
        <v>5,0</v>
      </c>
      <c r="G93" s="15" t="str">
        <f t="shared" si="15"/>
        <v>25,300</v>
      </c>
      <c r="H93" s="8"/>
      <c r="I93" s="9">
        <v>6</v>
      </c>
      <c r="J93" s="9">
        <v>1</v>
      </c>
      <c r="K93" s="9">
        <v>0</v>
      </c>
      <c r="L93" s="9">
        <v>5</v>
      </c>
      <c r="M93" s="9">
        <v>25</v>
      </c>
      <c r="N93" s="16">
        <v>4</v>
      </c>
      <c r="O93" s="5">
        <v>0</v>
      </c>
      <c r="P93" s="5">
        <v>0</v>
      </c>
      <c r="Q93" s="5">
        <v>0</v>
      </c>
      <c r="R93" s="16">
        <v>300</v>
      </c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3.5" customHeight="1">
      <c r="A94" s="7" t="s">
        <v>148</v>
      </c>
      <c r="B94" s="7" t="s">
        <v>261</v>
      </c>
      <c r="C94" s="15" t="str">
        <f t="shared" si="11"/>
        <v>7,4</v>
      </c>
      <c r="D94" s="15" t="str">
        <f t="shared" si="12"/>
        <v>58,0</v>
      </c>
      <c r="E94" s="15" t="str">
        <f t="shared" si="13"/>
        <v>0,0</v>
      </c>
      <c r="F94" s="15" t="str">
        <f t="shared" si="14"/>
        <v>0,0</v>
      </c>
      <c r="G94" s="15" t="str">
        <f t="shared" si="15"/>
        <v>1,300</v>
      </c>
      <c r="H94" s="8"/>
      <c r="I94" s="9">
        <v>7</v>
      </c>
      <c r="J94" s="9">
        <v>58</v>
      </c>
      <c r="K94" s="9">
        <v>0</v>
      </c>
      <c r="L94" s="9">
        <v>0</v>
      </c>
      <c r="M94" s="17">
        <v>1</v>
      </c>
      <c r="N94" s="16">
        <v>4</v>
      </c>
      <c r="O94" s="5">
        <v>0</v>
      </c>
      <c r="P94" s="5">
        <v>0</v>
      </c>
      <c r="Q94" s="5">
        <v>0</v>
      </c>
      <c r="R94" s="16">
        <v>300</v>
      </c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3.5" customHeight="1">
      <c r="A95" s="7" t="s">
        <v>149</v>
      </c>
      <c r="B95" s="7" t="s">
        <v>262</v>
      </c>
      <c r="C95" s="15" t="str">
        <f t="shared" si="11"/>
        <v>6,4</v>
      </c>
      <c r="D95" s="15" t="str">
        <f t="shared" si="12"/>
        <v>1,0</v>
      </c>
      <c r="E95" s="15" t="str">
        <f t="shared" si="13"/>
        <v>0,0</v>
      </c>
      <c r="F95" s="15" t="str">
        <f t="shared" si="14"/>
        <v>5,0</v>
      </c>
      <c r="G95" s="15" t="str">
        <f t="shared" si="15"/>
        <v>25,300</v>
      </c>
      <c r="H95" s="8"/>
      <c r="I95" s="9">
        <v>6</v>
      </c>
      <c r="J95" s="9">
        <v>1</v>
      </c>
      <c r="K95" s="9">
        <v>0</v>
      </c>
      <c r="L95" s="9">
        <v>5</v>
      </c>
      <c r="M95" s="9">
        <v>25</v>
      </c>
      <c r="N95" s="16">
        <v>4</v>
      </c>
      <c r="O95" s="5">
        <v>0</v>
      </c>
      <c r="P95" s="5">
        <v>0</v>
      </c>
      <c r="Q95" s="5">
        <v>0</v>
      </c>
      <c r="R95" s="16">
        <v>300</v>
      </c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3.5" customHeight="1">
      <c r="A96" s="7" t="s">
        <v>150</v>
      </c>
      <c r="B96" s="7" t="s">
        <v>263</v>
      </c>
      <c r="C96" s="15" t="str">
        <f t="shared" si="11"/>
        <v>7,4</v>
      </c>
      <c r="D96" s="15" t="str">
        <f t="shared" si="12"/>
        <v>59,0</v>
      </c>
      <c r="E96" s="15" t="str">
        <f t="shared" si="13"/>
        <v>0,0</v>
      </c>
      <c r="F96" s="15" t="str">
        <f t="shared" si="14"/>
        <v>0,0</v>
      </c>
      <c r="G96" s="15" t="str">
        <f t="shared" si="15"/>
        <v>1,300</v>
      </c>
      <c r="H96" s="8"/>
      <c r="I96" s="9">
        <v>7</v>
      </c>
      <c r="J96" s="9">
        <v>59</v>
      </c>
      <c r="K96" s="9">
        <v>0</v>
      </c>
      <c r="L96" s="9">
        <v>0</v>
      </c>
      <c r="M96" s="9">
        <v>1</v>
      </c>
      <c r="N96" s="16">
        <v>4</v>
      </c>
      <c r="O96" s="5">
        <v>0</v>
      </c>
      <c r="P96" s="5">
        <v>0</v>
      </c>
      <c r="Q96" s="5">
        <v>0</v>
      </c>
      <c r="R96" s="16">
        <v>300</v>
      </c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3.5" customHeight="1">
      <c r="A97" s="7" t="s">
        <v>151</v>
      </c>
      <c r="B97" s="7" t="s">
        <v>264</v>
      </c>
      <c r="C97" s="15" t="str">
        <f t="shared" si="11"/>
        <v>6,4</v>
      </c>
      <c r="D97" s="15" t="str">
        <f t="shared" si="12"/>
        <v>1,0</v>
      </c>
      <c r="E97" s="15" t="str">
        <f t="shared" si="13"/>
        <v>0,0</v>
      </c>
      <c r="F97" s="15" t="str">
        <f t="shared" si="14"/>
        <v>5,0</v>
      </c>
      <c r="G97" s="15" t="str">
        <f t="shared" si="15"/>
        <v>25,300</v>
      </c>
      <c r="H97" s="8"/>
      <c r="I97" s="9">
        <v>6</v>
      </c>
      <c r="J97" s="9">
        <v>1</v>
      </c>
      <c r="K97" s="9">
        <v>0</v>
      </c>
      <c r="L97" s="9">
        <v>5</v>
      </c>
      <c r="M97" s="9">
        <v>25</v>
      </c>
      <c r="N97" s="16">
        <v>4</v>
      </c>
      <c r="O97" s="5">
        <v>0</v>
      </c>
      <c r="P97" s="5">
        <v>0</v>
      </c>
      <c r="Q97" s="5">
        <v>0</v>
      </c>
      <c r="R97" s="16">
        <v>300</v>
      </c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3.5" customHeight="1">
      <c r="A98" s="7" t="s">
        <v>152</v>
      </c>
      <c r="B98" s="7" t="s">
        <v>265</v>
      </c>
      <c r="C98" s="15" t="str">
        <f t="shared" si="11"/>
        <v>7,4</v>
      </c>
      <c r="D98" s="15" t="str">
        <f t="shared" si="12"/>
        <v>60,0</v>
      </c>
      <c r="E98" s="15" t="str">
        <f t="shared" si="13"/>
        <v>0,0</v>
      </c>
      <c r="F98" s="15" t="str">
        <f t="shared" si="14"/>
        <v>0,0</v>
      </c>
      <c r="G98" s="15" t="str">
        <f t="shared" si="15"/>
        <v>1,300</v>
      </c>
      <c r="H98" s="8"/>
      <c r="I98" s="9">
        <v>7</v>
      </c>
      <c r="J98" s="9">
        <v>60</v>
      </c>
      <c r="K98" s="9">
        <v>0</v>
      </c>
      <c r="L98" s="9">
        <v>0</v>
      </c>
      <c r="M98" s="9">
        <v>1</v>
      </c>
      <c r="N98" s="16">
        <v>4</v>
      </c>
      <c r="O98" s="5">
        <v>0</v>
      </c>
      <c r="P98" s="5">
        <v>0</v>
      </c>
      <c r="Q98" s="5">
        <v>0</v>
      </c>
      <c r="R98" s="16">
        <v>300</v>
      </c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3.5" customHeight="1">
      <c r="A99" s="7" t="s">
        <v>153</v>
      </c>
      <c r="B99" s="7" t="s">
        <v>266</v>
      </c>
      <c r="C99" s="15" t="str">
        <f t="shared" si="11"/>
        <v>6,4</v>
      </c>
      <c r="D99" s="15" t="str">
        <f t="shared" si="12"/>
        <v>1,0</v>
      </c>
      <c r="E99" s="15" t="str">
        <f t="shared" si="13"/>
        <v>0,0</v>
      </c>
      <c r="F99" s="15" t="str">
        <f t="shared" si="14"/>
        <v>5,0</v>
      </c>
      <c r="G99" s="15" t="str">
        <f t="shared" si="15"/>
        <v>25,300</v>
      </c>
      <c r="H99" s="8"/>
      <c r="I99" s="9">
        <v>6</v>
      </c>
      <c r="J99" s="9">
        <v>1</v>
      </c>
      <c r="K99" s="9">
        <v>0</v>
      </c>
      <c r="L99" s="9">
        <v>5</v>
      </c>
      <c r="M99" s="9">
        <v>25</v>
      </c>
      <c r="N99" s="16">
        <v>4</v>
      </c>
      <c r="O99" s="5">
        <v>0</v>
      </c>
      <c r="P99" s="5">
        <v>0</v>
      </c>
      <c r="Q99" s="5">
        <v>0</v>
      </c>
      <c r="R99" s="16">
        <v>300</v>
      </c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3.5" customHeight="1">
      <c r="A100" s="7" t="s">
        <v>154</v>
      </c>
      <c r="B100" s="7" t="s">
        <v>267</v>
      </c>
      <c r="C100" s="15" t="str">
        <f t="shared" si="11"/>
        <v>7,4</v>
      </c>
      <c r="D100" s="15" t="str">
        <f t="shared" si="12"/>
        <v>57,0</v>
      </c>
      <c r="E100" s="15" t="str">
        <f t="shared" si="13"/>
        <v>0,0</v>
      </c>
      <c r="F100" s="15" t="str">
        <f t="shared" si="14"/>
        <v>0,0</v>
      </c>
      <c r="G100" s="15" t="str">
        <f t="shared" si="15"/>
        <v>1,300</v>
      </c>
      <c r="H100" s="8"/>
      <c r="I100" s="9">
        <v>7</v>
      </c>
      <c r="J100" s="9">
        <v>57</v>
      </c>
      <c r="K100" s="9">
        <v>0</v>
      </c>
      <c r="L100" s="9">
        <v>0</v>
      </c>
      <c r="M100" s="9">
        <v>1</v>
      </c>
      <c r="N100" s="16">
        <v>4</v>
      </c>
      <c r="O100" s="5">
        <v>0</v>
      </c>
      <c r="P100" s="5">
        <v>0</v>
      </c>
      <c r="Q100" s="5">
        <v>0</v>
      </c>
      <c r="R100" s="16">
        <v>300</v>
      </c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3.5" customHeight="1">
      <c r="A101" s="7" t="s">
        <v>155</v>
      </c>
      <c r="B101" s="7" t="s">
        <v>268</v>
      </c>
      <c r="C101" s="15" t="str">
        <f t="shared" si="11"/>
        <v>6,4</v>
      </c>
      <c r="D101" s="15" t="str">
        <f t="shared" si="12"/>
        <v>1,0</v>
      </c>
      <c r="E101" s="15" t="str">
        <f t="shared" si="13"/>
        <v>0,0</v>
      </c>
      <c r="F101" s="15" t="str">
        <f t="shared" si="14"/>
        <v>5,0</v>
      </c>
      <c r="G101" s="15" t="str">
        <f t="shared" si="15"/>
        <v>25,300</v>
      </c>
      <c r="H101" s="8"/>
      <c r="I101" s="9">
        <v>6</v>
      </c>
      <c r="J101" s="9">
        <v>1</v>
      </c>
      <c r="K101" s="9">
        <v>0</v>
      </c>
      <c r="L101" s="9">
        <v>5</v>
      </c>
      <c r="M101" s="9">
        <v>25</v>
      </c>
      <c r="N101" s="16">
        <v>4</v>
      </c>
      <c r="O101" s="5">
        <v>0</v>
      </c>
      <c r="P101" s="5">
        <v>0</v>
      </c>
      <c r="Q101" s="5">
        <v>0</v>
      </c>
      <c r="R101" s="16">
        <v>300</v>
      </c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3.5" customHeight="1">
      <c r="A102" s="7" t="s">
        <v>156</v>
      </c>
      <c r="B102" s="7" t="s">
        <v>269</v>
      </c>
      <c r="C102" s="15" t="str">
        <f t="shared" si="11"/>
        <v>7,4</v>
      </c>
      <c r="D102" s="15" t="str">
        <f t="shared" si="12"/>
        <v>58,0</v>
      </c>
      <c r="E102" s="15" t="str">
        <f t="shared" si="13"/>
        <v>0,0</v>
      </c>
      <c r="F102" s="15" t="str">
        <f t="shared" si="14"/>
        <v>0,0</v>
      </c>
      <c r="G102" s="15" t="str">
        <f t="shared" si="15"/>
        <v>1,300</v>
      </c>
      <c r="H102" s="8"/>
      <c r="I102" s="9">
        <v>7</v>
      </c>
      <c r="J102" s="9">
        <v>58</v>
      </c>
      <c r="K102" s="9">
        <v>0</v>
      </c>
      <c r="L102" s="9">
        <v>0</v>
      </c>
      <c r="M102" s="9">
        <v>1</v>
      </c>
      <c r="N102" s="16">
        <v>4</v>
      </c>
      <c r="O102" s="5">
        <v>0</v>
      </c>
      <c r="P102" s="5">
        <v>0</v>
      </c>
      <c r="Q102" s="5">
        <v>0</v>
      </c>
      <c r="R102" s="16">
        <v>300</v>
      </c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3.5" customHeight="1">
      <c r="A103" s="7" t="s">
        <v>157</v>
      </c>
      <c r="B103" s="7" t="s">
        <v>270</v>
      </c>
      <c r="C103" s="15" t="str">
        <f t="shared" si="11"/>
        <v>6,4</v>
      </c>
      <c r="D103" s="15" t="str">
        <f t="shared" si="12"/>
        <v>1,0</v>
      </c>
      <c r="E103" s="15" t="str">
        <f t="shared" si="13"/>
        <v>0,0</v>
      </c>
      <c r="F103" s="15" t="str">
        <f t="shared" si="14"/>
        <v>5,0</v>
      </c>
      <c r="G103" s="15" t="str">
        <f t="shared" si="15"/>
        <v>25,300</v>
      </c>
      <c r="H103" s="8"/>
      <c r="I103" s="9">
        <v>6</v>
      </c>
      <c r="J103" s="9">
        <v>1</v>
      </c>
      <c r="K103" s="9">
        <v>0</v>
      </c>
      <c r="L103" s="9">
        <v>5</v>
      </c>
      <c r="M103" s="9">
        <v>25</v>
      </c>
      <c r="N103" s="16">
        <v>4</v>
      </c>
      <c r="O103" s="5">
        <v>0</v>
      </c>
      <c r="P103" s="5">
        <v>0</v>
      </c>
      <c r="Q103" s="5">
        <v>0</v>
      </c>
      <c r="R103" s="16">
        <v>300</v>
      </c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3.5" customHeight="1">
      <c r="A104" s="7" t="s">
        <v>158</v>
      </c>
      <c r="B104" s="7" t="s">
        <v>271</v>
      </c>
      <c r="C104" s="15" t="str">
        <f t="shared" si="11"/>
        <v>7,4</v>
      </c>
      <c r="D104" s="15" t="str">
        <f t="shared" si="12"/>
        <v>59,0</v>
      </c>
      <c r="E104" s="15" t="str">
        <f t="shared" si="13"/>
        <v>0,0</v>
      </c>
      <c r="F104" s="15" t="str">
        <f t="shared" si="14"/>
        <v>0,0</v>
      </c>
      <c r="G104" s="15" t="str">
        <f t="shared" si="15"/>
        <v>1,300</v>
      </c>
      <c r="H104" s="8"/>
      <c r="I104" s="9">
        <v>7</v>
      </c>
      <c r="J104" s="9">
        <v>59</v>
      </c>
      <c r="K104" s="9">
        <v>0</v>
      </c>
      <c r="L104" s="9">
        <v>0</v>
      </c>
      <c r="M104" s="17">
        <v>1</v>
      </c>
      <c r="N104" s="16">
        <v>4</v>
      </c>
      <c r="O104" s="5">
        <v>0</v>
      </c>
      <c r="P104" s="5">
        <v>0</v>
      </c>
      <c r="Q104" s="5">
        <v>0</v>
      </c>
      <c r="R104" s="16">
        <v>300</v>
      </c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3.5" customHeight="1">
      <c r="A105" s="7" t="s">
        <v>159</v>
      </c>
      <c r="B105" s="7" t="s">
        <v>272</v>
      </c>
      <c r="C105" s="15" t="str">
        <f t="shared" si="11"/>
        <v>6,4</v>
      </c>
      <c r="D105" s="15" t="str">
        <f t="shared" si="12"/>
        <v>1,0</v>
      </c>
      <c r="E105" s="15" t="str">
        <f t="shared" si="13"/>
        <v>0,0</v>
      </c>
      <c r="F105" s="15" t="str">
        <f t="shared" si="14"/>
        <v>5,0</v>
      </c>
      <c r="G105" s="15" t="str">
        <f t="shared" si="15"/>
        <v>25,300</v>
      </c>
      <c r="H105" s="8"/>
      <c r="I105" s="9">
        <v>6</v>
      </c>
      <c r="J105" s="9">
        <v>1</v>
      </c>
      <c r="K105" s="9">
        <v>0</v>
      </c>
      <c r="L105" s="9">
        <v>5</v>
      </c>
      <c r="M105" s="9">
        <v>25</v>
      </c>
      <c r="N105" s="16">
        <v>4</v>
      </c>
      <c r="O105" s="5">
        <v>0</v>
      </c>
      <c r="P105" s="5">
        <v>0</v>
      </c>
      <c r="Q105" s="5">
        <v>0</v>
      </c>
      <c r="R105" s="16">
        <v>300</v>
      </c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3.5" customHeight="1">
      <c r="A106" s="7" t="s">
        <v>160</v>
      </c>
      <c r="B106" s="7" t="s">
        <v>273</v>
      </c>
      <c r="C106" s="15" t="str">
        <f t="shared" si="11"/>
        <v>7,4</v>
      </c>
      <c r="D106" s="15" t="str">
        <f t="shared" si="12"/>
        <v>60,0</v>
      </c>
      <c r="E106" s="15" t="str">
        <f t="shared" si="13"/>
        <v>0,0</v>
      </c>
      <c r="F106" s="15" t="str">
        <f t="shared" si="14"/>
        <v>0,0</v>
      </c>
      <c r="G106" s="15" t="str">
        <f t="shared" si="15"/>
        <v>1,300</v>
      </c>
      <c r="H106" s="8"/>
      <c r="I106" s="9">
        <v>7</v>
      </c>
      <c r="J106" s="9">
        <v>60</v>
      </c>
      <c r="K106" s="9">
        <v>0</v>
      </c>
      <c r="L106" s="9">
        <v>0</v>
      </c>
      <c r="M106" s="9">
        <v>1</v>
      </c>
      <c r="N106" s="16">
        <v>4</v>
      </c>
      <c r="O106" s="5">
        <v>0</v>
      </c>
      <c r="P106" s="5">
        <v>0</v>
      </c>
      <c r="Q106" s="5">
        <v>0</v>
      </c>
      <c r="R106" s="16">
        <v>300</v>
      </c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3.5" customHeight="1">
      <c r="A107" s="7" t="s">
        <v>161</v>
      </c>
      <c r="B107" s="7" t="s">
        <v>274</v>
      </c>
      <c r="C107" s="15" t="str">
        <f t="shared" si="11"/>
        <v>6,4</v>
      </c>
      <c r="D107" s="15" t="str">
        <f t="shared" si="12"/>
        <v>1,0</v>
      </c>
      <c r="E107" s="15" t="str">
        <f t="shared" si="13"/>
        <v>0,0</v>
      </c>
      <c r="F107" s="15" t="str">
        <f t="shared" si="14"/>
        <v>5,0</v>
      </c>
      <c r="G107" s="15" t="str">
        <f t="shared" si="15"/>
        <v>25,300</v>
      </c>
      <c r="H107" s="8"/>
      <c r="I107" s="9">
        <v>6</v>
      </c>
      <c r="J107" s="9">
        <v>1</v>
      </c>
      <c r="K107" s="9">
        <v>0</v>
      </c>
      <c r="L107" s="9">
        <v>5</v>
      </c>
      <c r="M107" s="9">
        <v>25</v>
      </c>
      <c r="N107" s="16">
        <v>4</v>
      </c>
      <c r="O107" s="5">
        <v>0</v>
      </c>
      <c r="P107" s="5">
        <v>0</v>
      </c>
      <c r="Q107" s="5">
        <v>0</v>
      </c>
      <c r="R107" s="16">
        <v>300</v>
      </c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3.5" customHeight="1">
      <c r="A108" s="7" t="s">
        <v>162</v>
      </c>
      <c r="B108" s="7" t="s">
        <v>275</v>
      </c>
      <c r="C108" s="15" t="str">
        <f t="shared" si="11"/>
        <v>7,4</v>
      </c>
      <c r="D108" s="15" t="str">
        <f t="shared" si="12"/>
        <v>61,0</v>
      </c>
      <c r="E108" s="15" t="str">
        <f t="shared" si="13"/>
        <v>0,0</v>
      </c>
      <c r="F108" s="15" t="str">
        <f t="shared" si="14"/>
        <v>0,0</v>
      </c>
      <c r="G108" s="15" t="str">
        <f t="shared" si="15"/>
        <v>1,300</v>
      </c>
      <c r="H108" s="8"/>
      <c r="I108" s="9">
        <v>7</v>
      </c>
      <c r="J108" s="9">
        <v>61</v>
      </c>
      <c r="K108" s="9">
        <v>0</v>
      </c>
      <c r="L108" s="9">
        <v>0</v>
      </c>
      <c r="M108" s="9">
        <v>1</v>
      </c>
      <c r="N108" s="16">
        <v>4</v>
      </c>
      <c r="O108" s="5">
        <v>0</v>
      </c>
      <c r="P108" s="5">
        <v>0</v>
      </c>
      <c r="Q108" s="5">
        <v>0</v>
      </c>
      <c r="R108" s="16">
        <v>300</v>
      </c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3.5" customHeight="1">
      <c r="A109" s="7" t="s">
        <v>163</v>
      </c>
      <c r="B109" s="7" t="s">
        <v>276</v>
      </c>
      <c r="C109" s="15" t="str">
        <f t="shared" si="11"/>
        <v>6,4</v>
      </c>
      <c r="D109" s="15" t="str">
        <f t="shared" si="12"/>
        <v>1,0</v>
      </c>
      <c r="E109" s="15" t="str">
        <f t="shared" si="13"/>
        <v>0,0</v>
      </c>
      <c r="F109" s="15" t="str">
        <f t="shared" si="14"/>
        <v>5,0</v>
      </c>
      <c r="G109" s="15" t="str">
        <f t="shared" si="15"/>
        <v>25,300</v>
      </c>
      <c r="H109" s="8"/>
      <c r="I109" s="9">
        <v>6</v>
      </c>
      <c r="J109" s="9">
        <v>1</v>
      </c>
      <c r="K109" s="9">
        <v>0</v>
      </c>
      <c r="L109" s="9">
        <v>5</v>
      </c>
      <c r="M109" s="9">
        <v>25</v>
      </c>
      <c r="N109" s="16">
        <v>4</v>
      </c>
      <c r="O109" s="5">
        <v>0</v>
      </c>
      <c r="P109" s="5">
        <v>0</v>
      </c>
      <c r="Q109" s="5">
        <v>0</v>
      </c>
      <c r="R109" s="16">
        <v>300</v>
      </c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3.5" customHeight="1">
      <c r="A110" s="7" t="s">
        <v>164</v>
      </c>
      <c r="B110" s="7" t="s">
        <v>277</v>
      </c>
      <c r="C110" s="15" t="str">
        <f t="shared" si="11"/>
        <v>7,4</v>
      </c>
      <c r="D110" s="15" t="str">
        <f t="shared" si="12"/>
        <v>62,0</v>
      </c>
      <c r="E110" s="15" t="str">
        <f t="shared" si="13"/>
        <v>0,0</v>
      </c>
      <c r="F110" s="15" t="str">
        <f t="shared" si="14"/>
        <v>0,0</v>
      </c>
      <c r="G110" s="15" t="str">
        <f t="shared" si="15"/>
        <v>1,300</v>
      </c>
      <c r="H110" s="8"/>
      <c r="I110" s="9">
        <v>7</v>
      </c>
      <c r="J110" s="9">
        <v>62</v>
      </c>
      <c r="K110" s="9">
        <v>0</v>
      </c>
      <c r="L110" s="9">
        <v>0</v>
      </c>
      <c r="M110" s="9">
        <v>1</v>
      </c>
      <c r="N110" s="16">
        <v>4</v>
      </c>
      <c r="O110" s="5">
        <v>0</v>
      </c>
      <c r="P110" s="5">
        <v>0</v>
      </c>
      <c r="Q110" s="5">
        <v>0</v>
      </c>
      <c r="R110" s="16">
        <v>300</v>
      </c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3.5" customHeight="1">
      <c r="A111" s="7" t="s">
        <v>165</v>
      </c>
      <c r="B111" s="7" t="s">
        <v>278</v>
      </c>
      <c r="C111" s="15" t="str">
        <f t="shared" si="11"/>
        <v>6,4</v>
      </c>
      <c r="D111" s="15" t="str">
        <f t="shared" si="12"/>
        <v>1,0</v>
      </c>
      <c r="E111" s="15" t="str">
        <f t="shared" si="13"/>
        <v>0,0</v>
      </c>
      <c r="F111" s="15" t="str">
        <f t="shared" si="14"/>
        <v>5,0</v>
      </c>
      <c r="G111" s="15" t="str">
        <f t="shared" si="15"/>
        <v>25,300</v>
      </c>
      <c r="H111" s="8"/>
      <c r="I111" s="9">
        <v>6</v>
      </c>
      <c r="J111" s="9">
        <v>1</v>
      </c>
      <c r="K111" s="9">
        <v>0</v>
      </c>
      <c r="L111" s="9">
        <v>5</v>
      </c>
      <c r="M111" s="9">
        <v>25</v>
      </c>
      <c r="N111" s="16">
        <v>4</v>
      </c>
      <c r="O111" s="5">
        <v>0</v>
      </c>
      <c r="P111" s="5">
        <v>0</v>
      </c>
      <c r="Q111" s="5">
        <v>0</v>
      </c>
      <c r="R111" s="16">
        <v>300</v>
      </c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3.5" customHeight="1">
      <c r="A112" s="7" t="s">
        <v>166</v>
      </c>
      <c r="B112" s="7" t="s">
        <v>279</v>
      </c>
      <c r="C112" s="15" t="str">
        <f t="shared" si="11"/>
        <v>7,4</v>
      </c>
      <c r="D112" s="15" t="str">
        <f t="shared" si="12"/>
        <v>63,0</v>
      </c>
      <c r="E112" s="15" t="str">
        <f t="shared" si="13"/>
        <v>0,0</v>
      </c>
      <c r="F112" s="15" t="str">
        <f t="shared" si="14"/>
        <v>0,0</v>
      </c>
      <c r="G112" s="15" t="str">
        <f t="shared" si="15"/>
        <v>1,300</v>
      </c>
      <c r="H112" s="8"/>
      <c r="I112" s="9">
        <v>7</v>
      </c>
      <c r="J112" s="9">
        <v>63</v>
      </c>
      <c r="K112" s="9">
        <v>0</v>
      </c>
      <c r="L112" s="9">
        <v>0</v>
      </c>
      <c r="M112" s="9">
        <v>1</v>
      </c>
      <c r="N112" s="16">
        <v>4</v>
      </c>
      <c r="O112" s="5">
        <v>0</v>
      </c>
      <c r="P112" s="5">
        <v>0</v>
      </c>
      <c r="Q112" s="5">
        <v>0</v>
      </c>
      <c r="R112" s="16">
        <v>300</v>
      </c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3.5" customHeight="1">
      <c r="A113" s="7" t="s">
        <v>167</v>
      </c>
      <c r="B113" s="7" t="s">
        <v>280</v>
      </c>
      <c r="C113" s="15" t="str">
        <f t="shared" si="11"/>
        <v>6,4</v>
      </c>
      <c r="D113" s="15" t="str">
        <f t="shared" si="12"/>
        <v>1,0</v>
      </c>
      <c r="E113" s="15" t="str">
        <f t="shared" si="13"/>
        <v>0,0</v>
      </c>
      <c r="F113" s="15" t="str">
        <f t="shared" si="14"/>
        <v>5,0</v>
      </c>
      <c r="G113" s="15" t="str">
        <f t="shared" si="15"/>
        <v>25,300</v>
      </c>
      <c r="H113" s="8"/>
      <c r="I113" s="9">
        <v>6</v>
      </c>
      <c r="J113" s="9">
        <v>1</v>
      </c>
      <c r="K113" s="9">
        <v>0</v>
      </c>
      <c r="L113" s="9">
        <v>5</v>
      </c>
      <c r="M113" s="9">
        <v>25</v>
      </c>
      <c r="N113" s="16">
        <v>4</v>
      </c>
      <c r="O113" s="5">
        <v>0</v>
      </c>
      <c r="P113" s="5">
        <v>0</v>
      </c>
      <c r="Q113" s="5">
        <v>0</v>
      </c>
      <c r="R113" s="16">
        <v>300</v>
      </c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3.5" customHeight="1">
      <c r="A114" s="7" t="s">
        <v>168</v>
      </c>
      <c r="B114" s="7" t="s">
        <v>281</v>
      </c>
      <c r="C114" s="15" t="str">
        <f t="shared" si="11"/>
        <v>7,4</v>
      </c>
      <c r="D114" s="15" t="str">
        <f t="shared" si="12"/>
        <v>64,0</v>
      </c>
      <c r="E114" s="15" t="str">
        <f t="shared" si="13"/>
        <v>0,0</v>
      </c>
      <c r="F114" s="15" t="str">
        <f t="shared" si="14"/>
        <v>0,0</v>
      </c>
      <c r="G114" s="15" t="str">
        <f t="shared" si="15"/>
        <v>1,300</v>
      </c>
      <c r="H114" s="8"/>
      <c r="I114" s="9">
        <v>7</v>
      </c>
      <c r="J114" s="9">
        <v>64</v>
      </c>
      <c r="K114" s="9">
        <v>0</v>
      </c>
      <c r="L114" s="9">
        <v>0</v>
      </c>
      <c r="M114" s="17">
        <v>1</v>
      </c>
      <c r="N114" s="16">
        <v>4</v>
      </c>
      <c r="O114" s="5">
        <v>0</v>
      </c>
      <c r="P114" s="5">
        <v>0</v>
      </c>
      <c r="Q114" s="5">
        <v>0</v>
      </c>
      <c r="R114" s="16">
        <v>300</v>
      </c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3.5" customHeight="1">
      <c r="A115" s="7" t="s">
        <v>169</v>
      </c>
      <c r="B115" s="7" t="s">
        <v>282</v>
      </c>
      <c r="C115" s="15" t="str">
        <f t="shared" si="11"/>
        <v>6,4</v>
      </c>
      <c r="D115" s="15" t="str">
        <f t="shared" si="12"/>
        <v>1,0</v>
      </c>
      <c r="E115" s="15" t="str">
        <f t="shared" si="13"/>
        <v>0,0</v>
      </c>
      <c r="F115" s="15" t="str">
        <f t="shared" si="14"/>
        <v>5,0</v>
      </c>
      <c r="G115" s="15" t="str">
        <f t="shared" si="15"/>
        <v>25,300</v>
      </c>
      <c r="H115" s="8"/>
      <c r="I115" s="9">
        <v>6</v>
      </c>
      <c r="J115" s="9">
        <v>1</v>
      </c>
      <c r="K115" s="9">
        <v>0</v>
      </c>
      <c r="L115" s="9">
        <v>5</v>
      </c>
      <c r="M115" s="9">
        <v>25</v>
      </c>
      <c r="N115" s="16">
        <v>4</v>
      </c>
      <c r="O115" s="5">
        <v>0</v>
      </c>
      <c r="P115" s="5">
        <v>0</v>
      </c>
      <c r="Q115" s="5">
        <v>0</v>
      </c>
      <c r="R115" s="16">
        <v>300</v>
      </c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3.5" customHeight="1">
      <c r="A116" s="7" t="s">
        <v>170</v>
      </c>
      <c r="B116" s="7" t="s">
        <v>283</v>
      </c>
      <c r="C116" s="15" t="str">
        <f t="shared" si="11"/>
        <v>7,4</v>
      </c>
      <c r="D116" s="15" t="str">
        <f t="shared" si="12"/>
        <v>61,0</v>
      </c>
      <c r="E116" s="15" t="str">
        <f t="shared" si="13"/>
        <v>0,0</v>
      </c>
      <c r="F116" s="15" t="str">
        <f t="shared" si="14"/>
        <v>0,0</v>
      </c>
      <c r="G116" s="15" t="str">
        <f t="shared" si="15"/>
        <v>1,300</v>
      </c>
      <c r="H116" s="8"/>
      <c r="I116" s="9">
        <v>7</v>
      </c>
      <c r="J116" s="9">
        <v>61</v>
      </c>
      <c r="K116" s="9">
        <v>0</v>
      </c>
      <c r="L116" s="9">
        <v>0</v>
      </c>
      <c r="M116" s="9">
        <v>1</v>
      </c>
      <c r="N116" s="16">
        <v>4</v>
      </c>
      <c r="O116" s="5">
        <v>0</v>
      </c>
      <c r="P116" s="5">
        <v>0</v>
      </c>
      <c r="Q116" s="5">
        <v>0</v>
      </c>
      <c r="R116" s="16">
        <v>300</v>
      </c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3.5" customHeight="1">
      <c r="A117" s="7" t="s">
        <v>171</v>
      </c>
      <c r="B117" s="7" t="s">
        <v>284</v>
      </c>
      <c r="C117" s="15" t="str">
        <f t="shared" si="11"/>
        <v>6,4</v>
      </c>
      <c r="D117" s="15" t="str">
        <f t="shared" si="12"/>
        <v>1,0</v>
      </c>
      <c r="E117" s="15" t="str">
        <f t="shared" si="13"/>
        <v>0,0</v>
      </c>
      <c r="F117" s="15" t="str">
        <f t="shared" si="14"/>
        <v>5,0</v>
      </c>
      <c r="G117" s="15" t="str">
        <f t="shared" si="15"/>
        <v>25,300</v>
      </c>
      <c r="H117" s="8"/>
      <c r="I117" s="9">
        <v>6</v>
      </c>
      <c r="J117" s="9">
        <v>1</v>
      </c>
      <c r="K117" s="9">
        <v>0</v>
      </c>
      <c r="L117" s="9">
        <v>5</v>
      </c>
      <c r="M117" s="9">
        <v>25</v>
      </c>
      <c r="N117" s="16">
        <v>4</v>
      </c>
      <c r="O117" s="5">
        <v>0</v>
      </c>
      <c r="P117" s="5">
        <v>0</v>
      </c>
      <c r="Q117" s="5">
        <v>0</v>
      </c>
      <c r="R117" s="16">
        <v>300</v>
      </c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3.5" customHeight="1">
      <c r="A118" s="7" t="s">
        <v>172</v>
      </c>
      <c r="B118" s="7" t="s">
        <v>285</v>
      </c>
      <c r="C118" s="15" t="str">
        <f t="shared" si="11"/>
        <v>7,4</v>
      </c>
      <c r="D118" s="15" t="str">
        <f t="shared" si="12"/>
        <v>62,0</v>
      </c>
      <c r="E118" s="15" t="str">
        <f t="shared" si="13"/>
        <v>0,0</v>
      </c>
      <c r="F118" s="15" t="str">
        <f t="shared" si="14"/>
        <v>0,0</v>
      </c>
      <c r="G118" s="15" t="str">
        <f t="shared" si="15"/>
        <v>1,300</v>
      </c>
      <c r="H118" s="8"/>
      <c r="I118" s="9">
        <v>7</v>
      </c>
      <c r="J118" s="9">
        <v>62</v>
      </c>
      <c r="K118" s="9">
        <v>0</v>
      </c>
      <c r="L118" s="9">
        <v>0</v>
      </c>
      <c r="M118" s="9">
        <v>1</v>
      </c>
      <c r="N118" s="16">
        <v>4</v>
      </c>
      <c r="O118" s="5">
        <v>0</v>
      </c>
      <c r="P118" s="5">
        <v>0</v>
      </c>
      <c r="Q118" s="5">
        <v>0</v>
      </c>
      <c r="R118" s="16">
        <v>300</v>
      </c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3.5" customHeight="1">
      <c r="A119" s="7" t="s">
        <v>173</v>
      </c>
      <c r="B119" s="7" t="s">
        <v>286</v>
      </c>
      <c r="C119" s="15" t="str">
        <f t="shared" si="11"/>
        <v>6,4</v>
      </c>
      <c r="D119" s="15" t="str">
        <f t="shared" si="12"/>
        <v>1,0</v>
      </c>
      <c r="E119" s="15" t="str">
        <f t="shared" si="13"/>
        <v>0,0</v>
      </c>
      <c r="F119" s="15" t="str">
        <f t="shared" si="14"/>
        <v>5,0</v>
      </c>
      <c r="G119" s="15" t="str">
        <f t="shared" si="15"/>
        <v>25,300</v>
      </c>
      <c r="H119" s="8"/>
      <c r="I119" s="9">
        <v>6</v>
      </c>
      <c r="J119" s="9">
        <v>1</v>
      </c>
      <c r="K119" s="9">
        <v>0</v>
      </c>
      <c r="L119" s="9">
        <v>5</v>
      </c>
      <c r="M119" s="9">
        <v>25</v>
      </c>
      <c r="N119" s="16">
        <v>4</v>
      </c>
      <c r="O119" s="5">
        <v>0</v>
      </c>
      <c r="P119" s="5">
        <v>0</v>
      </c>
      <c r="Q119" s="5">
        <v>0</v>
      </c>
      <c r="R119" s="16">
        <v>300</v>
      </c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13.5" customHeight="1">
      <c r="A120" s="7" t="s">
        <v>174</v>
      </c>
      <c r="B120" s="7" t="s">
        <v>287</v>
      </c>
      <c r="C120" s="15" t="str">
        <f t="shared" si="11"/>
        <v>7,4</v>
      </c>
      <c r="D120" s="15" t="str">
        <f t="shared" si="12"/>
        <v>63,0</v>
      </c>
      <c r="E120" s="15" t="str">
        <f t="shared" si="13"/>
        <v>0,0</v>
      </c>
      <c r="F120" s="15" t="str">
        <f t="shared" si="14"/>
        <v>0,0</v>
      </c>
      <c r="G120" s="15" t="str">
        <f t="shared" si="15"/>
        <v>1,300</v>
      </c>
      <c r="H120" s="8"/>
      <c r="I120" s="9">
        <v>7</v>
      </c>
      <c r="J120" s="9">
        <v>63</v>
      </c>
      <c r="K120" s="9">
        <v>0</v>
      </c>
      <c r="L120" s="9">
        <v>0</v>
      </c>
      <c r="M120" s="9">
        <v>1</v>
      </c>
      <c r="N120" s="16">
        <v>4</v>
      </c>
      <c r="O120" s="5">
        <v>0</v>
      </c>
      <c r="P120" s="5">
        <v>0</v>
      </c>
      <c r="Q120" s="5">
        <v>0</v>
      </c>
      <c r="R120" s="16">
        <v>300</v>
      </c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3.5" customHeight="1">
      <c r="A121" s="7" t="s">
        <v>175</v>
      </c>
      <c r="B121" s="7" t="s">
        <v>288</v>
      </c>
      <c r="C121" s="15" t="str">
        <f t="shared" si="11"/>
        <v>6,4</v>
      </c>
      <c r="D121" s="15" t="str">
        <f t="shared" si="12"/>
        <v>1,0</v>
      </c>
      <c r="E121" s="15" t="str">
        <f t="shared" si="13"/>
        <v>0,0</v>
      </c>
      <c r="F121" s="15" t="str">
        <f t="shared" si="14"/>
        <v>5,0</v>
      </c>
      <c r="G121" s="15" t="str">
        <f t="shared" si="15"/>
        <v>25,300</v>
      </c>
      <c r="H121" s="8"/>
      <c r="I121" s="9">
        <v>6</v>
      </c>
      <c r="J121" s="9">
        <v>1</v>
      </c>
      <c r="K121" s="9">
        <v>0</v>
      </c>
      <c r="L121" s="9">
        <v>5</v>
      </c>
      <c r="M121" s="9">
        <v>25</v>
      </c>
      <c r="N121" s="16">
        <v>4</v>
      </c>
      <c r="O121" s="5">
        <v>0</v>
      </c>
      <c r="P121" s="5">
        <v>0</v>
      </c>
      <c r="Q121" s="5">
        <v>0</v>
      </c>
      <c r="R121" s="16">
        <v>300</v>
      </c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3.5" customHeight="1">
      <c r="A122" s="7" t="s">
        <v>176</v>
      </c>
      <c r="B122" s="7" t="s">
        <v>289</v>
      </c>
      <c r="C122" s="15" t="str">
        <f t="shared" si="11"/>
        <v>7,4</v>
      </c>
      <c r="D122" s="15" t="str">
        <f t="shared" si="12"/>
        <v>64,0</v>
      </c>
      <c r="E122" s="15" t="str">
        <f t="shared" si="13"/>
        <v>0,0</v>
      </c>
      <c r="F122" s="15" t="str">
        <f t="shared" si="14"/>
        <v>0,0</v>
      </c>
      <c r="G122" s="15" t="str">
        <f t="shared" si="15"/>
        <v>1,300</v>
      </c>
      <c r="H122" s="8"/>
      <c r="I122" s="9">
        <v>7</v>
      </c>
      <c r="J122" s="9">
        <v>64</v>
      </c>
      <c r="K122" s="9">
        <v>0</v>
      </c>
      <c r="L122" s="9">
        <v>0</v>
      </c>
      <c r="M122" s="9">
        <v>1</v>
      </c>
      <c r="N122" s="16">
        <v>4</v>
      </c>
      <c r="O122" s="5">
        <v>0</v>
      </c>
      <c r="P122" s="5">
        <v>0</v>
      </c>
      <c r="Q122" s="5">
        <v>0</v>
      </c>
      <c r="R122" s="16">
        <v>300</v>
      </c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3.5" customHeight="1">
      <c r="A123" s="7" t="s">
        <v>177</v>
      </c>
      <c r="B123" s="7" t="s">
        <v>290</v>
      </c>
      <c r="C123" s="15" t="str">
        <f t="shared" si="11"/>
        <v>6,4</v>
      </c>
      <c r="D123" s="15" t="str">
        <f t="shared" si="12"/>
        <v>1,0</v>
      </c>
      <c r="E123" s="15" t="str">
        <f t="shared" si="13"/>
        <v>0,0</v>
      </c>
      <c r="F123" s="15" t="str">
        <f t="shared" si="14"/>
        <v>5,0</v>
      </c>
      <c r="G123" s="15" t="str">
        <f t="shared" si="15"/>
        <v>25,300</v>
      </c>
      <c r="H123" s="8"/>
      <c r="I123" s="9">
        <v>6</v>
      </c>
      <c r="J123" s="9">
        <v>1</v>
      </c>
      <c r="K123" s="9">
        <v>0</v>
      </c>
      <c r="L123" s="9">
        <v>5</v>
      </c>
      <c r="M123" s="9">
        <v>25</v>
      </c>
      <c r="N123" s="16">
        <v>4</v>
      </c>
      <c r="O123" s="5">
        <v>0</v>
      </c>
      <c r="P123" s="5">
        <v>0</v>
      </c>
      <c r="Q123" s="5">
        <v>0</v>
      </c>
      <c r="R123" s="16">
        <v>300</v>
      </c>
      <c r="X123" s="9"/>
      <c r="Y123" s="9"/>
      <c r="Z123" s="9"/>
      <c r="AA123" s="9"/>
      <c r="AB123" s="9"/>
      <c r="AC123" s="9"/>
      <c r="AD123" s="9"/>
      <c r="AE123" s="9"/>
      <c r="AF123" s="9"/>
      <c r="AG123" s="9"/>
    </row>
    <row r="124" spans="1:33" ht="13.5" customHeight="1">
      <c r="A124" s="7" t="s">
        <v>336</v>
      </c>
      <c r="B124" s="7" t="s">
        <v>296</v>
      </c>
      <c r="C124" s="15" t="str">
        <f t="shared" ref="C124:C163" si="16">IF(AND(S124="",I124&lt;&gt;"",N124&lt;&gt;""),I124&amp;","&amp;N124,IF(AND(S124="",N124="",I124&lt;&gt;""),I124,IF(AND(S124="",N124="",I124=""),"",I124&amp;","&amp;N124&amp;","&amp;S124)))</f>
        <v>7,4</v>
      </c>
      <c r="D124" s="15" t="str">
        <f t="shared" ref="D124:D163" si="17">IF(AND(T124="",J124&lt;&gt;"",O124&lt;&gt;""),J124&amp;","&amp;O124,IF(AND(T124="",O124="",J124&lt;&gt;""),J124,IF(AND(T124="",O124="",J124=""),"",J124&amp;","&amp;O124&amp;","&amp;T124)))</f>
        <v>61,0</v>
      </c>
      <c r="E124" s="15" t="str">
        <f t="shared" ref="E124:E163" si="18">IF(AND(U124="",K124&lt;&gt;"",P124&lt;&gt;""),K124&amp;","&amp;P124,IF(AND(U124="",P124="",K124&lt;&gt;""),K124,IF(AND(U124="",P124="",K124=""),"",K124&amp;","&amp;P124&amp;","&amp;U124)))</f>
        <v>0,0</v>
      </c>
      <c r="F124" s="15" t="str">
        <f t="shared" ref="F124:F163" si="19">IF(AND(V124="",L124&lt;&gt;"",Q124&lt;&gt;""),L124&amp;","&amp;Q124,IF(AND(V124="",Q124="",L124&lt;&gt;""),L124,IF(AND(V124="",Q124="",L124=""),"",L124&amp;","&amp;Q124&amp;","&amp;V124)))</f>
        <v>0,0</v>
      </c>
      <c r="G124" s="15" t="str">
        <f t="shared" ref="G124:G163" si="20">IF(AND(W124="",M124&lt;&gt;"",R124&lt;&gt;""),M124&amp;","&amp;R124,IF(AND(W124="",R124="",M124&lt;&gt;""),M124,IF(AND(W124="",R124="",M124=""),"",M124&amp;","&amp;R124&amp;","&amp;W124)))</f>
        <v>1,300</v>
      </c>
      <c r="I124" s="9">
        <v>7</v>
      </c>
      <c r="J124" s="9">
        <v>61</v>
      </c>
      <c r="K124" s="9">
        <v>0</v>
      </c>
      <c r="L124" s="9">
        <v>0</v>
      </c>
      <c r="M124" s="17">
        <v>1</v>
      </c>
      <c r="N124" s="16">
        <v>4</v>
      </c>
      <c r="O124" s="5">
        <v>0</v>
      </c>
      <c r="P124" s="5">
        <v>0</v>
      </c>
      <c r="Q124" s="5">
        <v>0</v>
      </c>
      <c r="R124" s="16">
        <v>300</v>
      </c>
    </row>
    <row r="125" spans="1:33" ht="13.5" customHeight="1">
      <c r="A125" s="7" t="s">
        <v>337</v>
      </c>
      <c r="B125" s="7" t="s">
        <v>297</v>
      </c>
      <c r="C125" s="15" t="str">
        <f t="shared" si="16"/>
        <v>6,4</v>
      </c>
      <c r="D125" s="15" t="str">
        <f t="shared" si="17"/>
        <v>1,0</v>
      </c>
      <c r="E125" s="15" t="str">
        <f t="shared" si="18"/>
        <v>0,0</v>
      </c>
      <c r="F125" s="15" t="str">
        <f t="shared" si="19"/>
        <v>5,0</v>
      </c>
      <c r="G125" s="15" t="str">
        <f t="shared" si="20"/>
        <v>25,300</v>
      </c>
      <c r="I125" s="9">
        <v>6</v>
      </c>
      <c r="J125" s="9">
        <v>1</v>
      </c>
      <c r="K125" s="9">
        <v>0</v>
      </c>
      <c r="L125" s="9">
        <v>5</v>
      </c>
      <c r="M125" s="9">
        <v>25</v>
      </c>
      <c r="N125" s="16">
        <v>4</v>
      </c>
      <c r="O125" s="5">
        <v>0</v>
      </c>
      <c r="P125" s="5">
        <v>0</v>
      </c>
      <c r="Q125" s="5">
        <v>0</v>
      </c>
      <c r="R125" s="16">
        <v>300</v>
      </c>
    </row>
    <row r="126" spans="1:33" ht="13.5" customHeight="1">
      <c r="A126" s="7" t="s">
        <v>338</v>
      </c>
      <c r="B126" s="7" t="s">
        <v>298</v>
      </c>
      <c r="C126" s="15" t="str">
        <f t="shared" si="16"/>
        <v>7,4</v>
      </c>
      <c r="D126" s="15" t="str">
        <f t="shared" si="17"/>
        <v>62,0</v>
      </c>
      <c r="E126" s="15" t="str">
        <f t="shared" si="18"/>
        <v>0,0</v>
      </c>
      <c r="F126" s="15" t="str">
        <f t="shared" si="19"/>
        <v>0,0</v>
      </c>
      <c r="G126" s="15" t="str">
        <f t="shared" si="20"/>
        <v>1,300</v>
      </c>
      <c r="I126" s="9">
        <v>7</v>
      </c>
      <c r="J126" s="9">
        <v>62</v>
      </c>
      <c r="K126" s="9">
        <v>0</v>
      </c>
      <c r="L126" s="9">
        <v>0</v>
      </c>
      <c r="M126" s="9">
        <v>1</v>
      </c>
      <c r="N126" s="16">
        <v>4</v>
      </c>
      <c r="O126" s="5">
        <v>0</v>
      </c>
      <c r="P126" s="5">
        <v>0</v>
      </c>
      <c r="Q126" s="5">
        <v>0</v>
      </c>
      <c r="R126" s="16">
        <v>300</v>
      </c>
    </row>
    <row r="127" spans="1:33" ht="13.5" customHeight="1">
      <c r="A127" s="7" t="s">
        <v>339</v>
      </c>
      <c r="B127" s="7" t="s">
        <v>299</v>
      </c>
      <c r="C127" s="15" t="str">
        <f t="shared" si="16"/>
        <v>6,4</v>
      </c>
      <c r="D127" s="15" t="str">
        <f t="shared" si="17"/>
        <v>1,0</v>
      </c>
      <c r="E127" s="15" t="str">
        <f t="shared" si="18"/>
        <v>0,0</v>
      </c>
      <c r="F127" s="15" t="str">
        <f t="shared" si="19"/>
        <v>5,0</v>
      </c>
      <c r="G127" s="15" t="str">
        <f t="shared" si="20"/>
        <v>25,300</v>
      </c>
      <c r="I127" s="9">
        <v>6</v>
      </c>
      <c r="J127" s="9">
        <v>1</v>
      </c>
      <c r="K127" s="9">
        <v>0</v>
      </c>
      <c r="L127" s="9">
        <v>5</v>
      </c>
      <c r="M127" s="9">
        <v>25</v>
      </c>
      <c r="N127" s="16">
        <v>4</v>
      </c>
      <c r="O127" s="5">
        <v>0</v>
      </c>
      <c r="P127" s="5">
        <v>0</v>
      </c>
      <c r="Q127" s="5">
        <v>0</v>
      </c>
      <c r="R127" s="16">
        <v>300</v>
      </c>
    </row>
    <row r="128" spans="1:33" ht="13.5" customHeight="1">
      <c r="A128" s="7" t="s">
        <v>178</v>
      </c>
      <c r="B128" s="7" t="s">
        <v>300</v>
      </c>
      <c r="C128" s="15" t="str">
        <f t="shared" si="16"/>
        <v>7,4</v>
      </c>
      <c r="D128" s="15" t="str">
        <f t="shared" si="17"/>
        <v>63,0</v>
      </c>
      <c r="E128" s="15" t="str">
        <f t="shared" si="18"/>
        <v>0,0</v>
      </c>
      <c r="F128" s="15" t="str">
        <f t="shared" si="19"/>
        <v>0,0</v>
      </c>
      <c r="G128" s="15" t="str">
        <f t="shared" si="20"/>
        <v>1,300</v>
      </c>
      <c r="I128" s="9">
        <v>7</v>
      </c>
      <c r="J128" s="9">
        <v>63</v>
      </c>
      <c r="K128" s="9">
        <v>0</v>
      </c>
      <c r="L128" s="9">
        <v>0</v>
      </c>
      <c r="M128" s="9">
        <v>1</v>
      </c>
      <c r="N128" s="16">
        <v>4</v>
      </c>
      <c r="O128" s="5">
        <v>0</v>
      </c>
      <c r="P128" s="5">
        <v>0</v>
      </c>
      <c r="Q128" s="5">
        <v>0</v>
      </c>
      <c r="R128" s="16">
        <v>300</v>
      </c>
    </row>
    <row r="129" spans="1:18" ht="13.5" customHeight="1">
      <c r="A129" s="7" t="s">
        <v>340</v>
      </c>
      <c r="B129" s="7" t="s">
        <v>301</v>
      </c>
      <c r="C129" s="15" t="str">
        <f t="shared" si="16"/>
        <v>6,4</v>
      </c>
      <c r="D129" s="15" t="str">
        <f t="shared" si="17"/>
        <v>1,0</v>
      </c>
      <c r="E129" s="15" t="str">
        <f t="shared" si="18"/>
        <v>0,0</v>
      </c>
      <c r="F129" s="15" t="str">
        <f t="shared" si="19"/>
        <v>5,0</v>
      </c>
      <c r="G129" s="15" t="str">
        <f t="shared" si="20"/>
        <v>25,300</v>
      </c>
      <c r="I129" s="9">
        <v>6</v>
      </c>
      <c r="J129" s="9">
        <v>1</v>
      </c>
      <c r="K129" s="9">
        <v>0</v>
      </c>
      <c r="L129" s="9">
        <v>5</v>
      </c>
      <c r="M129" s="9">
        <v>25</v>
      </c>
      <c r="N129" s="16">
        <v>4</v>
      </c>
      <c r="O129" s="5">
        <v>0</v>
      </c>
      <c r="P129" s="5">
        <v>0</v>
      </c>
      <c r="Q129" s="5">
        <v>0</v>
      </c>
      <c r="R129" s="16">
        <v>300</v>
      </c>
    </row>
    <row r="130" spans="1:18" ht="13.5" customHeight="1">
      <c r="A130" s="7" t="s">
        <v>341</v>
      </c>
      <c r="B130" s="7" t="s">
        <v>302</v>
      </c>
      <c r="C130" s="15" t="str">
        <f t="shared" si="16"/>
        <v>7,4</v>
      </c>
      <c r="D130" s="15" t="str">
        <f t="shared" si="17"/>
        <v>64,0</v>
      </c>
      <c r="E130" s="15" t="str">
        <f t="shared" si="18"/>
        <v>0,0</v>
      </c>
      <c r="F130" s="15" t="str">
        <f t="shared" si="19"/>
        <v>0,0</v>
      </c>
      <c r="G130" s="15" t="str">
        <f t="shared" si="20"/>
        <v>1,300</v>
      </c>
      <c r="I130" s="9">
        <v>7</v>
      </c>
      <c r="J130" s="9">
        <v>64</v>
      </c>
      <c r="K130" s="9">
        <v>0</v>
      </c>
      <c r="L130" s="9">
        <v>0</v>
      </c>
      <c r="M130" s="9">
        <v>1</v>
      </c>
      <c r="N130" s="16">
        <v>4</v>
      </c>
      <c r="O130" s="5">
        <v>0</v>
      </c>
      <c r="P130" s="5">
        <v>0</v>
      </c>
      <c r="Q130" s="5">
        <v>0</v>
      </c>
      <c r="R130" s="16">
        <v>300</v>
      </c>
    </row>
    <row r="131" spans="1:18" ht="13.5" customHeight="1">
      <c r="A131" s="7" t="s">
        <v>342</v>
      </c>
      <c r="B131" s="7" t="s">
        <v>303</v>
      </c>
      <c r="C131" s="15" t="str">
        <f t="shared" si="16"/>
        <v>6,4</v>
      </c>
      <c r="D131" s="15" t="str">
        <f t="shared" si="17"/>
        <v>1,0</v>
      </c>
      <c r="E131" s="15" t="str">
        <f t="shared" si="18"/>
        <v>0,0</v>
      </c>
      <c r="F131" s="15" t="str">
        <f t="shared" si="19"/>
        <v>5,0</v>
      </c>
      <c r="G131" s="15" t="str">
        <f t="shared" si="20"/>
        <v>25,300</v>
      </c>
      <c r="I131" s="9">
        <v>6</v>
      </c>
      <c r="J131" s="9">
        <v>1</v>
      </c>
      <c r="K131" s="9">
        <v>0</v>
      </c>
      <c r="L131" s="9">
        <v>5</v>
      </c>
      <c r="M131" s="9">
        <v>25</v>
      </c>
      <c r="N131" s="16">
        <v>4</v>
      </c>
      <c r="O131" s="5">
        <v>0</v>
      </c>
      <c r="P131" s="5">
        <v>0</v>
      </c>
      <c r="Q131" s="5">
        <v>0</v>
      </c>
      <c r="R131" s="16">
        <v>300</v>
      </c>
    </row>
    <row r="132" spans="1:18" ht="13.5" customHeight="1">
      <c r="A132" s="7" t="s">
        <v>343</v>
      </c>
      <c r="B132" s="7" t="s">
        <v>304</v>
      </c>
      <c r="C132" s="15" t="str">
        <f t="shared" si="16"/>
        <v>7,4</v>
      </c>
      <c r="D132" s="15" t="str">
        <f t="shared" si="17"/>
        <v>61,0</v>
      </c>
      <c r="E132" s="15" t="str">
        <f t="shared" si="18"/>
        <v>0,0</v>
      </c>
      <c r="F132" s="15" t="str">
        <f t="shared" si="19"/>
        <v>0,0</v>
      </c>
      <c r="G132" s="15" t="str">
        <f t="shared" si="20"/>
        <v>1,300</v>
      </c>
      <c r="I132" s="9">
        <v>7</v>
      </c>
      <c r="J132" s="9">
        <v>61</v>
      </c>
      <c r="K132" s="9">
        <v>0</v>
      </c>
      <c r="L132" s="9">
        <v>0</v>
      </c>
      <c r="M132" s="9">
        <v>1</v>
      </c>
      <c r="N132" s="16">
        <v>4</v>
      </c>
      <c r="O132" s="5">
        <v>0</v>
      </c>
      <c r="P132" s="5">
        <v>0</v>
      </c>
      <c r="Q132" s="5">
        <v>0</v>
      </c>
      <c r="R132" s="16">
        <v>300</v>
      </c>
    </row>
    <row r="133" spans="1:18" ht="13.5" customHeight="1">
      <c r="A133" s="7" t="s">
        <v>179</v>
      </c>
      <c r="B133" s="7" t="s">
        <v>305</v>
      </c>
      <c r="C133" s="15" t="str">
        <f t="shared" si="16"/>
        <v>6,4</v>
      </c>
      <c r="D133" s="15" t="str">
        <f t="shared" si="17"/>
        <v>1,0</v>
      </c>
      <c r="E133" s="15" t="str">
        <f t="shared" si="18"/>
        <v>0,0</v>
      </c>
      <c r="F133" s="15" t="str">
        <f t="shared" si="19"/>
        <v>5,0</v>
      </c>
      <c r="G133" s="15" t="str">
        <f t="shared" si="20"/>
        <v>25,300</v>
      </c>
      <c r="I133" s="9">
        <v>6</v>
      </c>
      <c r="J133" s="9">
        <v>1</v>
      </c>
      <c r="K133" s="9">
        <v>0</v>
      </c>
      <c r="L133" s="9">
        <v>5</v>
      </c>
      <c r="M133" s="9">
        <v>25</v>
      </c>
      <c r="N133" s="16">
        <v>4</v>
      </c>
      <c r="O133" s="5">
        <v>0</v>
      </c>
      <c r="P133" s="5">
        <v>0</v>
      </c>
      <c r="Q133" s="5">
        <v>0</v>
      </c>
      <c r="R133" s="16">
        <v>300</v>
      </c>
    </row>
    <row r="134" spans="1:18" ht="13.5" customHeight="1">
      <c r="A134" s="7" t="s">
        <v>344</v>
      </c>
      <c r="B134" s="7" t="s">
        <v>306</v>
      </c>
      <c r="C134" s="15" t="str">
        <f t="shared" si="16"/>
        <v>7,4</v>
      </c>
      <c r="D134" s="15" t="str">
        <f t="shared" si="17"/>
        <v>62,0</v>
      </c>
      <c r="E134" s="15" t="str">
        <f t="shared" si="18"/>
        <v>0,0</v>
      </c>
      <c r="F134" s="15" t="str">
        <f t="shared" si="19"/>
        <v>0,0</v>
      </c>
      <c r="G134" s="15" t="str">
        <f t="shared" si="20"/>
        <v>1,300</v>
      </c>
      <c r="I134" s="9">
        <v>7</v>
      </c>
      <c r="J134" s="9">
        <v>62</v>
      </c>
      <c r="K134" s="9">
        <v>0</v>
      </c>
      <c r="L134" s="9">
        <v>0</v>
      </c>
      <c r="M134" s="17">
        <v>1</v>
      </c>
      <c r="N134" s="16">
        <v>4</v>
      </c>
      <c r="O134" s="5">
        <v>0</v>
      </c>
      <c r="P134" s="5">
        <v>0</v>
      </c>
      <c r="Q134" s="5">
        <v>0</v>
      </c>
      <c r="R134" s="16">
        <v>300</v>
      </c>
    </row>
    <row r="135" spans="1:18" ht="13.5" customHeight="1">
      <c r="A135" s="7" t="s">
        <v>345</v>
      </c>
      <c r="B135" s="7" t="s">
        <v>307</v>
      </c>
      <c r="C135" s="15" t="str">
        <f t="shared" si="16"/>
        <v>6,4</v>
      </c>
      <c r="D135" s="15" t="str">
        <f t="shared" si="17"/>
        <v>1,0</v>
      </c>
      <c r="E135" s="15" t="str">
        <f t="shared" si="18"/>
        <v>0,0</v>
      </c>
      <c r="F135" s="15" t="str">
        <f t="shared" si="19"/>
        <v>5,0</v>
      </c>
      <c r="G135" s="15" t="str">
        <f t="shared" si="20"/>
        <v>25,300</v>
      </c>
      <c r="I135" s="9">
        <v>6</v>
      </c>
      <c r="J135" s="9">
        <v>1</v>
      </c>
      <c r="K135" s="9">
        <v>0</v>
      </c>
      <c r="L135" s="9">
        <v>5</v>
      </c>
      <c r="M135" s="9">
        <v>25</v>
      </c>
      <c r="N135" s="16">
        <v>4</v>
      </c>
      <c r="O135" s="5">
        <v>0</v>
      </c>
      <c r="P135" s="5">
        <v>0</v>
      </c>
      <c r="Q135" s="5">
        <v>0</v>
      </c>
      <c r="R135" s="16">
        <v>300</v>
      </c>
    </row>
    <row r="136" spans="1:18" ht="13.5" customHeight="1">
      <c r="A136" s="7" t="s">
        <v>346</v>
      </c>
      <c r="B136" s="7" t="s">
        <v>308</v>
      </c>
      <c r="C136" s="15" t="str">
        <f t="shared" si="16"/>
        <v>7,4</v>
      </c>
      <c r="D136" s="15" t="str">
        <f t="shared" si="17"/>
        <v>63,0</v>
      </c>
      <c r="E136" s="15" t="str">
        <f t="shared" si="18"/>
        <v>0,0</v>
      </c>
      <c r="F136" s="15" t="str">
        <f t="shared" si="19"/>
        <v>0,0</v>
      </c>
      <c r="G136" s="15" t="str">
        <f t="shared" si="20"/>
        <v>1,300</v>
      </c>
      <c r="I136" s="9">
        <v>7</v>
      </c>
      <c r="J136" s="9">
        <v>63</v>
      </c>
      <c r="K136" s="9">
        <v>0</v>
      </c>
      <c r="L136" s="9">
        <v>0</v>
      </c>
      <c r="M136" s="9">
        <v>1</v>
      </c>
      <c r="N136" s="16">
        <v>4</v>
      </c>
      <c r="O136" s="5">
        <v>0</v>
      </c>
      <c r="P136" s="5">
        <v>0</v>
      </c>
      <c r="Q136" s="5">
        <v>0</v>
      </c>
      <c r="R136" s="16">
        <v>300</v>
      </c>
    </row>
    <row r="137" spans="1:18" ht="13.5" customHeight="1">
      <c r="A137" s="7" t="s">
        <v>347</v>
      </c>
      <c r="B137" s="7" t="s">
        <v>309</v>
      </c>
      <c r="C137" s="15" t="str">
        <f t="shared" si="16"/>
        <v>6,4</v>
      </c>
      <c r="D137" s="15" t="str">
        <f t="shared" si="17"/>
        <v>1,0</v>
      </c>
      <c r="E137" s="15" t="str">
        <f t="shared" si="18"/>
        <v>0,0</v>
      </c>
      <c r="F137" s="15" t="str">
        <f t="shared" si="19"/>
        <v>5,0</v>
      </c>
      <c r="G137" s="15" t="str">
        <f t="shared" si="20"/>
        <v>25,300</v>
      </c>
      <c r="I137" s="9">
        <v>6</v>
      </c>
      <c r="J137" s="9">
        <v>1</v>
      </c>
      <c r="K137" s="9">
        <v>0</v>
      </c>
      <c r="L137" s="9">
        <v>5</v>
      </c>
      <c r="M137" s="9">
        <v>25</v>
      </c>
      <c r="N137" s="16">
        <v>4</v>
      </c>
      <c r="O137" s="5">
        <v>0</v>
      </c>
      <c r="P137" s="5">
        <v>0</v>
      </c>
      <c r="Q137" s="5">
        <v>0</v>
      </c>
      <c r="R137" s="16">
        <v>300</v>
      </c>
    </row>
    <row r="138" spans="1:18" ht="13.5" customHeight="1">
      <c r="A138" s="7" t="s">
        <v>180</v>
      </c>
      <c r="B138" s="7" t="s">
        <v>310</v>
      </c>
      <c r="C138" s="15" t="str">
        <f t="shared" si="16"/>
        <v>7,4</v>
      </c>
      <c r="D138" s="15" t="str">
        <f t="shared" si="17"/>
        <v>64,0</v>
      </c>
      <c r="E138" s="15" t="str">
        <f t="shared" si="18"/>
        <v>0,0</v>
      </c>
      <c r="F138" s="15" t="str">
        <f t="shared" si="19"/>
        <v>0,0</v>
      </c>
      <c r="G138" s="15" t="str">
        <f t="shared" si="20"/>
        <v>1,300</v>
      </c>
      <c r="I138" s="9">
        <v>7</v>
      </c>
      <c r="J138" s="9">
        <v>64</v>
      </c>
      <c r="K138" s="9">
        <v>0</v>
      </c>
      <c r="L138" s="9">
        <v>0</v>
      </c>
      <c r="M138" s="9">
        <v>1</v>
      </c>
      <c r="N138" s="16">
        <v>4</v>
      </c>
      <c r="O138" s="5">
        <v>0</v>
      </c>
      <c r="P138" s="5">
        <v>0</v>
      </c>
      <c r="Q138" s="5">
        <v>0</v>
      </c>
      <c r="R138" s="16">
        <v>300</v>
      </c>
    </row>
    <row r="139" spans="1:18" ht="13.5" customHeight="1">
      <c r="A139" s="7" t="s">
        <v>348</v>
      </c>
      <c r="B139" s="7" t="s">
        <v>311</v>
      </c>
      <c r="C139" s="15" t="str">
        <f t="shared" si="16"/>
        <v>6,4</v>
      </c>
      <c r="D139" s="15" t="str">
        <f t="shared" si="17"/>
        <v>1,0</v>
      </c>
      <c r="E139" s="15" t="str">
        <f t="shared" si="18"/>
        <v>0,0</v>
      </c>
      <c r="F139" s="15" t="str">
        <f t="shared" si="19"/>
        <v>5,0</v>
      </c>
      <c r="G139" s="15" t="str">
        <f t="shared" si="20"/>
        <v>25,300</v>
      </c>
      <c r="I139" s="9">
        <v>6</v>
      </c>
      <c r="J139" s="9">
        <v>1</v>
      </c>
      <c r="K139" s="9">
        <v>0</v>
      </c>
      <c r="L139" s="9">
        <v>5</v>
      </c>
      <c r="M139" s="9">
        <v>25</v>
      </c>
      <c r="N139" s="16">
        <v>4</v>
      </c>
      <c r="O139" s="5">
        <v>0</v>
      </c>
      <c r="P139" s="5">
        <v>0</v>
      </c>
      <c r="Q139" s="5">
        <v>0</v>
      </c>
      <c r="R139" s="16">
        <v>300</v>
      </c>
    </row>
    <row r="140" spans="1:18" ht="13.5" customHeight="1">
      <c r="A140" s="7" t="s">
        <v>349</v>
      </c>
      <c r="B140" s="7" t="s">
        <v>312</v>
      </c>
      <c r="C140" s="15" t="str">
        <f t="shared" si="16"/>
        <v>7,4</v>
      </c>
      <c r="D140" s="15" t="str">
        <f t="shared" si="17"/>
        <v>61,0</v>
      </c>
      <c r="E140" s="15" t="str">
        <f t="shared" si="18"/>
        <v>0,0</v>
      </c>
      <c r="F140" s="15" t="str">
        <f t="shared" si="19"/>
        <v>0,0</v>
      </c>
      <c r="G140" s="15" t="str">
        <f t="shared" si="20"/>
        <v>1,300</v>
      </c>
      <c r="I140" s="9">
        <v>7</v>
      </c>
      <c r="J140" s="9">
        <v>61</v>
      </c>
      <c r="K140" s="9">
        <v>0</v>
      </c>
      <c r="L140" s="9">
        <v>0</v>
      </c>
      <c r="M140" s="9">
        <v>1</v>
      </c>
      <c r="N140" s="16">
        <v>4</v>
      </c>
      <c r="O140" s="5">
        <v>0</v>
      </c>
      <c r="P140" s="5">
        <v>0</v>
      </c>
      <c r="Q140" s="5">
        <v>0</v>
      </c>
      <c r="R140" s="16">
        <v>300</v>
      </c>
    </row>
    <row r="141" spans="1:18" ht="13.5" customHeight="1">
      <c r="A141" s="7" t="s">
        <v>350</v>
      </c>
      <c r="B141" s="7" t="s">
        <v>313</v>
      </c>
      <c r="C141" s="15" t="str">
        <f t="shared" si="16"/>
        <v>6,4</v>
      </c>
      <c r="D141" s="15" t="str">
        <f t="shared" si="17"/>
        <v>1,0</v>
      </c>
      <c r="E141" s="15" t="str">
        <f t="shared" si="18"/>
        <v>0,0</v>
      </c>
      <c r="F141" s="15" t="str">
        <f t="shared" si="19"/>
        <v>5,0</v>
      </c>
      <c r="G141" s="15" t="str">
        <f t="shared" si="20"/>
        <v>25,300</v>
      </c>
      <c r="I141" s="9">
        <v>6</v>
      </c>
      <c r="J141" s="9">
        <v>1</v>
      </c>
      <c r="K141" s="9">
        <v>0</v>
      </c>
      <c r="L141" s="9">
        <v>5</v>
      </c>
      <c r="M141" s="9">
        <v>25</v>
      </c>
      <c r="N141" s="16">
        <v>4</v>
      </c>
      <c r="O141" s="5">
        <v>0</v>
      </c>
      <c r="P141" s="5">
        <v>0</v>
      </c>
      <c r="Q141" s="5">
        <v>0</v>
      </c>
      <c r="R141" s="16">
        <v>300</v>
      </c>
    </row>
    <row r="142" spans="1:18" ht="13.5" customHeight="1">
      <c r="A142" s="7" t="s">
        <v>351</v>
      </c>
      <c r="B142" s="7" t="s">
        <v>314</v>
      </c>
      <c r="C142" s="15" t="str">
        <f t="shared" si="16"/>
        <v>7,4</v>
      </c>
      <c r="D142" s="15" t="str">
        <f t="shared" si="17"/>
        <v>62,0</v>
      </c>
      <c r="E142" s="15" t="str">
        <f t="shared" si="18"/>
        <v>0,0</v>
      </c>
      <c r="F142" s="15" t="str">
        <f t="shared" si="19"/>
        <v>0,0</v>
      </c>
      <c r="G142" s="15" t="str">
        <f t="shared" si="20"/>
        <v>1,300</v>
      </c>
      <c r="I142" s="9">
        <v>7</v>
      </c>
      <c r="J142" s="9">
        <v>62</v>
      </c>
      <c r="K142" s="9">
        <v>0</v>
      </c>
      <c r="L142" s="9">
        <v>0</v>
      </c>
      <c r="M142" s="9">
        <v>1</v>
      </c>
      <c r="N142" s="16">
        <v>4</v>
      </c>
      <c r="O142" s="5">
        <v>0</v>
      </c>
      <c r="P142" s="5">
        <v>0</v>
      </c>
      <c r="Q142" s="5">
        <v>0</v>
      </c>
      <c r="R142" s="16">
        <v>300</v>
      </c>
    </row>
    <row r="143" spans="1:18" ht="13.5" customHeight="1">
      <c r="A143" s="7" t="s">
        <v>181</v>
      </c>
      <c r="B143" s="7" t="s">
        <v>315</v>
      </c>
      <c r="C143" s="15" t="str">
        <f t="shared" si="16"/>
        <v>6,4</v>
      </c>
      <c r="D143" s="15" t="str">
        <f t="shared" si="17"/>
        <v>1,0</v>
      </c>
      <c r="E143" s="15" t="str">
        <f t="shared" si="18"/>
        <v>0,0</v>
      </c>
      <c r="F143" s="15" t="str">
        <f t="shared" si="19"/>
        <v>5,0</v>
      </c>
      <c r="G143" s="15" t="str">
        <f t="shared" si="20"/>
        <v>25,300</v>
      </c>
      <c r="I143" s="9">
        <v>6</v>
      </c>
      <c r="J143" s="9">
        <v>1</v>
      </c>
      <c r="K143" s="9">
        <v>0</v>
      </c>
      <c r="L143" s="9">
        <v>5</v>
      </c>
      <c r="M143" s="9">
        <v>25</v>
      </c>
      <c r="N143" s="16">
        <v>4</v>
      </c>
      <c r="O143" s="5">
        <v>0</v>
      </c>
      <c r="P143" s="5">
        <v>0</v>
      </c>
      <c r="Q143" s="5">
        <v>0</v>
      </c>
      <c r="R143" s="16">
        <v>300</v>
      </c>
    </row>
    <row r="144" spans="1:18" ht="13.5" customHeight="1">
      <c r="A144" s="7" t="s">
        <v>352</v>
      </c>
      <c r="B144" s="7" t="s">
        <v>316</v>
      </c>
      <c r="C144" s="15" t="str">
        <f t="shared" si="16"/>
        <v>7,4</v>
      </c>
      <c r="D144" s="15" t="str">
        <f t="shared" si="17"/>
        <v>63,0</v>
      </c>
      <c r="E144" s="15" t="str">
        <f t="shared" si="18"/>
        <v>0,0</v>
      </c>
      <c r="F144" s="15" t="str">
        <f t="shared" si="19"/>
        <v>0,0</v>
      </c>
      <c r="G144" s="15" t="str">
        <f t="shared" si="20"/>
        <v>1,300</v>
      </c>
      <c r="I144" s="9">
        <v>7</v>
      </c>
      <c r="J144" s="9">
        <v>63</v>
      </c>
      <c r="K144" s="9">
        <v>0</v>
      </c>
      <c r="L144" s="9">
        <v>0</v>
      </c>
      <c r="M144" s="17">
        <v>1</v>
      </c>
      <c r="N144" s="16">
        <v>4</v>
      </c>
      <c r="O144" s="5">
        <v>0</v>
      </c>
      <c r="P144" s="5">
        <v>0</v>
      </c>
      <c r="Q144" s="5">
        <v>0</v>
      </c>
      <c r="R144" s="16">
        <v>300</v>
      </c>
    </row>
    <row r="145" spans="1:18" ht="13.5" customHeight="1">
      <c r="A145" s="7" t="s">
        <v>353</v>
      </c>
      <c r="B145" s="7" t="s">
        <v>317</v>
      </c>
      <c r="C145" s="15" t="str">
        <f t="shared" si="16"/>
        <v>6,4</v>
      </c>
      <c r="D145" s="15" t="str">
        <f t="shared" si="17"/>
        <v>1,0</v>
      </c>
      <c r="E145" s="15" t="str">
        <f t="shared" si="18"/>
        <v>0,0</v>
      </c>
      <c r="F145" s="15" t="str">
        <f t="shared" si="19"/>
        <v>5,0</v>
      </c>
      <c r="G145" s="15" t="str">
        <f t="shared" si="20"/>
        <v>25,300</v>
      </c>
      <c r="I145" s="9">
        <v>6</v>
      </c>
      <c r="J145" s="9">
        <v>1</v>
      </c>
      <c r="K145" s="9">
        <v>0</v>
      </c>
      <c r="L145" s="9">
        <v>5</v>
      </c>
      <c r="M145" s="9">
        <v>25</v>
      </c>
      <c r="N145" s="16">
        <v>4</v>
      </c>
      <c r="O145" s="5">
        <v>0</v>
      </c>
      <c r="P145" s="5">
        <v>0</v>
      </c>
      <c r="Q145" s="5">
        <v>0</v>
      </c>
      <c r="R145" s="16">
        <v>300</v>
      </c>
    </row>
    <row r="146" spans="1:18" ht="13.5" customHeight="1">
      <c r="A146" s="7" t="s">
        <v>354</v>
      </c>
      <c r="B146" s="7" t="s">
        <v>318</v>
      </c>
      <c r="C146" s="15" t="str">
        <f t="shared" si="16"/>
        <v>7,4</v>
      </c>
      <c r="D146" s="15" t="str">
        <f t="shared" si="17"/>
        <v>64,0</v>
      </c>
      <c r="E146" s="15" t="str">
        <f t="shared" si="18"/>
        <v>0,0</v>
      </c>
      <c r="F146" s="15" t="str">
        <f t="shared" si="19"/>
        <v>0,0</v>
      </c>
      <c r="G146" s="15" t="str">
        <f t="shared" si="20"/>
        <v>1,300</v>
      </c>
      <c r="I146" s="9">
        <v>7</v>
      </c>
      <c r="J146" s="9">
        <v>64</v>
      </c>
      <c r="K146" s="9">
        <v>0</v>
      </c>
      <c r="L146" s="9">
        <v>0</v>
      </c>
      <c r="M146" s="9">
        <v>1</v>
      </c>
      <c r="N146" s="16">
        <v>4</v>
      </c>
      <c r="O146" s="5">
        <v>0</v>
      </c>
      <c r="P146" s="5">
        <v>0</v>
      </c>
      <c r="Q146" s="5">
        <v>0</v>
      </c>
      <c r="R146" s="16">
        <v>300</v>
      </c>
    </row>
    <row r="147" spans="1:18" ht="13.5" customHeight="1">
      <c r="A147" s="7" t="s">
        <v>355</v>
      </c>
      <c r="B147" s="7" t="s">
        <v>319</v>
      </c>
      <c r="C147" s="15" t="str">
        <f t="shared" si="16"/>
        <v>6,4</v>
      </c>
      <c r="D147" s="15" t="str">
        <f t="shared" si="17"/>
        <v>1,0</v>
      </c>
      <c r="E147" s="15" t="str">
        <f t="shared" si="18"/>
        <v>0,0</v>
      </c>
      <c r="F147" s="15" t="str">
        <f t="shared" si="19"/>
        <v>5,0</v>
      </c>
      <c r="G147" s="15" t="str">
        <f t="shared" si="20"/>
        <v>25,300</v>
      </c>
      <c r="I147" s="9">
        <v>6</v>
      </c>
      <c r="J147" s="9">
        <v>1</v>
      </c>
      <c r="K147" s="9">
        <v>0</v>
      </c>
      <c r="L147" s="9">
        <v>5</v>
      </c>
      <c r="M147" s="9">
        <v>25</v>
      </c>
      <c r="N147" s="16">
        <v>4</v>
      </c>
      <c r="O147" s="5">
        <v>0</v>
      </c>
      <c r="P147" s="5">
        <v>0</v>
      </c>
      <c r="Q147" s="5">
        <v>0</v>
      </c>
      <c r="R147" s="16">
        <v>300</v>
      </c>
    </row>
    <row r="148" spans="1:18" ht="13.5" customHeight="1">
      <c r="A148" s="7" t="s">
        <v>182</v>
      </c>
      <c r="B148" s="7" t="s">
        <v>320</v>
      </c>
      <c r="C148" s="15" t="str">
        <f t="shared" si="16"/>
        <v>7,4</v>
      </c>
      <c r="D148" s="15" t="str">
        <f t="shared" si="17"/>
        <v>61,0</v>
      </c>
      <c r="E148" s="15" t="str">
        <f t="shared" si="18"/>
        <v>0,0</v>
      </c>
      <c r="F148" s="15" t="str">
        <f t="shared" si="19"/>
        <v>0,0</v>
      </c>
      <c r="G148" s="15" t="str">
        <f t="shared" si="20"/>
        <v>1,300</v>
      </c>
      <c r="I148" s="9">
        <v>7</v>
      </c>
      <c r="J148" s="9">
        <v>61</v>
      </c>
      <c r="K148" s="9">
        <v>0</v>
      </c>
      <c r="L148" s="9">
        <v>0</v>
      </c>
      <c r="M148" s="9">
        <v>1</v>
      </c>
      <c r="N148" s="16">
        <v>4</v>
      </c>
      <c r="O148" s="5">
        <v>0</v>
      </c>
      <c r="P148" s="5">
        <v>0</v>
      </c>
      <c r="Q148" s="5">
        <v>0</v>
      </c>
      <c r="R148" s="16">
        <v>300</v>
      </c>
    </row>
    <row r="149" spans="1:18" ht="13.5" customHeight="1">
      <c r="A149" s="7" t="s">
        <v>356</v>
      </c>
      <c r="B149" s="7" t="s">
        <v>321</v>
      </c>
      <c r="C149" s="15" t="str">
        <f t="shared" si="16"/>
        <v>6,4</v>
      </c>
      <c r="D149" s="15" t="str">
        <f t="shared" si="17"/>
        <v>1,0</v>
      </c>
      <c r="E149" s="15" t="str">
        <f t="shared" si="18"/>
        <v>0,0</v>
      </c>
      <c r="F149" s="15" t="str">
        <f t="shared" si="19"/>
        <v>5,0</v>
      </c>
      <c r="G149" s="15" t="str">
        <f t="shared" si="20"/>
        <v>25,300</v>
      </c>
      <c r="I149" s="9">
        <v>6</v>
      </c>
      <c r="J149" s="9">
        <v>1</v>
      </c>
      <c r="K149" s="9">
        <v>0</v>
      </c>
      <c r="L149" s="9">
        <v>5</v>
      </c>
      <c r="M149" s="9">
        <v>25</v>
      </c>
      <c r="N149" s="16">
        <v>4</v>
      </c>
      <c r="O149" s="5">
        <v>0</v>
      </c>
      <c r="P149" s="5">
        <v>0</v>
      </c>
      <c r="Q149" s="5">
        <v>0</v>
      </c>
      <c r="R149" s="16">
        <v>300</v>
      </c>
    </row>
    <row r="150" spans="1:18" ht="13.5" customHeight="1">
      <c r="A150" s="7" t="s">
        <v>357</v>
      </c>
      <c r="B150" s="7" t="s">
        <v>322</v>
      </c>
      <c r="C150" s="15" t="str">
        <f t="shared" si="16"/>
        <v>7,4</v>
      </c>
      <c r="D150" s="15" t="str">
        <f t="shared" si="17"/>
        <v>62,0</v>
      </c>
      <c r="E150" s="15" t="str">
        <f t="shared" si="18"/>
        <v>0,0</v>
      </c>
      <c r="F150" s="15" t="str">
        <f t="shared" si="19"/>
        <v>0,0</v>
      </c>
      <c r="G150" s="15" t="str">
        <f t="shared" si="20"/>
        <v>1,300</v>
      </c>
      <c r="I150" s="9">
        <v>7</v>
      </c>
      <c r="J150" s="9">
        <v>62</v>
      </c>
      <c r="K150" s="9">
        <v>0</v>
      </c>
      <c r="L150" s="9">
        <v>0</v>
      </c>
      <c r="M150" s="9">
        <v>1</v>
      </c>
      <c r="N150" s="16">
        <v>4</v>
      </c>
      <c r="O150" s="5">
        <v>0</v>
      </c>
      <c r="P150" s="5">
        <v>0</v>
      </c>
      <c r="Q150" s="5">
        <v>0</v>
      </c>
      <c r="R150" s="16">
        <v>300</v>
      </c>
    </row>
    <row r="151" spans="1:18" ht="13.5" customHeight="1">
      <c r="A151" s="7" t="s">
        <v>358</v>
      </c>
      <c r="B151" s="7" t="s">
        <v>323</v>
      </c>
      <c r="C151" s="15" t="str">
        <f t="shared" si="16"/>
        <v>6,4</v>
      </c>
      <c r="D151" s="15" t="str">
        <f t="shared" si="17"/>
        <v>1,0</v>
      </c>
      <c r="E151" s="15" t="str">
        <f t="shared" si="18"/>
        <v>0,0</v>
      </c>
      <c r="F151" s="15" t="str">
        <f t="shared" si="19"/>
        <v>5,0</v>
      </c>
      <c r="G151" s="15" t="str">
        <f t="shared" si="20"/>
        <v>25,300</v>
      </c>
      <c r="I151" s="9">
        <v>6</v>
      </c>
      <c r="J151" s="9">
        <v>1</v>
      </c>
      <c r="K151" s="9">
        <v>0</v>
      </c>
      <c r="L151" s="9">
        <v>5</v>
      </c>
      <c r="M151" s="9">
        <v>25</v>
      </c>
      <c r="N151" s="16">
        <v>4</v>
      </c>
      <c r="O151" s="5">
        <v>0</v>
      </c>
      <c r="P151" s="5">
        <v>0</v>
      </c>
      <c r="Q151" s="5">
        <v>0</v>
      </c>
      <c r="R151" s="16">
        <v>300</v>
      </c>
    </row>
    <row r="152" spans="1:18" ht="13.5" customHeight="1">
      <c r="A152" s="7" t="s">
        <v>359</v>
      </c>
      <c r="B152" s="7" t="s">
        <v>324</v>
      </c>
      <c r="C152" s="15" t="str">
        <f t="shared" si="16"/>
        <v>7,4</v>
      </c>
      <c r="D152" s="15" t="str">
        <f t="shared" si="17"/>
        <v>63,0</v>
      </c>
      <c r="E152" s="15" t="str">
        <f t="shared" si="18"/>
        <v>0,0</v>
      </c>
      <c r="F152" s="15" t="str">
        <f t="shared" si="19"/>
        <v>0,0</v>
      </c>
      <c r="G152" s="15" t="str">
        <f t="shared" si="20"/>
        <v>1,300</v>
      </c>
      <c r="I152" s="9">
        <v>7</v>
      </c>
      <c r="J152" s="9">
        <v>63</v>
      </c>
      <c r="K152" s="9">
        <v>0</v>
      </c>
      <c r="L152" s="9">
        <v>0</v>
      </c>
      <c r="M152" s="9">
        <v>1</v>
      </c>
      <c r="N152" s="16">
        <v>4</v>
      </c>
      <c r="O152" s="5">
        <v>0</v>
      </c>
      <c r="P152" s="5">
        <v>0</v>
      </c>
      <c r="Q152" s="5">
        <v>0</v>
      </c>
      <c r="R152" s="16">
        <v>300</v>
      </c>
    </row>
    <row r="153" spans="1:18" ht="13.5" customHeight="1">
      <c r="A153" s="7" t="s">
        <v>183</v>
      </c>
      <c r="B153" s="7" t="s">
        <v>325</v>
      </c>
      <c r="C153" s="15" t="str">
        <f t="shared" si="16"/>
        <v>6,4</v>
      </c>
      <c r="D153" s="15" t="str">
        <f t="shared" si="17"/>
        <v>1,0</v>
      </c>
      <c r="E153" s="15" t="str">
        <f t="shared" si="18"/>
        <v>0,0</v>
      </c>
      <c r="F153" s="15" t="str">
        <f t="shared" si="19"/>
        <v>5,0</v>
      </c>
      <c r="G153" s="15" t="str">
        <f t="shared" si="20"/>
        <v>25,300</v>
      </c>
      <c r="I153" s="9">
        <v>6</v>
      </c>
      <c r="J153" s="9">
        <v>1</v>
      </c>
      <c r="K153" s="9">
        <v>0</v>
      </c>
      <c r="L153" s="9">
        <v>5</v>
      </c>
      <c r="M153" s="9">
        <v>25</v>
      </c>
      <c r="N153" s="16">
        <v>4</v>
      </c>
      <c r="O153" s="5">
        <v>0</v>
      </c>
      <c r="P153" s="5">
        <v>0</v>
      </c>
      <c r="Q153" s="5">
        <v>0</v>
      </c>
      <c r="R153" s="16">
        <v>300</v>
      </c>
    </row>
    <row r="154" spans="1:18" ht="13.5" customHeight="1">
      <c r="A154" s="7" t="s">
        <v>360</v>
      </c>
      <c r="B154" s="7" t="s">
        <v>326</v>
      </c>
      <c r="C154" s="15" t="str">
        <f t="shared" si="16"/>
        <v>7,4</v>
      </c>
      <c r="D154" s="15" t="str">
        <f t="shared" si="17"/>
        <v>64,0</v>
      </c>
      <c r="E154" s="15" t="str">
        <f t="shared" si="18"/>
        <v>0,0</v>
      </c>
      <c r="F154" s="15" t="str">
        <f t="shared" si="19"/>
        <v>0,0</v>
      </c>
      <c r="G154" s="15" t="str">
        <f t="shared" si="20"/>
        <v>1,300</v>
      </c>
      <c r="I154" s="9">
        <v>7</v>
      </c>
      <c r="J154" s="9">
        <v>64</v>
      </c>
      <c r="K154" s="9">
        <v>0</v>
      </c>
      <c r="L154" s="9">
        <v>0</v>
      </c>
      <c r="M154" s="17">
        <v>1</v>
      </c>
      <c r="N154" s="16">
        <v>4</v>
      </c>
      <c r="O154" s="5">
        <v>0</v>
      </c>
      <c r="P154" s="5">
        <v>0</v>
      </c>
      <c r="Q154" s="5">
        <v>0</v>
      </c>
      <c r="R154" s="16">
        <v>300</v>
      </c>
    </row>
    <row r="155" spans="1:18" ht="13.5" customHeight="1">
      <c r="A155" s="7" t="s">
        <v>361</v>
      </c>
      <c r="B155" s="7" t="s">
        <v>327</v>
      </c>
      <c r="C155" s="15" t="str">
        <f t="shared" si="16"/>
        <v>6,4</v>
      </c>
      <c r="D155" s="15" t="str">
        <f t="shared" si="17"/>
        <v>1,0</v>
      </c>
      <c r="E155" s="15" t="str">
        <f t="shared" si="18"/>
        <v>0,0</v>
      </c>
      <c r="F155" s="15" t="str">
        <f t="shared" si="19"/>
        <v>5,0</v>
      </c>
      <c r="G155" s="15" t="str">
        <f t="shared" si="20"/>
        <v>25,300</v>
      </c>
      <c r="I155" s="9">
        <v>6</v>
      </c>
      <c r="J155" s="9">
        <v>1</v>
      </c>
      <c r="K155" s="9">
        <v>0</v>
      </c>
      <c r="L155" s="9">
        <v>5</v>
      </c>
      <c r="M155" s="9">
        <v>25</v>
      </c>
      <c r="N155" s="16">
        <v>4</v>
      </c>
      <c r="O155" s="5">
        <v>0</v>
      </c>
      <c r="P155" s="5">
        <v>0</v>
      </c>
      <c r="Q155" s="5">
        <v>0</v>
      </c>
      <c r="R155" s="16">
        <v>300</v>
      </c>
    </row>
    <row r="156" spans="1:18" ht="13.5" customHeight="1">
      <c r="A156" s="7" t="s">
        <v>362</v>
      </c>
      <c r="B156" s="7" t="s">
        <v>328</v>
      </c>
      <c r="C156" s="15" t="str">
        <f t="shared" si="16"/>
        <v>7,4</v>
      </c>
      <c r="D156" s="15" t="str">
        <f t="shared" si="17"/>
        <v>61,0</v>
      </c>
      <c r="E156" s="15" t="str">
        <f t="shared" si="18"/>
        <v>0,0</v>
      </c>
      <c r="F156" s="15" t="str">
        <f t="shared" si="19"/>
        <v>0,0</v>
      </c>
      <c r="G156" s="15" t="str">
        <f t="shared" si="20"/>
        <v>1,300</v>
      </c>
      <c r="I156" s="9">
        <v>7</v>
      </c>
      <c r="J156" s="9">
        <v>61</v>
      </c>
      <c r="K156" s="9">
        <v>0</v>
      </c>
      <c r="L156" s="9">
        <v>0</v>
      </c>
      <c r="M156" s="9">
        <v>1</v>
      </c>
      <c r="N156" s="16">
        <v>4</v>
      </c>
      <c r="O156" s="5">
        <v>0</v>
      </c>
      <c r="P156" s="5">
        <v>0</v>
      </c>
      <c r="Q156" s="5">
        <v>0</v>
      </c>
      <c r="R156" s="16">
        <v>300</v>
      </c>
    </row>
    <row r="157" spans="1:18" ht="13.5" customHeight="1">
      <c r="A157" s="7" t="s">
        <v>363</v>
      </c>
      <c r="B157" s="7" t="s">
        <v>329</v>
      </c>
      <c r="C157" s="15" t="str">
        <f t="shared" si="16"/>
        <v>6,4</v>
      </c>
      <c r="D157" s="15" t="str">
        <f t="shared" si="17"/>
        <v>1,0</v>
      </c>
      <c r="E157" s="15" t="str">
        <f t="shared" si="18"/>
        <v>0,0</v>
      </c>
      <c r="F157" s="15" t="str">
        <f t="shared" si="19"/>
        <v>5,0</v>
      </c>
      <c r="G157" s="15" t="str">
        <f t="shared" si="20"/>
        <v>25,300</v>
      </c>
      <c r="I157" s="9">
        <v>6</v>
      </c>
      <c r="J157" s="9">
        <v>1</v>
      </c>
      <c r="K157" s="9">
        <v>0</v>
      </c>
      <c r="L157" s="9">
        <v>5</v>
      </c>
      <c r="M157" s="9">
        <v>25</v>
      </c>
      <c r="N157" s="16">
        <v>4</v>
      </c>
      <c r="O157" s="5">
        <v>0</v>
      </c>
      <c r="P157" s="5">
        <v>0</v>
      </c>
      <c r="Q157" s="5">
        <v>0</v>
      </c>
      <c r="R157" s="16">
        <v>300</v>
      </c>
    </row>
    <row r="158" spans="1:18" ht="13.5" customHeight="1">
      <c r="A158" s="7" t="s">
        <v>184</v>
      </c>
      <c r="B158" s="7" t="s">
        <v>330</v>
      </c>
      <c r="C158" s="15" t="str">
        <f t="shared" si="16"/>
        <v>7,4</v>
      </c>
      <c r="D158" s="15" t="str">
        <f t="shared" si="17"/>
        <v>62,0</v>
      </c>
      <c r="E158" s="15" t="str">
        <f t="shared" si="18"/>
        <v>0,0</v>
      </c>
      <c r="F158" s="15" t="str">
        <f t="shared" si="19"/>
        <v>0,0</v>
      </c>
      <c r="G158" s="15" t="str">
        <f t="shared" si="20"/>
        <v>1,300</v>
      </c>
      <c r="I158" s="9">
        <v>7</v>
      </c>
      <c r="J158" s="9">
        <v>62</v>
      </c>
      <c r="K158" s="9">
        <v>0</v>
      </c>
      <c r="L158" s="9">
        <v>0</v>
      </c>
      <c r="M158" s="9">
        <v>1</v>
      </c>
      <c r="N158" s="16">
        <v>4</v>
      </c>
      <c r="O158" s="5">
        <v>0</v>
      </c>
      <c r="P158" s="5">
        <v>0</v>
      </c>
      <c r="Q158" s="5">
        <v>0</v>
      </c>
      <c r="R158" s="16">
        <v>300</v>
      </c>
    </row>
    <row r="159" spans="1:18" ht="13.5" customHeight="1">
      <c r="A159" s="7" t="s">
        <v>364</v>
      </c>
      <c r="B159" s="7" t="s">
        <v>331</v>
      </c>
      <c r="C159" s="15" t="str">
        <f t="shared" si="16"/>
        <v>6,4</v>
      </c>
      <c r="D159" s="15" t="str">
        <f t="shared" si="17"/>
        <v>1,0</v>
      </c>
      <c r="E159" s="15" t="str">
        <f t="shared" si="18"/>
        <v>0,0</v>
      </c>
      <c r="F159" s="15" t="str">
        <f t="shared" si="19"/>
        <v>5,0</v>
      </c>
      <c r="G159" s="15" t="str">
        <f t="shared" si="20"/>
        <v>25,300</v>
      </c>
      <c r="I159" s="9">
        <v>6</v>
      </c>
      <c r="J159" s="9">
        <v>1</v>
      </c>
      <c r="K159" s="9">
        <v>0</v>
      </c>
      <c r="L159" s="9">
        <v>5</v>
      </c>
      <c r="M159" s="9">
        <v>25</v>
      </c>
      <c r="N159" s="16">
        <v>4</v>
      </c>
      <c r="O159" s="5">
        <v>0</v>
      </c>
      <c r="P159" s="5">
        <v>0</v>
      </c>
      <c r="Q159" s="5">
        <v>0</v>
      </c>
      <c r="R159" s="16">
        <v>300</v>
      </c>
    </row>
    <row r="160" spans="1:18" ht="13.5" customHeight="1">
      <c r="A160" s="7" t="s">
        <v>365</v>
      </c>
      <c r="B160" s="7" t="s">
        <v>332</v>
      </c>
      <c r="C160" s="15" t="str">
        <f t="shared" si="16"/>
        <v>7,4</v>
      </c>
      <c r="D160" s="15" t="str">
        <f t="shared" si="17"/>
        <v>63,0</v>
      </c>
      <c r="E160" s="15" t="str">
        <f t="shared" si="18"/>
        <v>0,0</v>
      </c>
      <c r="F160" s="15" t="str">
        <f t="shared" si="19"/>
        <v>0,0</v>
      </c>
      <c r="G160" s="15" t="str">
        <f t="shared" si="20"/>
        <v>1,300</v>
      </c>
      <c r="I160" s="9">
        <v>7</v>
      </c>
      <c r="J160" s="9">
        <v>63</v>
      </c>
      <c r="K160" s="9">
        <v>0</v>
      </c>
      <c r="L160" s="9">
        <v>0</v>
      </c>
      <c r="M160" s="9">
        <v>1</v>
      </c>
      <c r="N160" s="16">
        <v>4</v>
      </c>
      <c r="O160" s="5">
        <v>0</v>
      </c>
      <c r="P160" s="5">
        <v>0</v>
      </c>
      <c r="Q160" s="5">
        <v>0</v>
      </c>
      <c r="R160" s="16">
        <v>300</v>
      </c>
    </row>
    <row r="161" spans="1:18" ht="13.5" customHeight="1">
      <c r="A161" s="7" t="s">
        <v>366</v>
      </c>
      <c r="B161" s="7" t="s">
        <v>333</v>
      </c>
      <c r="C161" s="15" t="str">
        <f t="shared" si="16"/>
        <v>6,4</v>
      </c>
      <c r="D161" s="15" t="str">
        <f t="shared" si="17"/>
        <v>1,0</v>
      </c>
      <c r="E161" s="15" t="str">
        <f t="shared" si="18"/>
        <v>0,0</v>
      </c>
      <c r="F161" s="15" t="str">
        <f t="shared" si="19"/>
        <v>5,0</v>
      </c>
      <c r="G161" s="15" t="str">
        <f t="shared" si="20"/>
        <v>25,300</v>
      </c>
      <c r="I161" s="9">
        <v>6</v>
      </c>
      <c r="J161" s="9">
        <v>1</v>
      </c>
      <c r="K161" s="9">
        <v>0</v>
      </c>
      <c r="L161" s="9">
        <v>5</v>
      </c>
      <c r="M161" s="9">
        <v>25</v>
      </c>
      <c r="N161" s="16">
        <v>4</v>
      </c>
      <c r="O161" s="5">
        <v>0</v>
      </c>
      <c r="P161" s="5">
        <v>0</v>
      </c>
      <c r="Q161" s="5">
        <v>0</v>
      </c>
      <c r="R161" s="16">
        <v>300</v>
      </c>
    </row>
    <row r="162" spans="1:18" ht="13.5" customHeight="1">
      <c r="A162" s="7" t="s">
        <v>367</v>
      </c>
      <c r="B162" s="7" t="s">
        <v>334</v>
      </c>
      <c r="C162" s="15" t="str">
        <f t="shared" si="16"/>
        <v>7,4</v>
      </c>
      <c r="D162" s="15" t="str">
        <f t="shared" si="17"/>
        <v>64,0</v>
      </c>
      <c r="E162" s="15" t="str">
        <f t="shared" si="18"/>
        <v>0,0</v>
      </c>
      <c r="F162" s="15" t="str">
        <f t="shared" si="19"/>
        <v>0,0</v>
      </c>
      <c r="G162" s="15" t="str">
        <f t="shared" si="20"/>
        <v>1,300</v>
      </c>
      <c r="I162" s="9">
        <v>7</v>
      </c>
      <c r="J162" s="9">
        <v>64</v>
      </c>
      <c r="K162" s="9">
        <v>0</v>
      </c>
      <c r="L162" s="9">
        <v>0</v>
      </c>
      <c r="M162" s="9">
        <v>1</v>
      </c>
      <c r="N162" s="16">
        <v>4</v>
      </c>
      <c r="O162" s="5">
        <v>0</v>
      </c>
      <c r="P162" s="5">
        <v>0</v>
      </c>
      <c r="Q162" s="5">
        <v>0</v>
      </c>
      <c r="R162" s="16">
        <v>300</v>
      </c>
    </row>
    <row r="163" spans="1:18" ht="13.5" customHeight="1">
      <c r="A163" s="7" t="s">
        <v>185</v>
      </c>
      <c r="B163" s="7" t="s">
        <v>335</v>
      </c>
      <c r="C163" s="15" t="str">
        <f t="shared" si="16"/>
        <v>6,4</v>
      </c>
      <c r="D163" s="15" t="str">
        <f t="shared" si="17"/>
        <v>1,0</v>
      </c>
      <c r="E163" s="15" t="str">
        <f t="shared" si="18"/>
        <v>0,0</v>
      </c>
      <c r="F163" s="15" t="str">
        <f t="shared" si="19"/>
        <v>5,0</v>
      </c>
      <c r="G163" s="15" t="str">
        <f t="shared" si="20"/>
        <v>25,300</v>
      </c>
      <c r="I163" s="9">
        <v>6</v>
      </c>
      <c r="J163" s="9">
        <v>1</v>
      </c>
      <c r="K163" s="9">
        <v>0</v>
      </c>
      <c r="L163" s="9">
        <v>5</v>
      </c>
      <c r="M163" s="9">
        <v>25</v>
      </c>
      <c r="N163" s="16">
        <v>4</v>
      </c>
      <c r="O163" s="5">
        <v>0</v>
      </c>
      <c r="P163" s="5">
        <v>0</v>
      </c>
      <c r="Q163" s="5">
        <v>0</v>
      </c>
      <c r="R163" s="16">
        <v>300</v>
      </c>
    </row>
  </sheetData>
  <autoFilter ref="A3:IN163" xr:uid="{00000000-0009-0000-0000-000000000000}"/>
  <mergeCells count="3">
    <mergeCell ref="I2:M2"/>
    <mergeCell ref="N2:R2"/>
    <mergeCell ref="S2:W2"/>
  </mergeCells>
  <phoneticPr fontId="3" type="noConversion"/>
  <pageMargins left="0.7" right="0.7" top="0.75" bottom="0.75" header="0.3" footer="0.3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368"/>
  <sheetViews>
    <sheetView zoomScaleNormal="100" workbookViewId="0">
      <selection sqref="A1:XFD1048576"/>
    </sheetView>
  </sheetViews>
  <sheetFormatPr defaultColWidth="9" defaultRowHeight="13.5"/>
  <cols>
    <col min="1" max="1" width="6.5" customWidth="1"/>
    <col min="2" max="2" width="19.375" customWidth="1"/>
    <col min="3" max="5" width="13" customWidth="1"/>
    <col min="6" max="6" width="9" style="11"/>
  </cols>
  <sheetData>
    <row r="1" spans="1:20">
      <c r="A1" s="1" t="s">
        <v>0</v>
      </c>
      <c r="B1" s="1" t="s">
        <v>16</v>
      </c>
      <c r="C1" s="2" t="s">
        <v>17</v>
      </c>
      <c r="D1" s="3" t="s">
        <v>18</v>
      </c>
      <c r="E1" s="10" t="s">
        <v>19</v>
      </c>
      <c r="F1" s="12" t="s">
        <v>79</v>
      </c>
    </row>
    <row r="2" spans="1:20">
      <c r="A2" s="1" t="s">
        <v>7</v>
      </c>
      <c r="B2" s="1" t="s">
        <v>20</v>
      </c>
      <c r="C2" s="3" t="s">
        <v>21</v>
      </c>
      <c r="D2" s="3" t="s">
        <v>21</v>
      </c>
      <c r="E2" s="10" t="s">
        <v>8</v>
      </c>
      <c r="G2" s="14" t="s">
        <v>81</v>
      </c>
      <c r="H2">
        <f>COUNT(H4:H523)</f>
        <v>346</v>
      </c>
      <c r="I2">
        <f t="shared" ref="I2:J2" si="0">COUNT(I4:I201)</f>
        <v>0</v>
      </c>
      <c r="J2">
        <f t="shared" si="0"/>
        <v>0</v>
      </c>
      <c r="K2">
        <f>SUM(K4:K201)</f>
        <v>0</v>
      </c>
      <c r="L2">
        <f t="shared" ref="L2:N2" si="1">SUM(L4:L201)</f>
        <v>0</v>
      </c>
      <c r="M2">
        <f t="shared" si="1"/>
        <v>0</v>
      </c>
      <c r="N2">
        <f t="shared" si="1"/>
        <v>0</v>
      </c>
    </row>
    <row r="3" spans="1:20">
      <c r="A3" s="4" t="s">
        <v>11</v>
      </c>
      <c r="B3" s="1" t="s">
        <v>22</v>
      </c>
      <c r="C3" s="2" t="s">
        <v>23</v>
      </c>
      <c r="D3" s="3" t="s">
        <v>24</v>
      </c>
      <c r="E3" s="10" t="s">
        <v>25</v>
      </c>
      <c r="H3" s="13" t="s">
        <v>80</v>
      </c>
      <c r="I3" s="13" t="s">
        <v>86</v>
      </c>
      <c r="K3" s="13" t="s">
        <v>83</v>
      </c>
      <c r="L3" s="13" t="s">
        <v>82</v>
      </c>
      <c r="M3" s="13" t="s">
        <v>84</v>
      </c>
      <c r="N3" s="13" t="s">
        <v>85</v>
      </c>
    </row>
    <row r="4" spans="1:20">
      <c r="A4" s="5">
        <v>0</v>
      </c>
      <c r="B4" s="1" t="s">
        <v>26</v>
      </c>
      <c r="C4" s="2">
        <v>100</v>
      </c>
      <c r="D4" s="3">
        <v>10000</v>
      </c>
      <c r="E4" s="10">
        <v>10</v>
      </c>
      <c r="H4" s="7" t="s">
        <v>91</v>
      </c>
    </row>
    <row r="5" spans="1:20">
      <c r="A5" s="6">
        <v>1</v>
      </c>
      <c r="B5" s="1" t="s">
        <v>27</v>
      </c>
      <c r="C5" s="2">
        <v>500</v>
      </c>
      <c r="D5" s="3">
        <v>50000</v>
      </c>
      <c r="E5" s="10">
        <v>20</v>
      </c>
      <c r="H5" s="7" t="s">
        <v>223</v>
      </c>
    </row>
    <row r="6" spans="1:20">
      <c r="A6" s="5">
        <v>2</v>
      </c>
      <c r="B6" s="1" t="s">
        <v>28</v>
      </c>
      <c r="C6" s="2">
        <v>1000</v>
      </c>
      <c r="D6" s="3">
        <v>100000</v>
      </c>
      <c r="E6" s="10">
        <v>30</v>
      </c>
      <c r="H6" s="7" t="s">
        <v>93</v>
      </c>
      <c r="P6">
        <v>5</v>
      </c>
      <c r="Q6" s="13" t="s">
        <v>237</v>
      </c>
      <c r="R6" s="13" t="s">
        <v>238</v>
      </c>
      <c r="S6" s="13"/>
      <c r="T6" s="13" t="s">
        <v>237</v>
      </c>
    </row>
    <row r="7" spans="1:20">
      <c r="A7" s="6">
        <v>3</v>
      </c>
      <c r="B7" s="1" t="s">
        <v>29</v>
      </c>
      <c r="C7" s="2">
        <v>2500</v>
      </c>
      <c r="D7" s="3">
        <v>250000</v>
      </c>
      <c r="E7" s="10">
        <v>40</v>
      </c>
      <c r="H7" s="7" t="s">
        <v>224</v>
      </c>
      <c r="P7">
        <v>10</v>
      </c>
      <c r="Q7" s="13" t="s">
        <v>237</v>
      </c>
      <c r="R7" s="13" t="s">
        <v>238</v>
      </c>
      <c r="S7" s="13"/>
      <c r="T7" s="13" t="s">
        <v>238</v>
      </c>
    </row>
    <row r="8" spans="1:20">
      <c r="A8" s="5">
        <v>4</v>
      </c>
      <c r="B8" s="1" t="s">
        <v>30</v>
      </c>
      <c r="C8" s="2">
        <v>5000</v>
      </c>
      <c r="D8" s="3">
        <v>500000</v>
      </c>
      <c r="E8" s="10">
        <v>60</v>
      </c>
      <c r="H8" s="7" t="s">
        <v>92</v>
      </c>
      <c r="P8">
        <v>15</v>
      </c>
      <c r="Q8" s="13" t="s">
        <v>237</v>
      </c>
      <c r="R8" s="13" t="s">
        <v>238</v>
      </c>
      <c r="S8" s="13"/>
      <c r="T8" s="13" t="s">
        <v>236</v>
      </c>
    </row>
    <row r="9" spans="1:20">
      <c r="A9" s="6">
        <v>5</v>
      </c>
      <c r="B9" s="1" t="s">
        <v>31</v>
      </c>
      <c r="C9" s="2">
        <v>10000</v>
      </c>
      <c r="D9" s="3">
        <v>1000000</v>
      </c>
      <c r="E9" s="10">
        <v>80</v>
      </c>
      <c r="H9" s="7" t="s">
        <v>97</v>
      </c>
      <c r="P9">
        <v>20</v>
      </c>
      <c r="Q9" s="13" t="s">
        <v>237</v>
      </c>
      <c r="R9" s="13" t="s">
        <v>238</v>
      </c>
      <c r="S9" s="13"/>
      <c r="T9" s="13" t="s">
        <v>239</v>
      </c>
    </row>
    <row r="10" spans="1:20">
      <c r="A10" s="5">
        <v>6</v>
      </c>
      <c r="B10" s="1" t="s">
        <v>32</v>
      </c>
      <c r="C10" s="2">
        <v>30000</v>
      </c>
      <c r="D10" s="3">
        <v>3000000</v>
      </c>
      <c r="E10" s="10">
        <v>100</v>
      </c>
      <c r="H10" s="7" t="s">
        <v>221</v>
      </c>
      <c r="P10">
        <v>25</v>
      </c>
      <c r="Q10" s="13" t="s">
        <v>237</v>
      </c>
      <c r="R10" s="13" t="s">
        <v>236</v>
      </c>
    </row>
    <row r="11" spans="1:20">
      <c r="A11" s="6">
        <v>7</v>
      </c>
      <c r="B11" s="1" t="s">
        <v>33</v>
      </c>
      <c r="C11" s="2">
        <v>60000</v>
      </c>
      <c r="D11" s="3">
        <v>6000000</v>
      </c>
      <c r="E11" s="10">
        <v>120</v>
      </c>
      <c r="H11" s="7" t="s">
        <v>220</v>
      </c>
      <c r="P11">
        <v>30</v>
      </c>
      <c r="Q11" s="13" t="s">
        <v>237</v>
      </c>
      <c r="R11" s="13" t="s">
        <v>238</v>
      </c>
      <c r="S11" s="13"/>
    </row>
    <row r="12" spans="1:20">
      <c r="A12" s="5">
        <v>8</v>
      </c>
      <c r="B12" s="1" t="s">
        <v>34</v>
      </c>
      <c r="C12" s="2">
        <v>100000</v>
      </c>
      <c r="D12" s="3">
        <v>10000000</v>
      </c>
      <c r="E12" s="10">
        <v>140</v>
      </c>
      <c r="H12" s="7" t="s">
        <v>222</v>
      </c>
      <c r="P12">
        <v>35</v>
      </c>
      <c r="Q12" s="13" t="s">
        <v>237</v>
      </c>
      <c r="R12" s="13" t="s">
        <v>238</v>
      </c>
      <c r="S12" s="13"/>
    </row>
    <row r="13" spans="1:20">
      <c r="A13" s="6">
        <v>9</v>
      </c>
      <c r="B13" s="1" t="s">
        <v>35</v>
      </c>
      <c r="C13" s="2">
        <v>200000</v>
      </c>
      <c r="D13" s="3">
        <v>30000000</v>
      </c>
      <c r="E13" s="10">
        <v>160</v>
      </c>
      <c r="H13" s="1" t="s">
        <v>39</v>
      </c>
      <c r="P13">
        <v>40</v>
      </c>
      <c r="Q13" s="13" t="s">
        <v>237</v>
      </c>
      <c r="R13" s="13" t="s">
        <v>238</v>
      </c>
      <c r="S13" s="13"/>
    </row>
    <row r="14" spans="1:20">
      <c r="A14" s="5">
        <v>10</v>
      </c>
      <c r="B14" s="1" t="s">
        <v>36</v>
      </c>
      <c r="C14" s="3">
        <v>500000</v>
      </c>
      <c r="D14" s="3">
        <v>60000000</v>
      </c>
      <c r="E14" s="10">
        <v>200</v>
      </c>
      <c r="H14" s="7" t="s">
        <v>225</v>
      </c>
      <c r="P14">
        <v>45</v>
      </c>
      <c r="Q14" s="13" t="s">
        <v>237</v>
      </c>
      <c r="R14" s="13" t="s">
        <v>238</v>
      </c>
      <c r="S14" s="13"/>
    </row>
    <row r="15" spans="1:20">
      <c r="A15" s="3">
        <v>11</v>
      </c>
      <c r="B15" s="1" t="s">
        <v>37</v>
      </c>
      <c r="C15" s="3">
        <v>1000000</v>
      </c>
      <c r="D15" s="3">
        <v>100000000</v>
      </c>
      <c r="E15" s="10">
        <v>250</v>
      </c>
      <c r="H15" s="7" t="s">
        <v>226</v>
      </c>
      <c r="P15">
        <v>50</v>
      </c>
      <c r="Q15" s="13" t="s">
        <v>237</v>
      </c>
      <c r="R15" s="13" t="s">
        <v>235</v>
      </c>
      <c r="S15" s="13"/>
    </row>
    <row r="16" spans="1:20">
      <c r="H16" s="7" t="s">
        <v>227</v>
      </c>
    </row>
    <row r="17" spans="8:20">
      <c r="H17" s="7" t="s">
        <v>228</v>
      </c>
      <c r="Q17">
        <v>50</v>
      </c>
      <c r="R17">
        <v>10</v>
      </c>
      <c r="S17">
        <v>5</v>
      </c>
      <c r="T17">
        <f>Q17*R17*S17</f>
        <v>2500</v>
      </c>
    </row>
    <row r="18" spans="8:20">
      <c r="H18" s="7">
        <v>315</v>
      </c>
      <c r="Q18">
        <v>100</v>
      </c>
      <c r="R18">
        <v>10</v>
      </c>
      <c r="S18">
        <v>10</v>
      </c>
      <c r="T18">
        <f t="shared" ref="T18:T20" si="2">Q18*R18*S18</f>
        <v>10000</v>
      </c>
    </row>
    <row r="19" spans="8:20">
      <c r="H19" s="7" t="s">
        <v>229</v>
      </c>
      <c r="Q19">
        <v>150</v>
      </c>
      <c r="R19">
        <v>10</v>
      </c>
      <c r="S19">
        <v>10</v>
      </c>
      <c r="T19">
        <f t="shared" si="2"/>
        <v>15000</v>
      </c>
    </row>
    <row r="20" spans="8:20">
      <c r="H20" s="7" t="s">
        <v>230</v>
      </c>
      <c r="Q20">
        <v>200</v>
      </c>
      <c r="R20">
        <v>10</v>
      </c>
      <c r="S20">
        <v>10</v>
      </c>
      <c r="T20">
        <f t="shared" si="2"/>
        <v>20000</v>
      </c>
    </row>
    <row r="21" spans="8:20">
      <c r="H21" s="7" t="s">
        <v>231</v>
      </c>
    </row>
    <row r="22" spans="8:20">
      <c r="H22" s="7" t="s">
        <v>232</v>
      </c>
      <c r="R22">
        <v>5</v>
      </c>
      <c r="S22">
        <v>10</v>
      </c>
    </row>
    <row r="23" spans="8:20">
      <c r="H23" s="7" t="s">
        <v>233</v>
      </c>
      <c r="R23">
        <v>3</v>
      </c>
      <c r="T23">
        <v>200</v>
      </c>
    </row>
    <row r="24" spans="8:20">
      <c r="H24" s="7">
        <v>505</v>
      </c>
      <c r="Q24">
        <v>20</v>
      </c>
      <c r="R24">
        <v>10</v>
      </c>
      <c r="T24">
        <v>200</v>
      </c>
    </row>
    <row r="25" spans="8:20">
      <c r="H25" s="7">
        <v>510</v>
      </c>
    </row>
    <row r="26" spans="8:20">
      <c r="H26" s="7">
        <v>515</v>
      </c>
    </row>
    <row r="27" spans="8:20">
      <c r="H27" s="7">
        <v>520</v>
      </c>
    </row>
    <row r="28" spans="8:20">
      <c r="H28" s="7">
        <v>525</v>
      </c>
    </row>
    <row r="29" spans="8:20">
      <c r="H29" s="7">
        <v>605</v>
      </c>
    </row>
    <row r="30" spans="8:20">
      <c r="H30" s="7">
        <v>610</v>
      </c>
    </row>
    <row r="31" spans="8:20">
      <c r="H31" s="7">
        <v>615</v>
      </c>
    </row>
    <row r="32" spans="8:20">
      <c r="H32" s="7">
        <v>620</v>
      </c>
    </row>
    <row r="33" spans="8:8">
      <c r="H33" s="7">
        <v>625</v>
      </c>
    </row>
    <row r="34" spans="8:8">
      <c r="H34" s="7">
        <v>630</v>
      </c>
    </row>
    <row r="35" spans="8:8">
      <c r="H35" s="7">
        <v>705</v>
      </c>
    </row>
    <row r="36" spans="8:8">
      <c r="H36" s="7">
        <v>710</v>
      </c>
    </row>
    <row r="37" spans="8:8">
      <c r="H37" s="7">
        <v>715</v>
      </c>
    </row>
    <row r="38" spans="8:8">
      <c r="H38" s="7">
        <v>720</v>
      </c>
    </row>
    <row r="39" spans="8:8">
      <c r="H39" s="7">
        <v>725</v>
      </c>
    </row>
    <row r="40" spans="8:8">
      <c r="H40" s="7">
        <v>730</v>
      </c>
    </row>
    <row r="41" spans="8:8">
      <c r="H41" s="7">
        <v>735</v>
      </c>
    </row>
    <row r="42" spans="8:8">
      <c r="H42" s="7">
        <v>805</v>
      </c>
    </row>
    <row r="43" spans="8:8">
      <c r="H43" s="7">
        <v>810</v>
      </c>
    </row>
    <row r="44" spans="8:8">
      <c r="H44" s="7">
        <v>815</v>
      </c>
    </row>
    <row r="45" spans="8:8">
      <c r="H45" s="7">
        <v>820</v>
      </c>
    </row>
    <row r="46" spans="8:8">
      <c r="H46" s="7">
        <v>825</v>
      </c>
    </row>
    <row r="47" spans="8:8">
      <c r="H47" s="7">
        <v>830</v>
      </c>
    </row>
    <row r="48" spans="8:8">
      <c r="H48" s="7">
        <v>835</v>
      </c>
    </row>
    <row r="49" spans="8:8">
      <c r="H49" s="7">
        <v>840</v>
      </c>
    </row>
    <row r="50" spans="8:8">
      <c r="H50" s="7">
        <v>905</v>
      </c>
    </row>
    <row r="51" spans="8:8">
      <c r="H51" s="7">
        <v>910</v>
      </c>
    </row>
    <row r="52" spans="8:8">
      <c r="H52" s="7">
        <v>915</v>
      </c>
    </row>
    <row r="53" spans="8:8">
      <c r="H53" s="7">
        <v>920</v>
      </c>
    </row>
    <row r="54" spans="8:8">
      <c r="H54" s="7">
        <v>925</v>
      </c>
    </row>
    <row r="55" spans="8:8">
      <c r="H55" s="7">
        <v>930</v>
      </c>
    </row>
    <row r="56" spans="8:8">
      <c r="H56" s="7">
        <v>935</v>
      </c>
    </row>
    <row r="57" spans="8:8">
      <c r="H57" s="7">
        <v>940</v>
      </c>
    </row>
    <row r="58" spans="8:8">
      <c r="H58" s="7">
        <v>945</v>
      </c>
    </row>
    <row r="59" spans="8:8">
      <c r="H59" s="7">
        <v>1005</v>
      </c>
    </row>
    <row r="60" spans="8:8">
      <c r="H60" s="7">
        <v>1010</v>
      </c>
    </row>
    <row r="61" spans="8:8">
      <c r="H61" s="7">
        <v>1015</v>
      </c>
    </row>
    <row r="62" spans="8:8">
      <c r="H62" s="7">
        <v>1020</v>
      </c>
    </row>
    <row r="63" spans="8:8">
      <c r="H63" s="7">
        <v>1025</v>
      </c>
    </row>
    <row r="64" spans="8:8">
      <c r="H64" s="7">
        <v>1030</v>
      </c>
    </row>
    <row r="65" spans="8:8">
      <c r="H65" s="7">
        <v>1035</v>
      </c>
    </row>
    <row r="66" spans="8:8">
      <c r="H66" s="7">
        <v>1040</v>
      </c>
    </row>
    <row r="67" spans="8:8">
      <c r="H67" s="7">
        <v>1045</v>
      </c>
    </row>
    <row r="68" spans="8:8">
      <c r="H68" s="7">
        <v>1050</v>
      </c>
    </row>
    <row r="69" spans="8:8">
      <c r="H69" s="7">
        <v>10105</v>
      </c>
    </row>
    <row r="70" spans="8:8">
      <c r="H70" s="7">
        <v>10110</v>
      </c>
    </row>
    <row r="71" spans="8:8">
      <c r="H71" s="7">
        <v>10115</v>
      </c>
    </row>
    <row r="72" spans="8:8">
      <c r="H72" s="7">
        <v>10120</v>
      </c>
    </row>
    <row r="73" spans="8:8">
      <c r="H73" s="7">
        <v>10125</v>
      </c>
    </row>
    <row r="74" spans="8:8">
      <c r="H74" s="7">
        <v>10130</v>
      </c>
    </row>
    <row r="75" spans="8:8">
      <c r="H75" s="7">
        <v>10135</v>
      </c>
    </row>
    <row r="76" spans="8:8">
      <c r="H76" s="7">
        <v>10140</v>
      </c>
    </row>
    <row r="77" spans="8:8">
      <c r="H77" s="7">
        <v>10145</v>
      </c>
    </row>
    <row r="78" spans="8:8">
      <c r="H78" s="7">
        <v>10150</v>
      </c>
    </row>
    <row r="79" spans="8:8">
      <c r="H79" s="7">
        <v>10205</v>
      </c>
    </row>
    <row r="80" spans="8:8">
      <c r="H80" s="7">
        <v>10210</v>
      </c>
    </row>
    <row r="81" spans="8:8">
      <c r="H81" s="7">
        <v>10215</v>
      </c>
    </row>
    <row r="82" spans="8:8">
      <c r="H82" s="7">
        <v>10220</v>
      </c>
    </row>
    <row r="83" spans="8:8">
      <c r="H83" s="7">
        <v>10225</v>
      </c>
    </row>
    <row r="84" spans="8:8">
      <c r="H84" s="7">
        <v>10230</v>
      </c>
    </row>
    <row r="85" spans="8:8">
      <c r="H85" s="7">
        <v>10235</v>
      </c>
    </row>
    <row r="86" spans="8:8">
      <c r="H86" s="7">
        <v>10240</v>
      </c>
    </row>
    <row r="87" spans="8:8">
      <c r="H87" s="7">
        <v>10245</v>
      </c>
    </row>
    <row r="88" spans="8:8">
      <c r="H88" s="7">
        <v>10250</v>
      </c>
    </row>
    <row r="89" spans="8:8">
      <c r="H89" s="7">
        <v>10305</v>
      </c>
    </row>
    <row r="90" spans="8:8">
      <c r="H90" s="7">
        <v>10310</v>
      </c>
    </row>
    <row r="91" spans="8:8">
      <c r="H91" s="7">
        <v>10315</v>
      </c>
    </row>
    <row r="92" spans="8:8">
      <c r="H92" s="7">
        <v>10320</v>
      </c>
    </row>
    <row r="93" spans="8:8">
      <c r="H93" s="7">
        <v>10325</v>
      </c>
    </row>
    <row r="94" spans="8:8">
      <c r="H94" s="7">
        <v>10330</v>
      </c>
    </row>
    <row r="95" spans="8:8">
      <c r="H95" s="7">
        <v>10335</v>
      </c>
    </row>
    <row r="96" spans="8:8">
      <c r="H96" s="7">
        <v>10340</v>
      </c>
    </row>
    <row r="97" spans="8:8">
      <c r="H97" s="7">
        <v>10345</v>
      </c>
    </row>
    <row r="98" spans="8:8">
      <c r="H98" s="7">
        <v>10350</v>
      </c>
    </row>
    <row r="99" spans="8:8">
      <c r="H99" s="7">
        <v>10405</v>
      </c>
    </row>
    <row r="100" spans="8:8">
      <c r="H100" s="7">
        <v>10410</v>
      </c>
    </row>
    <row r="101" spans="8:8">
      <c r="H101" s="7">
        <v>10415</v>
      </c>
    </row>
    <row r="102" spans="8:8">
      <c r="H102" s="7">
        <v>10420</v>
      </c>
    </row>
    <row r="103" spans="8:8">
      <c r="H103" s="7">
        <v>10425</v>
      </c>
    </row>
    <row r="104" spans="8:8">
      <c r="H104" s="7">
        <v>10430</v>
      </c>
    </row>
    <row r="105" spans="8:8">
      <c r="H105" s="7">
        <v>10435</v>
      </c>
    </row>
    <row r="106" spans="8:8">
      <c r="H106" s="7">
        <v>10440</v>
      </c>
    </row>
    <row r="107" spans="8:8">
      <c r="H107" s="7">
        <v>10445</v>
      </c>
    </row>
    <row r="108" spans="8:8">
      <c r="H108" s="7">
        <v>10450</v>
      </c>
    </row>
    <row r="109" spans="8:8">
      <c r="H109" s="7">
        <v>10505</v>
      </c>
    </row>
    <row r="110" spans="8:8">
      <c r="H110" s="7">
        <v>10510</v>
      </c>
    </row>
    <row r="111" spans="8:8">
      <c r="H111" s="7">
        <v>10515</v>
      </c>
    </row>
    <row r="112" spans="8:8">
      <c r="H112" s="7">
        <v>10520</v>
      </c>
    </row>
    <row r="113" spans="8:8">
      <c r="H113" s="7">
        <v>10525</v>
      </c>
    </row>
    <row r="114" spans="8:8">
      <c r="H114" s="7">
        <v>10530</v>
      </c>
    </row>
    <row r="115" spans="8:8">
      <c r="H115" s="7">
        <v>10535</v>
      </c>
    </row>
    <row r="116" spans="8:8">
      <c r="H116" s="7">
        <v>10540</v>
      </c>
    </row>
    <row r="117" spans="8:8">
      <c r="H117" s="7">
        <v>10545</v>
      </c>
    </row>
    <row r="118" spans="8:8">
      <c r="H118" s="7">
        <v>10550</v>
      </c>
    </row>
    <row r="119" spans="8:8">
      <c r="H119" s="7">
        <v>10605</v>
      </c>
    </row>
    <row r="120" spans="8:8">
      <c r="H120" s="7">
        <v>10610</v>
      </c>
    </row>
    <row r="121" spans="8:8">
      <c r="H121" s="7">
        <v>10615</v>
      </c>
    </row>
    <row r="122" spans="8:8">
      <c r="H122" s="7">
        <v>10620</v>
      </c>
    </row>
    <row r="123" spans="8:8">
      <c r="H123" s="7">
        <v>10625</v>
      </c>
    </row>
    <row r="124" spans="8:8">
      <c r="H124" s="7">
        <v>10630</v>
      </c>
    </row>
    <row r="125" spans="8:8">
      <c r="H125" s="7">
        <v>10635</v>
      </c>
    </row>
    <row r="126" spans="8:8">
      <c r="H126" s="7">
        <v>10640</v>
      </c>
    </row>
    <row r="127" spans="8:8">
      <c r="H127" s="7">
        <v>10645</v>
      </c>
    </row>
    <row r="128" spans="8:8">
      <c r="H128" s="7">
        <v>10650</v>
      </c>
    </row>
    <row r="129" spans="8:8">
      <c r="H129" s="7">
        <v>10705</v>
      </c>
    </row>
    <row r="130" spans="8:8">
      <c r="H130" s="7">
        <v>10710</v>
      </c>
    </row>
    <row r="131" spans="8:8">
      <c r="H131" s="7">
        <v>10715</v>
      </c>
    </row>
    <row r="132" spans="8:8">
      <c r="H132" s="7">
        <v>10720</v>
      </c>
    </row>
    <row r="133" spans="8:8">
      <c r="H133" s="7">
        <v>10725</v>
      </c>
    </row>
    <row r="134" spans="8:8">
      <c r="H134" s="7">
        <v>10730</v>
      </c>
    </row>
    <row r="135" spans="8:8">
      <c r="H135" s="7">
        <v>10735</v>
      </c>
    </row>
    <row r="136" spans="8:8">
      <c r="H136" s="7">
        <v>10740</v>
      </c>
    </row>
    <row r="137" spans="8:8">
      <c r="H137" s="7">
        <v>10745</v>
      </c>
    </row>
    <row r="138" spans="8:8">
      <c r="H138" s="7">
        <v>10750</v>
      </c>
    </row>
    <row r="139" spans="8:8">
      <c r="H139" s="7">
        <v>10805</v>
      </c>
    </row>
    <row r="140" spans="8:8">
      <c r="H140" s="7">
        <v>10810</v>
      </c>
    </row>
    <row r="141" spans="8:8">
      <c r="H141" s="7">
        <v>10815</v>
      </c>
    </row>
    <row r="142" spans="8:8">
      <c r="H142" s="7">
        <v>10820</v>
      </c>
    </row>
    <row r="143" spans="8:8">
      <c r="H143" s="7">
        <v>10825</v>
      </c>
    </row>
    <row r="144" spans="8:8">
      <c r="H144" s="7">
        <v>10830</v>
      </c>
    </row>
    <row r="145" spans="8:8">
      <c r="H145" s="7">
        <v>10835</v>
      </c>
    </row>
    <row r="146" spans="8:8">
      <c r="H146" s="7">
        <v>10840</v>
      </c>
    </row>
    <row r="147" spans="8:8">
      <c r="H147" s="7">
        <v>10845</v>
      </c>
    </row>
    <row r="148" spans="8:8">
      <c r="H148" s="7">
        <v>10850</v>
      </c>
    </row>
    <row r="149" spans="8:8">
      <c r="H149" s="7">
        <v>10905</v>
      </c>
    </row>
    <row r="150" spans="8:8">
      <c r="H150" s="7">
        <v>10910</v>
      </c>
    </row>
    <row r="151" spans="8:8">
      <c r="H151" s="7">
        <v>10915</v>
      </c>
    </row>
    <row r="152" spans="8:8">
      <c r="H152" s="7">
        <v>10920</v>
      </c>
    </row>
    <row r="153" spans="8:8">
      <c r="H153" s="7">
        <v>10925</v>
      </c>
    </row>
    <row r="154" spans="8:8">
      <c r="H154" s="7">
        <v>10930</v>
      </c>
    </row>
    <row r="155" spans="8:8">
      <c r="H155" s="7">
        <v>10935</v>
      </c>
    </row>
    <row r="156" spans="8:8">
      <c r="H156" s="7">
        <v>10940</v>
      </c>
    </row>
    <row r="157" spans="8:8">
      <c r="H157" s="7">
        <v>10945</v>
      </c>
    </row>
    <row r="158" spans="8:8">
      <c r="H158" s="7">
        <v>10950</v>
      </c>
    </row>
    <row r="159" spans="8:8">
      <c r="H159" s="7">
        <v>11005</v>
      </c>
    </row>
    <row r="160" spans="8:8">
      <c r="H160" s="7">
        <v>11010</v>
      </c>
    </row>
    <row r="161" spans="8:8">
      <c r="H161" s="7">
        <v>11015</v>
      </c>
    </row>
    <row r="162" spans="8:8">
      <c r="H162" s="7">
        <v>11020</v>
      </c>
    </row>
    <row r="163" spans="8:8">
      <c r="H163" s="7">
        <v>11025</v>
      </c>
    </row>
    <row r="164" spans="8:8">
      <c r="H164" s="7">
        <v>11030</v>
      </c>
    </row>
    <row r="165" spans="8:8">
      <c r="H165" s="7">
        <v>11035</v>
      </c>
    </row>
    <row r="166" spans="8:8">
      <c r="H166" s="7">
        <v>11040</v>
      </c>
    </row>
    <row r="167" spans="8:8">
      <c r="H167" s="7">
        <v>11045</v>
      </c>
    </row>
    <row r="168" spans="8:8">
      <c r="H168" s="7">
        <v>11050</v>
      </c>
    </row>
    <row r="169" spans="8:8">
      <c r="H169" s="7">
        <v>20105</v>
      </c>
    </row>
    <row r="170" spans="8:8">
      <c r="H170" s="7">
        <v>20110</v>
      </c>
    </row>
    <row r="171" spans="8:8">
      <c r="H171" s="7">
        <v>20115</v>
      </c>
    </row>
    <row r="172" spans="8:8">
      <c r="H172" s="7">
        <v>20120</v>
      </c>
    </row>
    <row r="173" spans="8:8">
      <c r="H173" s="7">
        <v>20125</v>
      </c>
    </row>
    <row r="174" spans="8:8">
      <c r="H174" s="7">
        <v>20130</v>
      </c>
    </row>
    <row r="175" spans="8:8">
      <c r="H175" s="7">
        <v>20135</v>
      </c>
    </row>
    <row r="176" spans="8:8">
      <c r="H176" s="7">
        <v>20140</v>
      </c>
    </row>
    <row r="177" spans="8:8">
      <c r="H177" s="7">
        <v>20145</v>
      </c>
    </row>
    <row r="178" spans="8:8">
      <c r="H178" s="7">
        <v>20150</v>
      </c>
    </row>
    <row r="179" spans="8:8">
      <c r="H179" s="7">
        <v>20205</v>
      </c>
    </row>
    <row r="180" spans="8:8">
      <c r="H180" s="7">
        <v>20210</v>
      </c>
    </row>
    <row r="181" spans="8:8">
      <c r="H181" s="7">
        <v>20215</v>
      </c>
    </row>
    <row r="182" spans="8:8">
      <c r="H182" s="7">
        <v>20220</v>
      </c>
    </row>
    <row r="183" spans="8:8">
      <c r="H183" s="7">
        <v>20225</v>
      </c>
    </row>
    <row r="184" spans="8:8">
      <c r="H184" s="7">
        <v>20230</v>
      </c>
    </row>
    <row r="185" spans="8:8">
      <c r="H185" s="7">
        <v>20235</v>
      </c>
    </row>
    <row r="186" spans="8:8">
      <c r="H186" s="7">
        <v>20240</v>
      </c>
    </row>
    <row r="187" spans="8:8">
      <c r="H187" s="7">
        <v>20245</v>
      </c>
    </row>
    <row r="188" spans="8:8">
      <c r="H188" s="7">
        <v>20250</v>
      </c>
    </row>
    <row r="189" spans="8:8">
      <c r="H189" s="7">
        <v>20305</v>
      </c>
    </row>
    <row r="190" spans="8:8">
      <c r="H190" s="7">
        <v>20310</v>
      </c>
    </row>
    <row r="191" spans="8:8">
      <c r="H191" s="7">
        <v>20315</v>
      </c>
    </row>
    <row r="192" spans="8:8">
      <c r="H192" s="7">
        <v>20320</v>
      </c>
    </row>
    <row r="193" spans="8:8">
      <c r="H193" s="7">
        <v>20325</v>
      </c>
    </row>
    <row r="194" spans="8:8">
      <c r="H194" s="7">
        <v>20330</v>
      </c>
    </row>
    <row r="195" spans="8:8">
      <c r="H195" s="7">
        <v>20335</v>
      </c>
    </row>
    <row r="196" spans="8:8">
      <c r="H196" s="7">
        <v>20340</v>
      </c>
    </row>
    <row r="197" spans="8:8">
      <c r="H197" s="7">
        <v>20345</v>
      </c>
    </row>
    <row r="198" spans="8:8">
      <c r="H198" s="7">
        <v>20350</v>
      </c>
    </row>
    <row r="199" spans="8:8">
      <c r="H199" s="7">
        <v>20405</v>
      </c>
    </row>
    <row r="200" spans="8:8">
      <c r="H200" s="7">
        <v>20410</v>
      </c>
    </row>
    <row r="201" spans="8:8">
      <c r="H201" s="7">
        <v>20415</v>
      </c>
    </row>
    <row r="202" spans="8:8">
      <c r="H202" s="7">
        <v>20420</v>
      </c>
    </row>
    <row r="203" spans="8:8">
      <c r="H203" s="7">
        <v>20425</v>
      </c>
    </row>
    <row r="204" spans="8:8">
      <c r="H204" s="7">
        <v>20430</v>
      </c>
    </row>
    <row r="205" spans="8:8">
      <c r="H205" s="7">
        <v>20435</v>
      </c>
    </row>
    <row r="206" spans="8:8">
      <c r="H206" s="7">
        <v>20440</v>
      </c>
    </row>
    <row r="207" spans="8:8">
      <c r="H207" s="7">
        <v>20445</v>
      </c>
    </row>
    <row r="208" spans="8:8">
      <c r="H208" s="7">
        <v>20450</v>
      </c>
    </row>
    <row r="209" spans="8:8">
      <c r="H209" s="7">
        <v>20505</v>
      </c>
    </row>
    <row r="210" spans="8:8">
      <c r="H210" s="7">
        <v>20510</v>
      </c>
    </row>
    <row r="211" spans="8:8">
      <c r="H211" s="7">
        <v>20515</v>
      </c>
    </row>
    <row r="212" spans="8:8">
      <c r="H212" s="7">
        <v>20520</v>
      </c>
    </row>
    <row r="213" spans="8:8">
      <c r="H213" s="7">
        <v>20525</v>
      </c>
    </row>
    <row r="214" spans="8:8">
      <c r="H214" s="7">
        <v>20530</v>
      </c>
    </row>
    <row r="215" spans="8:8">
      <c r="H215" s="7">
        <v>20535</v>
      </c>
    </row>
    <row r="216" spans="8:8">
      <c r="H216" s="7">
        <v>20540</v>
      </c>
    </row>
    <row r="217" spans="8:8">
      <c r="H217" s="7">
        <v>20545</v>
      </c>
    </row>
    <row r="218" spans="8:8">
      <c r="H218" s="7">
        <v>20550</v>
      </c>
    </row>
    <row r="219" spans="8:8">
      <c r="H219" s="7">
        <v>20605</v>
      </c>
    </row>
    <row r="220" spans="8:8">
      <c r="H220" s="7">
        <v>20610</v>
      </c>
    </row>
    <row r="221" spans="8:8">
      <c r="H221" s="7">
        <v>20615</v>
      </c>
    </row>
    <row r="222" spans="8:8">
      <c r="H222" s="7">
        <v>20620</v>
      </c>
    </row>
    <row r="223" spans="8:8">
      <c r="H223" s="7">
        <v>20625</v>
      </c>
    </row>
    <row r="224" spans="8:8">
      <c r="H224" s="7">
        <v>20630</v>
      </c>
    </row>
    <row r="225" spans="8:8">
      <c r="H225" s="7">
        <v>20635</v>
      </c>
    </row>
    <row r="226" spans="8:8">
      <c r="H226" s="7">
        <v>20640</v>
      </c>
    </row>
    <row r="227" spans="8:8">
      <c r="H227" s="7">
        <v>20645</v>
      </c>
    </row>
    <row r="228" spans="8:8">
      <c r="H228" s="7">
        <v>20650</v>
      </c>
    </row>
    <row r="229" spans="8:8">
      <c r="H229" s="7">
        <v>20705</v>
      </c>
    </row>
    <row r="230" spans="8:8">
      <c r="H230" s="7">
        <v>20710</v>
      </c>
    </row>
    <row r="231" spans="8:8">
      <c r="H231" s="7">
        <v>20715</v>
      </c>
    </row>
    <row r="232" spans="8:8">
      <c r="H232" s="7">
        <v>20720</v>
      </c>
    </row>
    <row r="233" spans="8:8">
      <c r="H233" s="7">
        <v>20725</v>
      </c>
    </row>
    <row r="234" spans="8:8">
      <c r="H234" s="7">
        <v>20730</v>
      </c>
    </row>
    <row r="235" spans="8:8">
      <c r="H235" s="7">
        <v>20735</v>
      </c>
    </row>
    <row r="236" spans="8:8">
      <c r="H236" s="7">
        <v>20740</v>
      </c>
    </row>
    <row r="237" spans="8:8">
      <c r="H237" s="7">
        <v>20745</v>
      </c>
    </row>
    <row r="238" spans="8:8">
      <c r="H238" s="7">
        <v>20750</v>
      </c>
    </row>
    <row r="239" spans="8:8">
      <c r="H239" s="7">
        <v>20805</v>
      </c>
    </row>
    <row r="240" spans="8:8">
      <c r="H240" s="7">
        <v>20810</v>
      </c>
    </row>
    <row r="241" spans="8:8">
      <c r="H241" s="7">
        <v>20815</v>
      </c>
    </row>
    <row r="242" spans="8:8">
      <c r="H242" s="7">
        <v>20820</v>
      </c>
    </row>
    <row r="243" spans="8:8">
      <c r="H243" s="7">
        <v>20825</v>
      </c>
    </row>
    <row r="244" spans="8:8">
      <c r="H244" s="7">
        <v>20830</v>
      </c>
    </row>
    <row r="245" spans="8:8">
      <c r="H245" s="7">
        <v>20835</v>
      </c>
    </row>
    <row r="246" spans="8:8">
      <c r="H246" s="7">
        <v>20840</v>
      </c>
    </row>
    <row r="247" spans="8:8">
      <c r="H247" s="7">
        <v>20845</v>
      </c>
    </row>
    <row r="248" spans="8:8">
      <c r="H248" s="7">
        <v>20850</v>
      </c>
    </row>
    <row r="249" spans="8:8">
      <c r="H249" s="7">
        <v>20905</v>
      </c>
    </row>
    <row r="250" spans="8:8">
      <c r="H250" s="7">
        <v>20910</v>
      </c>
    </row>
    <row r="251" spans="8:8">
      <c r="H251" s="7">
        <v>20915</v>
      </c>
    </row>
    <row r="252" spans="8:8">
      <c r="H252" s="7">
        <v>20920</v>
      </c>
    </row>
    <row r="253" spans="8:8">
      <c r="H253" s="7">
        <v>20925</v>
      </c>
    </row>
    <row r="254" spans="8:8">
      <c r="H254" s="7">
        <v>20930</v>
      </c>
    </row>
    <row r="255" spans="8:8">
      <c r="H255" s="7">
        <v>20935</v>
      </c>
    </row>
    <row r="256" spans="8:8">
      <c r="H256" s="7">
        <v>20940</v>
      </c>
    </row>
    <row r="257" spans="8:8">
      <c r="H257" s="7">
        <v>20945</v>
      </c>
    </row>
    <row r="258" spans="8:8">
      <c r="H258" s="7">
        <v>20950</v>
      </c>
    </row>
    <row r="259" spans="8:8">
      <c r="H259" s="7">
        <v>21005</v>
      </c>
    </row>
    <row r="260" spans="8:8">
      <c r="H260" s="7">
        <v>21010</v>
      </c>
    </row>
    <row r="261" spans="8:8">
      <c r="H261" s="7">
        <v>21015</v>
      </c>
    </row>
    <row r="262" spans="8:8">
      <c r="H262" s="7">
        <v>21020</v>
      </c>
    </row>
    <row r="263" spans="8:8">
      <c r="H263" s="7">
        <v>21025</v>
      </c>
    </row>
    <row r="264" spans="8:8">
      <c r="H264" s="7">
        <v>21030</v>
      </c>
    </row>
    <row r="265" spans="8:8">
      <c r="H265" s="7">
        <v>21035</v>
      </c>
    </row>
    <row r="266" spans="8:8">
      <c r="H266" s="7">
        <v>21040</v>
      </c>
    </row>
    <row r="267" spans="8:8">
      <c r="H267" s="7">
        <v>21045</v>
      </c>
    </row>
    <row r="268" spans="8:8">
      <c r="H268" s="7">
        <v>21050</v>
      </c>
    </row>
    <row r="269" spans="8:8">
      <c r="H269" s="7">
        <v>30105</v>
      </c>
    </row>
    <row r="270" spans="8:8">
      <c r="H270" s="7">
        <v>30110</v>
      </c>
    </row>
    <row r="271" spans="8:8">
      <c r="H271" s="7">
        <v>30115</v>
      </c>
    </row>
    <row r="272" spans="8:8">
      <c r="H272" s="7">
        <v>30120</v>
      </c>
    </row>
    <row r="273" spans="8:8">
      <c r="H273" s="7">
        <v>30125</v>
      </c>
    </row>
    <row r="274" spans="8:8">
      <c r="H274" s="7">
        <v>30130</v>
      </c>
    </row>
    <row r="275" spans="8:8">
      <c r="H275" s="7">
        <v>30135</v>
      </c>
    </row>
    <row r="276" spans="8:8">
      <c r="H276" s="7">
        <v>30140</v>
      </c>
    </row>
    <row r="277" spans="8:8">
      <c r="H277" s="7">
        <v>30145</v>
      </c>
    </row>
    <row r="278" spans="8:8">
      <c r="H278" s="7">
        <v>30150</v>
      </c>
    </row>
    <row r="279" spans="8:8">
      <c r="H279" s="7">
        <v>30205</v>
      </c>
    </row>
    <row r="280" spans="8:8">
      <c r="H280" s="7">
        <v>30210</v>
      </c>
    </row>
    <row r="281" spans="8:8">
      <c r="H281" s="7">
        <v>30215</v>
      </c>
    </row>
    <row r="282" spans="8:8">
      <c r="H282" s="7">
        <v>30220</v>
      </c>
    </row>
    <row r="283" spans="8:8">
      <c r="H283" s="7">
        <v>30225</v>
      </c>
    </row>
    <row r="284" spans="8:8">
      <c r="H284" s="7">
        <v>30230</v>
      </c>
    </row>
    <row r="285" spans="8:8">
      <c r="H285" s="7">
        <v>30235</v>
      </c>
    </row>
    <row r="286" spans="8:8">
      <c r="H286" s="7">
        <v>30240</v>
      </c>
    </row>
    <row r="287" spans="8:8">
      <c r="H287" s="7">
        <v>30245</v>
      </c>
    </row>
    <row r="288" spans="8:8">
      <c r="H288" s="7">
        <v>30250</v>
      </c>
    </row>
    <row r="289" spans="8:8">
      <c r="H289" s="7">
        <v>30305</v>
      </c>
    </row>
    <row r="290" spans="8:8">
      <c r="H290" s="7">
        <v>30310</v>
      </c>
    </row>
    <row r="291" spans="8:8">
      <c r="H291" s="7">
        <v>30315</v>
      </c>
    </row>
    <row r="292" spans="8:8">
      <c r="H292" s="7">
        <v>30320</v>
      </c>
    </row>
    <row r="293" spans="8:8">
      <c r="H293" s="7">
        <v>30325</v>
      </c>
    </row>
    <row r="294" spans="8:8">
      <c r="H294" s="7">
        <v>30330</v>
      </c>
    </row>
    <row r="295" spans="8:8">
      <c r="H295" s="7">
        <v>30335</v>
      </c>
    </row>
    <row r="296" spans="8:8">
      <c r="H296" s="7">
        <v>30340</v>
      </c>
    </row>
    <row r="297" spans="8:8">
      <c r="H297" s="7">
        <v>30345</v>
      </c>
    </row>
    <row r="298" spans="8:8">
      <c r="H298" s="7">
        <v>30350</v>
      </c>
    </row>
    <row r="299" spans="8:8">
      <c r="H299" s="7">
        <v>30405</v>
      </c>
    </row>
    <row r="300" spans="8:8">
      <c r="H300" s="7">
        <v>30410</v>
      </c>
    </row>
    <row r="301" spans="8:8">
      <c r="H301" s="7">
        <v>30415</v>
      </c>
    </row>
    <row r="302" spans="8:8">
      <c r="H302" s="7">
        <v>30420</v>
      </c>
    </row>
    <row r="303" spans="8:8">
      <c r="H303" s="7">
        <v>30425</v>
      </c>
    </row>
    <row r="304" spans="8:8">
      <c r="H304" s="7">
        <v>30430</v>
      </c>
    </row>
    <row r="305" spans="8:8">
      <c r="H305" s="7">
        <v>30435</v>
      </c>
    </row>
    <row r="306" spans="8:8">
      <c r="H306" s="7">
        <v>30440</v>
      </c>
    </row>
    <row r="307" spans="8:8">
      <c r="H307" s="7">
        <v>30445</v>
      </c>
    </row>
    <row r="308" spans="8:8">
      <c r="H308" s="7">
        <v>30450</v>
      </c>
    </row>
    <row r="309" spans="8:8">
      <c r="H309" s="7">
        <v>30505</v>
      </c>
    </row>
    <row r="310" spans="8:8">
      <c r="H310" s="7">
        <v>30510</v>
      </c>
    </row>
    <row r="311" spans="8:8">
      <c r="H311" s="7">
        <v>30515</v>
      </c>
    </row>
    <row r="312" spans="8:8">
      <c r="H312" s="7">
        <v>30520</v>
      </c>
    </row>
    <row r="313" spans="8:8">
      <c r="H313" s="7">
        <v>30525</v>
      </c>
    </row>
    <row r="314" spans="8:8">
      <c r="H314" s="7">
        <v>30530</v>
      </c>
    </row>
    <row r="315" spans="8:8">
      <c r="H315" s="7">
        <v>30535</v>
      </c>
    </row>
    <row r="316" spans="8:8">
      <c r="H316" s="7">
        <v>30540</v>
      </c>
    </row>
    <row r="317" spans="8:8">
      <c r="H317" s="7">
        <v>30545</v>
      </c>
    </row>
    <row r="318" spans="8:8">
      <c r="H318" s="7">
        <v>30550</v>
      </c>
    </row>
    <row r="319" spans="8:8">
      <c r="H319" s="7">
        <v>30605</v>
      </c>
    </row>
    <row r="320" spans="8:8">
      <c r="H320" s="7">
        <v>30610</v>
      </c>
    </row>
    <row r="321" spans="8:8">
      <c r="H321" s="7">
        <v>30615</v>
      </c>
    </row>
    <row r="322" spans="8:8">
      <c r="H322" s="7">
        <v>30620</v>
      </c>
    </row>
    <row r="323" spans="8:8">
      <c r="H323" s="7">
        <v>30625</v>
      </c>
    </row>
    <row r="324" spans="8:8">
      <c r="H324" s="7">
        <v>30630</v>
      </c>
    </row>
    <row r="325" spans="8:8">
      <c r="H325" s="7">
        <v>30635</v>
      </c>
    </row>
    <row r="326" spans="8:8">
      <c r="H326" s="7">
        <v>30640</v>
      </c>
    </row>
    <row r="327" spans="8:8">
      <c r="H327" s="7">
        <v>30645</v>
      </c>
    </row>
    <row r="328" spans="8:8">
      <c r="H328" s="7">
        <v>30650</v>
      </c>
    </row>
    <row r="329" spans="8:8">
      <c r="H329" s="7">
        <v>30705</v>
      </c>
    </row>
    <row r="330" spans="8:8">
      <c r="H330" s="7">
        <v>30710</v>
      </c>
    </row>
    <row r="331" spans="8:8">
      <c r="H331" s="7">
        <v>30715</v>
      </c>
    </row>
    <row r="332" spans="8:8">
      <c r="H332" s="7">
        <v>30720</v>
      </c>
    </row>
    <row r="333" spans="8:8">
      <c r="H333" s="7">
        <v>30725</v>
      </c>
    </row>
    <row r="334" spans="8:8">
      <c r="H334" s="7">
        <v>30730</v>
      </c>
    </row>
    <row r="335" spans="8:8">
      <c r="H335" s="7">
        <v>30735</v>
      </c>
    </row>
    <row r="336" spans="8:8">
      <c r="H336" s="7">
        <v>30740</v>
      </c>
    </row>
    <row r="337" spans="8:8">
      <c r="H337" s="7">
        <v>30745</v>
      </c>
    </row>
    <row r="338" spans="8:8">
      <c r="H338" s="7">
        <v>30750</v>
      </c>
    </row>
    <row r="339" spans="8:8">
      <c r="H339" s="7">
        <v>30805</v>
      </c>
    </row>
    <row r="340" spans="8:8">
      <c r="H340" s="7">
        <v>30810</v>
      </c>
    </row>
    <row r="341" spans="8:8">
      <c r="H341" s="7">
        <v>30815</v>
      </c>
    </row>
    <row r="342" spans="8:8">
      <c r="H342" s="7">
        <v>30820</v>
      </c>
    </row>
    <row r="343" spans="8:8">
      <c r="H343" s="7">
        <v>30825</v>
      </c>
    </row>
    <row r="344" spans="8:8">
      <c r="H344" s="7">
        <v>30830</v>
      </c>
    </row>
    <row r="345" spans="8:8">
      <c r="H345" s="7">
        <v>30835</v>
      </c>
    </row>
    <row r="346" spans="8:8">
      <c r="H346" s="7">
        <v>30840</v>
      </c>
    </row>
    <row r="347" spans="8:8">
      <c r="H347" s="7">
        <v>30845</v>
      </c>
    </row>
    <row r="348" spans="8:8">
      <c r="H348" s="7">
        <v>30850</v>
      </c>
    </row>
    <row r="349" spans="8:8">
      <c r="H349" s="7">
        <v>30905</v>
      </c>
    </row>
    <row r="350" spans="8:8">
      <c r="H350" s="7">
        <v>30910</v>
      </c>
    </row>
    <row r="351" spans="8:8">
      <c r="H351" s="7">
        <v>30915</v>
      </c>
    </row>
    <row r="352" spans="8:8">
      <c r="H352" s="7">
        <v>30920</v>
      </c>
    </row>
    <row r="353" spans="8:8">
      <c r="H353" s="7">
        <v>30925</v>
      </c>
    </row>
    <row r="354" spans="8:8">
      <c r="H354" s="7">
        <v>30930</v>
      </c>
    </row>
    <row r="355" spans="8:8">
      <c r="H355" s="7">
        <v>30935</v>
      </c>
    </row>
    <row r="356" spans="8:8">
      <c r="H356" s="7">
        <v>30940</v>
      </c>
    </row>
    <row r="357" spans="8:8">
      <c r="H357" s="7">
        <v>30945</v>
      </c>
    </row>
    <row r="358" spans="8:8">
      <c r="H358" s="7">
        <v>30950</v>
      </c>
    </row>
    <row r="359" spans="8:8">
      <c r="H359" s="7">
        <v>31005</v>
      </c>
    </row>
    <row r="360" spans="8:8">
      <c r="H360" s="7">
        <v>31010</v>
      </c>
    </row>
    <row r="361" spans="8:8">
      <c r="H361" s="7">
        <v>31015</v>
      </c>
    </row>
    <row r="362" spans="8:8">
      <c r="H362" s="7">
        <v>31020</v>
      </c>
    </row>
    <row r="363" spans="8:8">
      <c r="H363" s="7">
        <v>31025</v>
      </c>
    </row>
    <row r="364" spans="8:8">
      <c r="H364" s="7">
        <v>31030</v>
      </c>
    </row>
    <row r="365" spans="8:8">
      <c r="H365" s="7">
        <v>31035</v>
      </c>
    </row>
    <row r="366" spans="8:8">
      <c r="H366" s="7">
        <v>31040</v>
      </c>
    </row>
    <row r="367" spans="8:8">
      <c r="H367" s="7">
        <v>31045</v>
      </c>
    </row>
    <row r="368" spans="8:8">
      <c r="H368" s="7">
        <v>31050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challenge_extra_award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王建斌</cp:lastModifiedBy>
  <dcterms:created xsi:type="dcterms:W3CDTF">2018-02-02T02:55:00Z</dcterms:created>
  <dcterms:modified xsi:type="dcterms:W3CDTF">2021-03-12T09:09:42Z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2052-11.1.0.8976</vt:lpwstr>
  </property>
</Properties>
</file>